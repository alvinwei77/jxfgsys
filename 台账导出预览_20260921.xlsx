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次台账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磅重明细" sheetId="3" state="visible" r:id="rId3"/>
    <sheet xmlns:r="http://schemas.openxmlformats.org/officeDocument/2006/relationships" name="票款追踪" sheetId="4" state="visible" r:id="rId4"/>
    <sheet xmlns:r="http://schemas.openxmlformats.org/officeDocument/2006/relationships" name="批次记录" sheetId="5" state="visible" r:id="rId5"/>
    <sheet xmlns:r="http://schemas.openxmlformats.org/officeDocument/2006/relationships" name="票源额度" sheetId="6" state="visible" r:id="rId6"/>
  </sheets>
  <definedNames>
    <definedName name="_xlnm._FilterDatabase" localSheetId="0" hidden="1">'车次台账'!$A$2:$AU$103</definedName>
    <definedName name="_xlnm._FilterDatabase" localSheetId="2" hidden="1">'磅重明细'!$A$1:$O$131</definedName>
    <definedName name="_xlnm._FilterDatabase" localSheetId="3" hidden="1">'票款追踪'!$A$1:$P$341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0;[Red]-#,##0.000;&quot;-&quot;"/>
    <numFmt numFmtId="166" formatCode="#,##0.00;[Red]-#,##0.00;&quot;-&quot;"/>
    <numFmt numFmtId="167" formatCode="0.00;[Red]-0.00;&quot;-&quot;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0"/>
    </font>
    <font>
      <name val="Arial"/>
      <i val="1"/>
      <color rgb="00808080"/>
      <sz val="9"/>
    </font>
    <font>
      <name val="Arial"/>
    </font>
    <font>
      <name val="Arial"/>
      <color theme="1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5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6" customWidth="1" min="4" max="4"/>
    <col width="9" customWidth="1" min="5" max="5"/>
    <col width="9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  <col width="14" customWidth="1" min="12" max="12"/>
    <col width="12" customWidth="1" min="13" max="13"/>
    <col width="10" customWidth="1" min="14" max="14"/>
    <col width="12" customWidth="1" min="15" max="15"/>
    <col width="9" customWidth="1" min="16" max="16"/>
    <col width="11" customWidth="1" min="17" max="17"/>
    <col width="9" customWidth="1" min="18" max="18"/>
    <col width="11" customWidth="1" min="19" max="19"/>
    <col width="8" customWidth="1" min="20" max="20"/>
    <col width="13" customWidth="1" min="21" max="21"/>
    <col width="9" customWidth="1" min="22" max="22"/>
    <col width="11" customWidth="1" min="23" max="23"/>
    <col width="13" customWidth="1" min="24" max="24"/>
    <col width="8" customWidth="1" min="25" max="25"/>
    <col width="13" customWidth="1" min="26" max="26"/>
    <col width="12" customWidth="1" min="27" max="27"/>
    <col width="8" customWidth="1" min="28" max="28"/>
    <col width="11" customWidth="1" min="29" max="29"/>
    <col width="11" customWidth="1" min="30" max="30"/>
    <col width="16" customWidth="1" min="31" max="31"/>
    <col width="14" customWidth="1" min="32" max="32"/>
    <col width="13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9" customWidth="1" min="41" max="41"/>
    <col width="8" customWidth="1" min="42" max="42"/>
    <col width="16" customWidth="1" min="43" max="43"/>
    <col width="10" customWidth="1" min="44" max="44"/>
    <col width="14" customWidth="1" min="45" max="45"/>
    <col width="8" customWidth="1" min="46" max="46"/>
    <col width="40" customWidth="1" min="47" max="47"/>
  </cols>
  <sheetData>
    <row r="1">
      <c r="A1" s="1" t="inlineStr">
        <is>
          <t>车次台账（导出 2026-09-21 13:26，共 101 车，不含作废）　表头颜色：蓝=基本信息 绿=利润 黄=利润过程参数 紫=票款 灰=其他；净利润 = 毛服务费 + 量补金额 − 垫资成本 − 调货人提成 − 其他成本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42" customHeight="1">
      <c r="A2" s="3" t="inlineStr">
        <is>
          <t>车次ID</t>
        </is>
      </c>
      <c r="B2" s="3" t="inlineStr">
        <is>
          <t>结算日期</t>
        </is>
      </c>
      <c r="C2" s="3" t="inlineStr">
        <is>
          <t>车号/船号</t>
        </is>
      </c>
      <c r="D2" s="3" t="inlineStr">
        <is>
          <t>车/船</t>
        </is>
      </c>
      <c r="E2" s="3" t="inlineStr">
        <is>
          <t>路径</t>
        </is>
      </c>
      <c r="F2" s="3" t="inlineStr">
        <is>
          <t>链条</t>
        </is>
      </c>
      <c r="G2" s="3" t="inlineStr">
        <is>
          <t>调货人</t>
        </is>
      </c>
      <c r="H2" s="3" t="inlineStr">
        <is>
          <t>供货厂/车队</t>
        </is>
      </c>
      <c r="I2" s="3" t="inlineStr">
        <is>
          <t>票源方</t>
        </is>
      </c>
      <c r="J2" s="3" t="inlineStr">
        <is>
          <t>状态</t>
        </is>
      </c>
      <c r="K2" s="3" t="inlineStr">
        <is>
          <t>结算吨位(吨)</t>
        </is>
      </c>
      <c r="L2" s="3" t="inlineStr">
        <is>
          <t>结算金额(元)</t>
        </is>
      </c>
      <c r="M2" s="4" t="inlineStr">
        <is>
          <t>净利润(元)</t>
        </is>
      </c>
      <c r="N2" s="4" t="inlineStr">
        <is>
          <t>单吨利润(元/吨)</t>
        </is>
      </c>
      <c r="O2" s="4" t="inlineStr">
        <is>
          <t>留存利润(元)·不计入净利润</t>
        </is>
      </c>
      <c r="P2" s="5" t="inlineStr">
        <is>
          <t>服务费单价(元/吨)</t>
        </is>
      </c>
      <c r="Q2" s="5" t="inlineStr">
        <is>
          <t>毛服务费(元)</t>
        </is>
      </c>
      <c r="R2" s="5" t="inlineStr">
        <is>
          <t>量补单价(元/吨)</t>
        </is>
      </c>
      <c r="S2" s="5" t="inlineStr">
        <is>
          <t>量补金额(元)</t>
        </is>
      </c>
      <c r="T2" s="5" t="inlineStr">
        <is>
          <t>对外结算点位(%)</t>
        </is>
      </c>
      <c r="U2" s="5" t="inlineStr">
        <is>
          <t>给客户付(元)</t>
        </is>
      </c>
      <c r="V2" s="5" t="inlineStr">
        <is>
          <t>垫资费单价(元/吨)</t>
        </is>
      </c>
      <c r="W2" s="5" t="inlineStr">
        <is>
          <t>垫资费(元)</t>
        </is>
      </c>
      <c r="X2" s="5" t="inlineStr">
        <is>
          <t>前端开票金额(元)</t>
        </is>
      </c>
      <c r="Y2" s="5" t="inlineStr">
        <is>
          <t>票源成本点位(%)</t>
        </is>
      </c>
      <c r="Z2" s="5" t="inlineStr">
        <is>
          <t>前端实付(元)</t>
        </is>
      </c>
      <c r="AA2" s="5" t="inlineStr">
        <is>
          <t>垫资成本(元)·配票=个人垫资</t>
        </is>
      </c>
      <c r="AB2" s="5" t="inlineStr">
        <is>
          <t>提成单价(元/吨)</t>
        </is>
      </c>
      <c r="AC2" s="5" t="inlineStr">
        <is>
          <t>调货人提成(元)</t>
        </is>
      </c>
      <c r="AD2" s="5" t="inlineStr">
        <is>
          <t>其他成本(元)·含切割费</t>
        </is>
      </c>
      <c r="AE2" s="5" t="inlineStr">
        <is>
          <t>本车改过的费率</t>
        </is>
      </c>
      <c r="AF2" s="6" t="inlineStr">
        <is>
          <t>开票路径</t>
        </is>
      </c>
      <c r="AG2" s="6" t="inlineStr">
        <is>
          <t>票额(估)(元)</t>
        </is>
      </c>
      <c r="AH2" s="6" t="inlineStr">
        <is>
          <t>进项</t>
        </is>
      </c>
      <c r="AI2" s="6" t="inlineStr">
        <is>
          <t>销项→欧冶</t>
        </is>
      </c>
      <c r="AJ2" s="6" t="inlineStr">
        <is>
          <t>欧冶回款</t>
        </is>
      </c>
      <c r="AK2" s="6" t="inlineStr">
        <is>
          <t>付票源</t>
        </is>
      </c>
      <c r="AL2" s="6" t="inlineStr">
        <is>
          <t>到客户账户</t>
        </is>
      </c>
      <c r="AM2" s="6" t="inlineStr">
        <is>
          <t>提成已付(元)</t>
        </is>
      </c>
      <c r="AN2" s="7" t="inlineStr">
        <is>
          <t>接单日期</t>
        </is>
      </c>
      <c r="AO2" s="7" t="inlineStr">
        <is>
          <t>结算月份</t>
        </is>
      </c>
      <c r="AP2" s="7" t="inlineStr">
        <is>
          <t>扣杂(吨)</t>
        </is>
      </c>
      <c r="AQ2" s="7" t="inlineStr">
        <is>
          <t>结算单号</t>
        </is>
      </c>
      <c r="AR2" s="7" t="inlineStr">
        <is>
          <t>钢厂</t>
        </is>
      </c>
      <c r="AS2" s="7" t="inlineStr">
        <is>
          <t>户头</t>
        </is>
      </c>
      <c r="AT2" s="7" t="inlineStr">
        <is>
          <t>司机</t>
        </is>
      </c>
      <c r="AU2" s="7" t="inlineStr">
        <is>
          <t>备注</t>
        </is>
      </c>
    </row>
    <row r="3">
      <c r="A3" s="2" t="n">
        <v>1</v>
      </c>
      <c r="B3" s="8" t="n">
        <v>46253</v>
      </c>
      <c r="C3" s="2" t="inlineStr">
        <is>
          <t>苏DBB772</t>
        </is>
      </c>
      <c r="D3" s="2" t="inlineStr">
        <is>
          <t>车</t>
        </is>
      </c>
      <c r="E3" s="2" t="inlineStr">
        <is>
          <t>配票/反向</t>
        </is>
      </c>
      <c r="F3" s="2" t="inlineStr">
        <is>
          <t>配票</t>
        </is>
      </c>
      <c r="G3" s="2" t="inlineStr">
        <is>
          <t>林凯</t>
        </is>
      </c>
      <c r="H3" s="2" t="inlineStr">
        <is>
          <t>林凯车队</t>
        </is>
      </c>
      <c r="I3" s="2" t="inlineStr">
        <is>
          <t>俊兴</t>
        </is>
      </c>
      <c r="J3" s="2" t="inlineStr">
        <is>
          <t>已开票</t>
        </is>
      </c>
      <c r="K3" s="9" t="n">
        <v>73.58</v>
      </c>
      <c r="L3" s="10" t="n">
        <v>168498.2</v>
      </c>
      <c r="M3" s="11">
        <f>Q3+S3-AA3-AC3-AD3</f>
        <v/>
      </c>
      <c r="N3" s="12">
        <f>IF(K3=0,0,M3/K3)</f>
        <v/>
      </c>
      <c r="O3" s="10" t="n">
        <v>0</v>
      </c>
      <c r="P3" s="12" t="n"/>
      <c r="Q3" s="10" t="n">
        <v>0</v>
      </c>
      <c r="R3" s="12" t="n">
        <v>20</v>
      </c>
      <c r="S3" s="10" t="n">
        <v>1471.6</v>
      </c>
      <c r="T3" s="12" t="n">
        <v>14</v>
      </c>
      <c r="U3" s="10" t="n">
        <v>144908.452</v>
      </c>
      <c r="V3" s="12" t="n">
        <v>23</v>
      </c>
      <c r="W3" s="10" t="n">
        <v>1692.34</v>
      </c>
      <c r="X3" s="10" t="n">
        <v>166805.86</v>
      </c>
      <c r="Y3" s="12" t="n">
        <v>13.5</v>
      </c>
      <c r="Z3" s="10" t="n">
        <v>144287.0689</v>
      </c>
      <c r="AA3" s="10" t="n">
        <v>621.3831000000064</v>
      </c>
      <c r="AB3" s="12" t="n">
        <v>5</v>
      </c>
      <c r="AC3" s="10" t="n">
        <v>367.9</v>
      </c>
      <c r="AD3" s="10" t="n">
        <v>0</v>
      </c>
      <c r="AE3" s="2" t="n"/>
      <c r="AF3" s="2" t="inlineStr">
        <is>
          <t>我们配票（经俊兴）</t>
        </is>
      </c>
      <c r="AG3" s="10" t="n">
        <v>166805.86</v>
      </c>
      <c r="AH3" s="2" t="inlineStr">
        <is>
          <t>—</t>
        </is>
      </c>
      <c r="AI3" s="2" t="inlineStr">
        <is>
          <t>按状态视为已完成(历史)</t>
        </is>
      </c>
      <c r="AJ3" s="2" t="inlineStr">
        <is>
          <t>待登记</t>
        </is>
      </c>
      <c r="AK3" s="2" t="inlineStr">
        <is>
          <t>—</t>
        </is>
      </c>
      <c r="AL3" s="2" t="inlineStr">
        <is>
          <t>未开始(前一环节未完成)</t>
        </is>
      </c>
      <c r="AM3" s="10" t="n">
        <v>0</v>
      </c>
      <c r="AN3" s="8" t="n">
        <v>46253</v>
      </c>
      <c r="AO3" s="2" t="inlineStr">
        <is>
          <t>2026-08</t>
        </is>
      </c>
      <c r="AP3" s="9" t="n">
        <v>0.9</v>
      </c>
      <c r="AQ3" s="2" t="inlineStr">
        <is>
          <t>台账历史数据-已出结算单（具体单号未录入）</t>
        </is>
      </c>
      <c r="AR3" s="2" t="inlineStr">
        <is>
          <t>华西特钢</t>
        </is>
      </c>
      <c r="AS3" s="2" t="inlineStr">
        <is>
          <t>华西-欧冶户头</t>
        </is>
      </c>
      <c r="AT3" s="2" t="n"/>
      <c r="AU3" s="2" t="inlineStr">
        <is>
          <t>由台账 Excel 历史数据自动导入（8.19付款明细-欧冶物宝1.xlsx 第5行），日期为过磅日期近似值 [原货主:林凯]</t>
        </is>
      </c>
    </row>
    <row r="4">
      <c r="A4" s="2" t="n">
        <v>2</v>
      </c>
      <c r="B4" s="8" t="n">
        <v>46254</v>
      </c>
      <c r="C4" s="2" t="inlineStr">
        <is>
          <t>苏DFM060</t>
        </is>
      </c>
      <c r="D4" s="2" t="inlineStr">
        <is>
          <t>车</t>
        </is>
      </c>
      <c r="E4" s="2" t="inlineStr">
        <is>
          <t>配票/反向</t>
        </is>
      </c>
      <c r="F4" s="2" t="inlineStr">
        <is>
          <t>配票</t>
        </is>
      </c>
      <c r="G4" s="2" t="inlineStr">
        <is>
          <t>林凯</t>
        </is>
      </c>
      <c r="H4" s="2" t="inlineStr">
        <is>
          <t>林凯车队</t>
        </is>
      </c>
      <c r="I4" s="2" t="inlineStr">
        <is>
          <t>俊兴</t>
        </is>
      </c>
      <c r="J4" s="2" t="inlineStr">
        <is>
          <t>已开票</t>
        </is>
      </c>
      <c r="K4" s="9" t="n">
        <v>34.8</v>
      </c>
      <c r="L4" s="10" t="n">
        <v>84564</v>
      </c>
      <c r="M4" s="11">
        <f>Q4+S4-AA4-AC4-AD4</f>
        <v/>
      </c>
      <c r="N4" s="12">
        <f>IF(K4=0,0,M4/K4)</f>
        <v/>
      </c>
      <c r="O4" s="10" t="n">
        <v>0</v>
      </c>
      <c r="P4" s="12" t="n"/>
      <c r="Q4" s="10" t="n">
        <v>0</v>
      </c>
      <c r="R4" s="12" t="n">
        <v>20</v>
      </c>
      <c r="S4" s="10" t="n">
        <v>696</v>
      </c>
      <c r="T4" s="12" t="n">
        <v>14</v>
      </c>
      <c r="U4" s="10" t="n">
        <v>72725.03999999999</v>
      </c>
      <c r="V4" s="12" t="n">
        <v>23</v>
      </c>
      <c r="W4" s="10" t="n">
        <v>800.4</v>
      </c>
      <c r="X4" s="10" t="n">
        <v>83763.60000000001</v>
      </c>
      <c r="Y4" s="12" t="n">
        <v>13.5</v>
      </c>
      <c r="Z4" s="10" t="n">
        <v>72455.51400000001</v>
      </c>
      <c r="AA4" s="10" t="n">
        <v>269.5259999999835</v>
      </c>
      <c r="AB4" s="12" t="n">
        <v>5</v>
      </c>
      <c r="AC4" s="10" t="n">
        <v>174</v>
      </c>
      <c r="AD4" s="10" t="n">
        <v>0</v>
      </c>
      <c r="AE4" s="2" t="n"/>
      <c r="AF4" s="2" t="inlineStr">
        <is>
          <t>我们配票（经俊兴）</t>
        </is>
      </c>
      <c r="AG4" s="10" t="n">
        <v>83763.60000000001</v>
      </c>
      <c r="AH4" s="2" t="inlineStr">
        <is>
          <t>—</t>
        </is>
      </c>
      <c r="AI4" s="2" t="inlineStr">
        <is>
          <t>按状态视为已完成(历史)</t>
        </is>
      </c>
      <c r="AJ4" s="2" t="inlineStr">
        <is>
          <t>待登记</t>
        </is>
      </c>
      <c r="AK4" s="2" t="inlineStr">
        <is>
          <t>—</t>
        </is>
      </c>
      <c r="AL4" s="2" t="inlineStr">
        <is>
          <t>未开始(前一环节未完成)</t>
        </is>
      </c>
      <c r="AM4" s="10" t="n">
        <v>0</v>
      </c>
      <c r="AN4" s="8" t="n">
        <v>46254</v>
      </c>
      <c r="AO4" s="2" t="inlineStr">
        <is>
          <t>2026-08</t>
        </is>
      </c>
      <c r="AP4" s="9" t="n">
        <v>0.5</v>
      </c>
      <c r="AQ4" s="2" t="inlineStr">
        <is>
          <t>台账历史数据-已出结算单（具体单号未录入）</t>
        </is>
      </c>
      <c r="AR4" s="2" t="inlineStr">
        <is>
          <t>华西特钢</t>
        </is>
      </c>
      <c r="AS4" s="2" t="inlineStr">
        <is>
          <t>华西-欧冶户头</t>
        </is>
      </c>
      <c r="AT4" s="2" t="n"/>
      <c r="AU4" s="2" t="inlineStr">
        <is>
          <t>由台账 Excel 历史数据自动导入（8.19付款明细-欧冶物宝1.xlsx 第6行），日期为过磅日期近似值 [原货主:林凯]</t>
        </is>
      </c>
    </row>
    <row r="5">
      <c r="A5" s="2" t="n">
        <v>3</v>
      </c>
      <c r="B5" s="8" t="n">
        <v>46255</v>
      </c>
      <c r="C5" s="2" t="inlineStr">
        <is>
          <t>苏DBB772</t>
        </is>
      </c>
      <c r="D5" s="2" t="inlineStr">
        <is>
          <t>车</t>
        </is>
      </c>
      <c r="E5" s="2" t="inlineStr">
        <is>
          <t>配票/反向</t>
        </is>
      </c>
      <c r="F5" s="2" t="inlineStr">
        <is>
          <t>配票</t>
        </is>
      </c>
      <c r="G5" s="2" t="inlineStr">
        <is>
          <t>林凯</t>
        </is>
      </c>
      <c r="H5" s="2" t="inlineStr">
        <is>
          <t>林凯车队</t>
        </is>
      </c>
      <c r="I5" s="2" t="inlineStr">
        <is>
          <t>俊兴</t>
        </is>
      </c>
      <c r="J5" s="2" t="inlineStr">
        <is>
          <t>已开票</t>
        </is>
      </c>
      <c r="K5" s="9" t="n">
        <v>81.16</v>
      </c>
      <c r="L5" s="10" t="n">
        <v>201276.8</v>
      </c>
      <c r="M5" s="11">
        <f>Q5+S5-AA5-AC5-AD5</f>
        <v/>
      </c>
      <c r="N5" s="12">
        <f>IF(K5=0,0,M5/K5)</f>
        <v/>
      </c>
      <c r="O5" s="10" t="n">
        <v>0</v>
      </c>
      <c r="P5" s="12" t="n"/>
      <c r="Q5" s="10" t="n">
        <v>0</v>
      </c>
      <c r="R5" s="12" t="n">
        <v>20</v>
      </c>
      <c r="S5" s="10" t="n">
        <v>1623.2</v>
      </c>
      <c r="T5" s="12" t="n">
        <v>14</v>
      </c>
      <c r="U5" s="10" t="n">
        <v>173098.048</v>
      </c>
      <c r="V5" s="12" t="n">
        <v>23</v>
      </c>
      <c r="W5" s="10" t="n">
        <v>1866.68</v>
      </c>
      <c r="X5" s="10" t="n">
        <v>199410.12</v>
      </c>
      <c r="Y5" s="12" t="n">
        <v>13.5</v>
      </c>
      <c r="Z5" s="10" t="n">
        <v>172489.7538</v>
      </c>
      <c r="AA5" s="10" t="n">
        <v>608.2941999999748</v>
      </c>
      <c r="AB5" s="12" t="n">
        <v>5</v>
      </c>
      <c r="AC5" s="10" t="n">
        <v>405.8</v>
      </c>
      <c r="AD5" s="10" t="n">
        <v>0</v>
      </c>
      <c r="AE5" s="2" t="n"/>
      <c r="AF5" s="2" t="inlineStr">
        <is>
          <t>我们配票（经俊兴）</t>
        </is>
      </c>
      <c r="AG5" s="10" t="n">
        <v>199410.12</v>
      </c>
      <c r="AH5" s="2" t="inlineStr">
        <is>
          <t>—</t>
        </is>
      </c>
      <c r="AI5" s="2" t="inlineStr">
        <is>
          <t>按状态视为已完成(历史)</t>
        </is>
      </c>
      <c r="AJ5" s="2" t="inlineStr">
        <is>
          <t>待登记</t>
        </is>
      </c>
      <c r="AK5" s="2" t="inlineStr">
        <is>
          <t>—</t>
        </is>
      </c>
      <c r="AL5" s="2" t="inlineStr">
        <is>
          <t>未开始(前一环节未完成)</t>
        </is>
      </c>
      <c r="AM5" s="10" t="n">
        <v>0</v>
      </c>
      <c r="AN5" s="8" t="n">
        <v>46255</v>
      </c>
      <c r="AO5" s="2" t="inlineStr">
        <is>
          <t>2026-08</t>
        </is>
      </c>
      <c r="AP5" s="9" t="n">
        <v>0.8</v>
      </c>
      <c r="AQ5" s="2" t="inlineStr">
        <is>
          <t>台账历史数据-已出结算单（具体单号未录入）</t>
        </is>
      </c>
      <c r="AR5" s="2" t="inlineStr">
        <is>
          <t>华西特钢</t>
        </is>
      </c>
      <c r="AS5" s="2" t="inlineStr">
        <is>
          <t>华西-欧冶户头</t>
        </is>
      </c>
      <c r="AT5" s="2" t="n"/>
      <c r="AU5" s="2" t="inlineStr">
        <is>
          <t>由台账 Excel 历史数据自动导入（8.19付款明细-欧冶物宝1.xlsx 第7行），日期为过磅日期近似值 [原货主:林凯]</t>
        </is>
      </c>
    </row>
    <row r="6">
      <c r="A6" s="2" t="n">
        <v>4</v>
      </c>
      <c r="B6" s="8" t="n">
        <v>46255</v>
      </c>
      <c r="C6" s="2" t="inlineStr">
        <is>
          <t>皖M2A505</t>
        </is>
      </c>
      <c r="D6" s="2" t="inlineStr">
        <is>
          <t>车</t>
        </is>
      </c>
      <c r="E6" s="2" t="inlineStr">
        <is>
          <t>配票/反向</t>
        </is>
      </c>
      <c r="F6" s="2" t="inlineStr">
        <is>
          <t>配票</t>
        </is>
      </c>
      <c r="G6" s="2" t="n"/>
      <c r="H6" s="2" t="inlineStr">
        <is>
          <t>俊兴</t>
        </is>
      </c>
      <c r="I6" s="2" t="inlineStr">
        <is>
          <t>俊兴</t>
        </is>
      </c>
      <c r="J6" s="2" t="inlineStr">
        <is>
          <t>已开票</t>
        </is>
      </c>
      <c r="K6" s="9" t="n">
        <v>36.36</v>
      </c>
      <c r="L6" s="10" t="n">
        <v>83264.39999999999</v>
      </c>
      <c r="M6" s="11">
        <f>Q6+S6-AA6-AC6-AD6</f>
        <v/>
      </c>
      <c r="N6" s="12">
        <f>IF(K6=0,0,M6/K6)</f>
        <v/>
      </c>
      <c r="O6" s="10" t="n">
        <v>0</v>
      </c>
      <c r="P6" s="12" t="n"/>
      <c r="Q6" s="10" t="n">
        <v>0</v>
      </c>
      <c r="R6" s="12" t="n">
        <v>20</v>
      </c>
      <c r="S6" s="10" t="n">
        <v>727.2</v>
      </c>
      <c r="T6" s="12" t="n">
        <v>14</v>
      </c>
      <c r="U6" s="10" t="n">
        <v>71607.38399999999</v>
      </c>
      <c r="V6" s="12" t="n">
        <v>23</v>
      </c>
      <c r="W6" s="10" t="n">
        <v>836.28</v>
      </c>
      <c r="X6" s="10" t="n">
        <v>82428.12</v>
      </c>
      <c r="Y6" s="12" t="n">
        <v>13.5</v>
      </c>
      <c r="Z6" s="10" t="n">
        <v>71300.3238</v>
      </c>
      <c r="AA6" s="10" t="n">
        <v>307.0601999999926</v>
      </c>
      <c r="AB6" s="12" t="n">
        <v>0</v>
      </c>
      <c r="AC6" s="10" t="n">
        <v>0</v>
      </c>
      <c r="AD6" s="10" t="n">
        <v>0</v>
      </c>
      <c r="AE6" s="2" t="n"/>
      <c r="AF6" s="2" t="inlineStr">
        <is>
          <t>我们配票（经俊兴）</t>
        </is>
      </c>
      <c r="AG6" s="10" t="n">
        <v>82428.12</v>
      </c>
      <c r="AH6" s="2" t="inlineStr">
        <is>
          <t>—</t>
        </is>
      </c>
      <c r="AI6" s="2" t="inlineStr">
        <is>
          <t>按状态视为已完成(历史)</t>
        </is>
      </c>
      <c r="AJ6" s="2" t="inlineStr">
        <is>
          <t>待登记</t>
        </is>
      </c>
      <c r="AK6" s="2" t="inlineStr">
        <is>
          <t>—</t>
        </is>
      </c>
      <c r="AL6" s="2" t="inlineStr">
        <is>
          <t>未开始(前一环节未完成)</t>
        </is>
      </c>
      <c r="AM6" s="10" t="n">
        <v>0</v>
      </c>
      <c r="AN6" s="8" t="n">
        <v>46255</v>
      </c>
      <c r="AO6" s="2" t="inlineStr">
        <is>
          <t>2026-08</t>
        </is>
      </c>
      <c r="AP6" s="9" t="n">
        <v>0.3</v>
      </c>
      <c r="AQ6" s="2" t="inlineStr">
        <is>
          <t>台账历史数据-已出结算单（具体单号未录入）</t>
        </is>
      </c>
      <c r="AR6" s="2" t="inlineStr">
        <is>
          <t>华西特钢</t>
        </is>
      </c>
      <c r="AS6" s="2" t="inlineStr">
        <is>
          <t>华西-欧冶户头</t>
        </is>
      </c>
      <c r="AT6" s="2" t="n"/>
      <c r="AU6" s="2" t="inlineStr">
        <is>
          <t>由台账 Excel 历史数据自动导入（8.19付款明细-欧冶物宝1.xlsx 第8行），日期为过磅日期近似值</t>
        </is>
      </c>
    </row>
    <row r="7">
      <c r="A7" s="2" t="n">
        <v>5</v>
      </c>
      <c r="B7" s="8" t="n">
        <v>46255</v>
      </c>
      <c r="C7" s="2" t="inlineStr">
        <is>
          <t>苏EQB977</t>
        </is>
      </c>
      <c r="D7" s="2" t="inlineStr">
        <is>
          <t>车</t>
        </is>
      </c>
      <c r="E7" s="2" t="inlineStr">
        <is>
          <t>配票/反向</t>
        </is>
      </c>
      <c r="F7" s="2" t="inlineStr">
        <is>
          <t>配票</t>
        </is>
      </c>
      <c r="G7" s="2" t="n"/>
      <c r="H7" s="2" t="inlineStr">
        <is>
          <t>俊兴</t>
        </is>
      </c>
      <c r="I7" s="2" t="inlineStr">
        <is>
          <t>俊兴</t>
        </is>
      </c>
      <c r="J7" s="2" t="inlineStr">
        <is>
          <t>已开票</t>
        </is>
      </c>
      <c r="K7" s="9" t="n">
        <v>32.94</v>
      </c>
      <c r="L7" s="10" t="n">
        <v>75432.60000000001</v>
      </c>
      <c r="M7" s="11">
        <f>Q7+S7-AA7-AC7-AD7</f>
        <v/>
      </c>
      <c r="N7" s="12">
        <f>IF(K7=0,0,M7/K7)</f>
        <v/>
      </c>
      <c r="O7" s="10" t="n">
        <v>0</v>
      </c>
      <c r="P7" s="12" t="n"/>
      <c r="Q7" s="10" t="n">
        <v>0</v>
      </c>
      <c r="R7" s="12" t="n">
        <v>20</v>
      </c>
      <c r="S7" s="10" t="n">
        <v>658.8</v>
      </c>
      <c r="T7" s="12" t="n">
        <v>14</v>
      </c>
      <c r="U7" s="10" t="n">
        <v>64872.03600000001</v>
      </c>
      <c r="V7" s="12" t="n">
        <v>23</v>
      </c>
      <c r="W7" s="10" t="n">
        <v>757.6199999999999</v>
      </c>
      <c r="X7" s="10" t="n">
        <v>74674.98000000001</v>
      </c>
      <c r="Y7" s="12" t="n">
        <v>13.5</v>
      </c>
      <c r="Z7" s="10" t="n">
        <v>64593.85770000001</v>
      </c>
      <c r="AA7" s="10" t="n">
        <v>278.1782999999996</v>
      </c>
      <c r="AB7" s="12" t="n">
        <v>0</v>
      </c>
      <c r="AC7" s="10" t="n">
        <v>0</v>
      </c>
      <c r="AD7" s="10" t="n">
        <v>0</v>
      </c>
      <c r="AE7" s="2" t="n"/>
      <c r="AF7" s="2" t="inlineStr">
        <is>
          <t>我们配票（经俊兴）</t>
        </is>
      </c>
      <c r="AG7" s="10" t="n">
        <v>74674.98</v>
      </c>
      <c r="AH7" s="2" t="inlineStr">
        <is>
          <t>—</t>
        </is>
      </c>
      <c r="AI7" s="2" t="inlineStr">
        <is>
          <t>按状态视为已完成(历史)</t>
        </is>
      </c>
      <c r="AJ7" s="2" t="inlineStr">
        <is>
          <t>待登记</t>
        </is>
      </c>
      <c r="AK7" s="2" t="inlineStr">
        <is>
          <t>—</t>
        </is>
      </c>
      <c r="AL7" s="2" t="inlineStr">
        <is>
          <t>未开始(前一环节未完成)</t>
        </is>
      </c>
      <c r="AM7" s="10" t="n">
        <v>0</v>
      </c>
      <c r="AN7" s="8" t="n">
        <v>46255</v>
      </c>
      <c r="AO7" s="2" t="inlineStr">
        <is>
          <t>2026-08</t>
        </is>
      </c>
      <c r="AP7" s="9" t="n">
        <v>0.3</v>
      </c>
      <c r="AQ7" s="2" t="inlineStr">
        <is>
          <t>台账历史数据-已出结算单（具体单号未录入）</t>
        </is>
      </c>
      <c r="AR7" s="2" t="inlineStr">
        <is>
          <t>华西特钢</t>
        </is>
      </c>
      <c r="AS7" s="2" t="inlineStr">
        <is>
          <t>华西-欧冶户头</t>
        </is>
      </c>
      <c r="AT7" s="2" t="n"/>
      <c r="AU7" s="2" t="inlineStr">
        <is>
          <t>由台账 Excel 历史数据自动导入（8.19付款明细-欧冶物宝1.xlsx 第9行），日期为过磅日期近似值</t>
        </is>
      </c>
    </row>
    <row r="8">
      <c r="A8" s="2" t="n">
        <v>6</v>
      </c>
      <c r="B8" s="8" t="n">
        <v>46255</v>
      </c>
      <c r="C8" s="2" t="inlineStr">
        <is>
          <t>苏BUK952</t>
        </is>
      </c>
      <c r="D8" s="2" t="inlineStr">
        <is>
          <t>车</t>
        </is>
      </c>
      <c r="E8" s="2" t="inlineStr">
        <is>
          <t>配票/反向</t>
        </is>
      </c>
      <c r="F8" s="2" t="inlineStr">
        <is>
          <t>配票</t>
        </is>
      </c>
      <c r="G8" s="2" t="inlineStr">
        <is>
          <t>林凯</t>
        </is>
      </c>
      <c r="H8" s="2" t="inlineStr">
        <is>
          <t>林凯车队</t>
        </is>
      </c>
      <c r="I8" s="2" t="inlineStr">
        <is>
          <t>俊兴</t>
        </is>
      </c>
      <c r="J8" s="2" t="inlineStr">
        <is>
          <t>已开票</t>
        </is>
      </c>
      <c r="K8" s="9" t="n">
        <v>24.41</v>
      </c>
      <c r="L8" s="10" t="n">
        <v>59023.38</v>
      </c>
      <c r="M8" s="11">
        <f>Q8+S8-AA8-AC8-AD8</f>
        <v/>
      </c>
      <c r="N8" s="12">
        <f>IF(K8=0,0,M8/K8)</f>
        <v/>
      </c>
      <c r="O8" s="10" t="n">
        <v>0</v>
      </c>
      <c r="P8" s="12" t="n"/>
      <c r="Q8" s="10" t="n">
        <v>0</v>
      </c>
      <c r="R8" s="12" t="n">
        <v>20</v>
      </c>
      <c r="S8" s="10" t="n">
        <v>488.2</v>
      </c>
      <c r="T8" s="12" t="n">
        <v>14</v>
      </c>
      <c r="U8" s="10" t="n">
        <v>50760.1068</v>
      </c>
      <c r="V8" s="12" t="n">
        <v>23</v>
      </c>
      <c r="W8" s="10" t="n">
        <v>561.4299999999999</v>
      </c>
      <c r="X8" s="10" t="n">
        <v>58461.95</v>
      </c>
      <c r="Y8" s="12" t="n">
        <v>13.5</v>
      </c>
      <c r="Z8" s="10" t="n">
        <v>50569.58675</v>
      </c>
      <c r="AA8" s="10" t="n">
        <v>190.5200499999992</v>
      </c>
      <c r="AB8" s="12" t="n">
        <v>5</v>
      </c>
      <c r="AC8" s="10" t="n">
        <v>122.05</v>
      </c>
      <c r="AD8" s="10" t="n">
        <v>0</v>
      </c>
      <c r="AE8" s="2" t="n"/>
      <c r="AF8" s="2" t="inlineStr">
        <is>
          <t>我们配票（经俊兴）</t>
        </is>
      </c>
      <c r="AG8" s="10" t="n">
        <v>58461.95</v>
      </c>
      <c r="AH8" s="2" t="inlineStr">
        <is>
          <t>—</t>
        </is>
      </c>
      <c r="AI8" s="2" t="inlineStr">
        <is>
          <t>按状态视为已完成(历史)</t>
        </is>
      </c>
      <c r="AJ8" s="2" t="inlineStr">
        <is>
          <t>待登记</t>
        </is>
      </c>
      <c r="AK8" s="2" t="inlineStr">
        <is>
          <t>—</t>
        </is>
      </c>
      <c r="AL8" s="2" t="inlineStr">
        <is>
          <t>未开始(前一环节未完成)</t>
        </is>
      </c>
      <c r="AM8" s="10" t="n">
        <v>0</v>
      </c>
      <c r="AN8" s="8" t="n">
        <v>46255</v>
      </c>
      <c r="AO8" s="2" t="inlineStr">
        <is>
          <t>2026-08</t>
        </is>
      </c>
      <c r="AP8" s="9" t="n">
        <v>0.25</v>
      </c>
      <c r="AQ8" s="2" t="inlineStr">
        <is>
          <t>台账历史数据-已出结算单（具体单号未录入）</t>
        </is>
      </c>
      <c r="AR8" s="2" t="inlineStr">
        <is>
          <t>华西特钢</t>
        </is>
      </c>
      <c r="AS8" s="2" t="inlineStr">
        <is>
          <t>华西-欧冶户头</t>
        </is>
      </c>
      <c r="AT8" s="2" t="n"/>
      <c r="AU8" s="2" t="inlineStr">
        <is>
          <t>由台账 Excel 历史数据自动导入（8.19付款明细-欧冶物宝1.xlsx 第10行），日期为过磅日期近似值 [原货主:林凯]</t>
        </is>
      </c>
    </row>
    <row r="9">
      <c r="A9" s="2" t="n">
        <v>7</v>
      </c>
      <c r="B9" s="8" t="n">
        <v>46256</v>
      </c>
      <c r="C9" s="2" t="inlineStr">
        <is>
          <t>苏DBB772</t>
        </is>
      </c>
      <c r="D9" s="2" t="inlineStr">
        <is>
          <t>车</t>
        </is>
      </c>
      <c r="E9" s="2" t="inlineStr">
        <is>
          <t>配票/反向</t>
        </is>
      </c>
      <c r="F9" s="2" t="inlineStr">
        <is>
          <t>配票</t>
        </is>
      </c>
      <c r="G9" s="2" t="inlineStr">
        <is>
          <t>林凯</t>
        </is>
      </c>
      <c r="H9" s="2" t="inlineStr">
        <is>
          <t>林凯车队</t>
        </is>
      </c>
      <c r="I9" s="2" t="inlineStr">
        <is>
          <t>俊兴</t>
        </is>
      </c>
      <c r="J9" s="2" t="inlineStr">
        <is>
          <t>已开票</t>
        </is>
      </c>
      <c r="K9" s="9" t="n">
        <v>69.5</v>
      </c>
      <c r="L9" s="10" t="n">
        <v>159155</v>
      </c>
      <c r="M9" s="11">
        <f>Q9+S9-AA9-AC9-AD9</f>
        <v/>
      </c>
      <c r="N9" s="12">
        <f>IF(K9=0,0,M9/K9)</f>
        <v/>
      </c>
      <c r="O9" s="10" t="n">
        <v>0</v>
      </c>
      <c r="P9" s="12" t="n"/>
      <c r="Q9" s="10" t="n">
        <v>0</v>
      </c>
      <c r="R9" s="12" t="n">
        <v>20</v>
      </c>
      <c r="S9" s="10" t="n">
        <v>1390</v>
      </c>
      <c r="T9" s="12" t="n">
        <v>14</v>
      </c>
      <c r="U9" s="10" t="n">
        <v>136873.3</v>
      </c>
      <c r="V9" s="12" t="n">
        <v>23</v>
      </c>
      <c r="W9" s="10" t="n">
        <v>1598.5</v>
      </c>
      <c r="X9" s="10" t="n">
        <v>157556.5</v>
      </c>
      <c r="Y9" s="12" t="n">
        <v>13.5</v>
      </c>
      <c r="Z9" s="10" t="n">
        <v>136286.3725</v>
      </c>
      <c r="AA9" s="10" t="n">
        <v>586.9274999999907</v>
      </c>
      <c r="AB9" s="12" t="n">
        <v>5</v>
      </c>
      <c r="AC9" s="10" t="n">
        <v>347.5</v>
      </c>
      <c r="AD9" s="10" t="n">
        <v>0</v>
      </c>
      <c r="AE9" s="2" t="n"/>
      <c r="AF9" s="2" t="inlineStr">
        <is>
          <t>我们配票（经俊兴）</t>
        </is>
      </c>
      <c r="AG9" s="10" t="n">
        <v>157556.5</v>
      </c>
      <c r="AH9" s="2" t="inlineStr">
        <is>
          <t>—</t>
        </is>
      </c>
      <c r="AI9" s="2" t="inlineStr">
        <is>
          <t>按状态视为已完成(历史)</t>
        </is>
      </c>
      <c r="AJ9" s="2" t="inlineStr">
        <is>
          <t>待登记</t>
        </is>
      </c>
      <c r="AK9" s="2" t="inlineStr">
        <is>
          <t>—</t>
        </is>
      </c>
      <c r="AL9" s="2" t="inlineStr">
        <is>
          <t>未开始(前一环节未完成)</t>
        </is>
      </c>
      <c r="AM9" s="10" t="n">
        <v>0</v>
      </c>
      <c r="AN9" s="8" t="n">
        <v>46256</v>
      </c>
      <c r="AO9" s="2" t="inlineStr">
        <is>
          <t>2026-08</t>
        </is>
      </c>
      <c r="AP9" s="9" t="n">
        <v>1.4</v>
      </c>
      <c r="AQ9" s="2" t="inlineStr">
        <is>
          <t>台账历史数据-已出结算单（具体单号未录入）</t>
        </is>
      </c>
      <c r="AR9" s="2" t="inlineStr">
        <is>
          <t>华西特钢</t>
        </is>
      </c>
      <c r="AS9" s="2" t="inlineStr">
        <is>
          <t>华西-欧冶户头</t>
        </is>
      </c>
      <c r="AT9" s="2" t="n"/>
      <c r="AU9" s="2" t="inlineStr">
        <is>
          <t>由台账 Excel 历史数据自动导入（8.19付款明细-欧冶物宝1.xlsx 第12行），日期为过磅日期近似值 [原货主:林凯]</t>
        </is>
      </c>
    </row>
    <row r="10">
      <c r="A10" s="2" t="n">
        <v>8</v>
      </c>
      <c r="B10" s="8" t="n">
        <v>46256</v>
      </c>
      <c r="C10" s="2" t="inlineStr">
        <is>
          <t>苏E9W908</t>
        </is>
      </c>
      <c r="D10" s="2" t="inlineStr">
        <is>
          <t>车</t>
        </is>
      </c>
      <c r="E10" s="2" t="inlineStr">
        <is>
          <t>配票/反向</t>
        </is>
      </c>
      <c r="F10" s="2" t="inlineStr">
        <is>
          <t>配票</t>
        </is>
      </c>
      <c r="G10" s="2" t="inlineStr">
        <is>
          <t>邓晶焱</t>
        </is>
      </c>
      <c r="H10" s="2" t="inlineStr">
        <is>
          <t>邓晶焱车队</t>
        </is>
      </c>
      <c r="I10" s="2" t="inlineStr">
        <is>
          <t>俊兴</t>
        </is>
      </c>
      <c r="J10" s="2" t="inlineStr">
        <is>
          <t>已开票</t>
        </is>
      </c>
      <c r="K10" s="9" t="n">
        <v>39.16</v>
      </c>
      <c r="L10" s="10" t="n">
        <v>91242.8</v>
      </c>
      <c r="M10" s="11">
        <f>Q10+S10-AA10-AC10-AD10</f>
        <v/>
      </c>
      <c r="N10" s="12">
        <f>IF(K10=0,0,M10/K10)</f>
        <v/>
      </c>
      <c r="O10" s="10" t="n">
        <v>0</v>
      </c>
      <c r="P10" s="12" t="n"/>
      <c r="Q10" s="10" t="n">
        <v>0</v>
      </c>
      <c r="R10" s="12" t="n">
        <v>20</v>
      </c>
      <c r="S10" s="10" t="n">
        <v>783.2</v>
      </c>
      <c r="T10" s="12" t="n">
        <v>14</v>
      </c>
      <c r="U10" s="10" t="n">
        <v>78468.808</v>
      </c>
      <c r="V10" s="12" t="n">
        <v>23</v>
      </c>
      <c r="W10" s="10" t="n">
        <v>900.6799999999999</v>
      </c>
      <c r="X10" s="10" t="n">
        <v>90342.12000000001</v>
      </c>
      <c r="Y10" s="12" t="n">
        <v>13.5</v>
      </c>
      <c r="Z10" s="10" t="n">
        <v>78145.93380000001</v>
      </c>
      <c r="AA10" s="10" t="n">
        <v>322.8741999999911</v>
      </c>
      <c r="AB10" s="12" t="n">
        <v>0</v>
      </c>
      <c r="AC10" s="10" t="n">
        <v>0</v>
      </c>
      <c r="AD10" s="10" t="n">
        <v>0</v>
      </c>
      <c r="AE10" s="2" t="n"/>
      <c r="AF10" s="2" t="inlineStr">
        <is>
          <t>我们配票（经俊兴）</t>
        </is>
      </c>
      <c r="AG10" s="10" t="n">
        <v>90342.12</v>
      </c>
      <c r="AH10" s="2" t="inlineStr">
        <is>
          <t>—</t>
        </is>
      </c>
      <c r="AI10" s="2" t="inlineStr">
        <is>
          <t>按状态视为已完成(历史)</t>
        </is>
      </c>
      <c r="AJ10" s="2" t="inlineStr">
        <is>
          <t>待登记</t>
        </is>
      </c>
      <c r="AK10" s="2" t="inlineStr">
        <is>
          <t>—</t>
        </is>
      </c>
      <c r="AL10" s="2" t="inlineStr">
        <is>
          <t>未开始(前一环节未完成)</t>
        </is>
      </c>
      <c r="AM10" s="10" t="n">
        <v>0</v>
      </c>
      <c r="AN10" s="8" t="n">
        <v>46256</v>
      </c>
      <c r="AO10" s="2" t="inlineStr">
        <is>
          <t>2026-08</t>
        </is>
      </c>
      <c r="AP10" s="9" t="n">
        <v>1</v>
      </c>
      <c r="AQ10" s="2" t="inlineStr">
        <is>
          <t>台账历史数据-已出结算单（具体单号未录入）</t>
        </is>
      </c>
      <c r="AR10" s="2" t="inlineStr">
        <is>
          <t>华西特钢</t>
        </is>
      </c>
      <c r="AS10" s="2" t="inlineStr">
        <is>
          <t>华西-欧冶户头</t>
        </is>
      </c>
      <c r="AT10" s="2" t="n"/>
      <c r="AU10" s="2" t="inlineStr">
        <is>
          <t>由台账 Excel 历史数据自动导入（8.19付款明细-欧冶物宝1.xlsx 第13行），日期为过磅日期近似值</t>
        </is>
      </c>
    </row>
    <row r="11">
      <c r="A11" s="2" t="n">
        <v>9</v>
      </c>
      <c r="B11" s="8" t="n">
        <v>46256</v>
      </c>
      <c r="C11" s="2" t="inlineStr">
        <is>
          <t>苏MAK862</t>
        </is>
      </c>
      <c r="D11" s="2" t="inlineStr">
        <is>
          <t>车</t>
        </is>
      </c>
      <c r="E11" s="2" t="inlineStr">
        <is>
          <t>配票/反向</t>
        </is>
      </c>
      <c r="F11" s="2" t="inlineStr">
        <is>
          <t>配票</t>
        </is>
      </c>
      <c r="G11" s="2" t="n"/>
      <c r="H11" s="2" t="inlineStr">
        <is>
          <t>俊兴</t>
        </is>
      </c>
      <c r="I11" s="2" t="inlineStr">
        <is>
          <t>俊兴</t>
        </is>
      </c>
      <c r="J11" s="2" t="inlineStr">
        <is>
          <t>已开票</t>
        </is>
      </c>
      <c r="K11" s="9" t="n">
        <v>34.24</v>
      </c>
      <c r="L11" s="10" t="n">
        <v>78409.60000000001</v>
      </c>
      <c r="M11" s="11">
        <f>Q11+S11-AA11-AC11-AD11</f>
        <v/>
      </c>
      <c r="N11" s="12">
        <f>IF(K11=0,0,M11/K11)</f>
        <v/>
      </c>
      <c r="O11" s="10" t="n">
        <v>0</v>
      </c>
      <c r="P11" s="12" t="n"/>
      <c r="Q11" s="10" t="n">
        <v>0</v>
      </c>
      <c r="R11" s="12" t="n">
        <v>20</v>
      </c>
      <c r="S11" s="10" t="n">
        <v>684.8</v>
      </c>
      <c r="T11" s="12" t="n">
        <v>14</v>
      </c>
      <c r="U11" s="10" t="n">
        <v>67432.25600000001</v>
      </c>
      <c r="V11" s="12" t="n">
        <v>23</v>
      </c>
      <c r="W11" s="10" t="n">
        <v>787.5200000000001</v>
      </c>
      <c r="X11" s="10" t="n">
        <v>77622.08</v>
      </c>
      <c r="Y11" s="12" t="n">
        <v>13.5</v>
      </c>
      <c r="Z11" s="10" t="n">
        <v>67143.0992</v>
      </c>
      <c r="AA11" s="10" t="n">
        <v>289.1568000000116</v>
      </c>
      <c r="AB11" s="12" t="n">
        <v>0</v>
      </c>
      <c r="AC11" s="10" t="n">
        <v>0</v>
      </c>
      <c r="AD11" s="10" t="n">
        <v>0</v>
      </c>
      <c r="AE11" s="2" t="n"/>
      <c r="AF11" s="2" t="inlineStr">
        <is>
          <t>我们配票（经俊兴）</t>
        </is>
      </c>
      <c r="AG11" s="10" t="n">
        <v>77622.08</v>
      </c>
      <c r="AH11" s="2" t="inlineStr">
        <is>
          <t>—</t>
        </is>
      </c>
      <c r="AI11" s="2" t="inlineStr">
        <is>
          <t>按状态视为已完成(历史)</t>
        </is>
      </c>
      <c r="AJ11" s="2" t="inlineStr">
        <is>
          <t>待登记</t>
        </is>
      </c>
      <c r="AK11" s="2" t="inlineStr">
        <is>
          <t>—</t>
        </is>
      </c>
      <c r="AL11" s="2" t="inlineStr">
        <is>
          <t>未开始(前一环节未完成)</t>
        </is>
      </c>
      <c r="AM11" s="10" t="n">
        <v>0</v>
      </c>
      <c r="AN11" s="8" t="n">
        <v>46256</v>
      </c>
      <c r="AO11" s="2" t="inlineStr">
        <is>
          <t>2026-08</t>
        </is>
      </c>
      <c r="AP11" s="9" t="n">
        <v>0.6</v>
      </c>
      <c r="AQ11" s="2" t="inlineStr">
        <is>
          <t>台账历史数据-已出结算单（具体单号未录入）</t>
        </is>
      </c>
      <c r="AR11" s="2" t="inlineStr">
        <is>
          <t>华西特钢</t>
        </is>
      </c>
      <c r="AS11" s="2" t="inlineStr">
        <is>
          <t>华西-欧冶户头</t>
        </is>
      </c>
      <c r="AT11" s="2" t="n"/>
      <c r="AU11" s="2" t="inlineStr">
        <is>
          <t>由台账 Excel 历史数据自动导入（8.19付款明细-欧冶物宝1.xlsx 第14行），日期为过磅日期近似值</t>
        </is>
      </c>
    </row>
    <row r="12">
      <c r="A12" s="2" t="n">
        <v>10</v>
      </c>
      <c r="B12" s="8" t="n">
        <v>46259</v>
      </c>
      <c r="C12" s="2" t="inlineStr">
        <is>
          <t>苏DBE075</t>
        </is>
      </c>
      <c r="D12" s="2" t="inlineStr">
        <is>
          <t>车</t>
        </is>
      </c>
      <c r="E12" s="2" t="inlineStr">
        <is>
          <t>配票/反向</t>
        </is>
      </c>
      <c r="F12" s="2" t="inlineStr">
        <is>
          <t>配票</t>
        </is>
      </c>
      <c r="G12" s="2" t="inlineStr">
        <is>
          <t>林凯</t>
        </is>
      </c>
      <c r="H12" s="2" t="inlineStr">
        <is>
          <t>林凯车队</t>
        </is>
      </c>
      <c r="I12" s="2" t="inlineStr">
        <is>
          <t>俊兴</t>
        </is>
      </c>
      <c r="J12" s="2" t="inlineStr">
        <is>
          <t>已开票</t>
        </is>
      </c>
      <c r="K12" s="9" t="n">
        <v>81</v>
      </c>
      <c r="L12" s="10" t="n">
        <v>184032</v>
      </c>
      <c r="M12" s="11">
        <f>Q12+S12-AA12-AC12-AD12</f>
        <v/>
      </c>
      <c r="N12" s="12">
        <f>IF(K12=0,0,M12/K12)</f>
        <v/>
      </c>
      <c r="O12" s="10" t="n">
        <v>0</v>
      </c>
      <c r="P12" s="12" t="n"/>
      <c r="Q12" s="10" t="n">
        <v>0</v>
      </c>
      <c r="R12" s="12" t="n">
        <v>20</v>
      </c>
      <c r="S12" s="10" t="n">
        <v>1620</v>
      </c>
      <c r="T12" s="12" t="n">
        <v>14</v>
      </c>
      <c r="U12" s="10" t="n">
        <v>158267.52</v>
      </c>
      <c r="V12" s="12" t="n">
        <v>23</v>
      </c>
      <c r="W12" s="10" t="n">
        <v>1863</v>
      </c>
      <c r="X12" s="10" t="n">
        <v>182169</v>
      </c>
      <c r="Y12" s="12" t="n">
        <v>13.5</v>
      </c>
      <c r="Z12" s="10" t="n">
        <v>157576.185</v>
      </c>
      <c r="AA12" s="10" t="n">
        <v>691.3349999999919</v>
      </c>
      <c r="AB12" s="12" t="n">
        <v>5</v>
      </c>
      <c r="AC12" s="10" t="n">
        <v>405</v>
      </c>
      <c r="AD12" s="10" t="n">
        <v>0</v>
      </c>
      <c r="AE12" s="2" t="n"/>
      <c r="AF12" s="2" t="inlineStr">
        <is>
          <t>我们配票（经俊兴）</t>
        </is>
      </c>
      <c r="AG12" s="10" t="n">
        <v>182169</v>
      </c>
      <c r="AH12" s="2" t="inlineStr">
        <is>
          <t>—</t>
        </is>
      </c>
      <c r="AI12" s="2" t="inlineStr">
        <is>
          <t>按状态视为已完成(历史)</t>
        </is>
      </c>
      <c r="AJ12" s="2" t="inlineStr">
        <is>
          <t>待登记</t>
        </is>
      </c>
      <c r="AK12" s="2" t="inlineStr">
        <is>
          <t>—</t>
        </is>
      </c>
      <c r="AL12" s="2" t="inlineStr">
        <is>
          <t>未开始(前一环节未完成)</t>
        </is>
      </c>
      <c r="AM12" s="10" t="n">
        <v>0</v>
      </c>
      <c r="AN12" s="8" t="n">
        <v>46259</v>
      </c>
      <c r="AO12" s="2" t="inlineStr">
        <is>
          <t>2026-08</t>
        </is>
      </c>
      <c r="AP12" s="9" t="n">
        <v>1.2</v>
      </c>
      <c r="AQ12" s="2" t="inlineStr">
        <is>
          <t>台账历史数据-已出结算单（具体单号未录入）</t>
        </is>
      </c>
      <c r="AR12" s="2" t="inlineStr">
        <is>
          <t>华西特钢</t>
        </is>
      </c>
      <c r="AS12" s="2" t="inlineStr">
        <is>
          <t>华西-欧冶户头</t>
        </is>
      </c>
      <c r="AT12" s="2" t="n"/>
      <c r="AU12" s="2" t="inlineStr">
        <is>
          <t>由台账 Excel 历史数据自动导入（8.19付款明细-欧冶物宝1.xlsx 第15行），日期为过磅日期近似值 [原货主:林凯]</t>
        </is>
      </c>
    </row>
    <row r="13">
      <c r="A13" s="2" t="n">
        <v>11</v>
      </c>
      <c r="B13" s="8" t="n">
        <v>46261</v>
      </c>
      <c r="C13" s="2" t="inlineStr">
        <is>
          <t>苏淮货16776</t>
        </is>
      </c>
      <c r="D13" s="2" t="inlineStr">
        <is>
          <t>船</t>
        </is>
      </c>
      <c r="E13" s="2" t="inlineStr">
        <is>
          <t>配票/反向</t>
        </is>
      </c>
      <c r="F13" s="2" t="inlineStr">
        <is>
          <t>配票</t>
        </is>
      </c>
      <c r="G13" s="2" t="n"/>
      <c r="H13" s="2" t="inlineStr">
        <is>
          <t>俊兴</t>
        </is>
      </c>
      <c r="I13" s="2" t="inlineStr">
        <is>
          <t>俊兴</t>
        </is>
      </c>
      <c r="J13" s="2" t="inlineStr">
        <is>
          <t>已开票</t>
        </is>
      </c>
      <c r="K13" s="9" t="n">
        <v>560.39</v>
      </c>
      <c r="L13" s="10" t="n">
        <v>1344115.89</v>
      </c>
      <c r="M13" s="11">
        <f>Q13+S13-AA13-AC13-AD13</f>
        <v/>
      </c>
      <c r="N13" s="12">
        <f>IF(K13=0,0,M13/K13)</f>
        <v/>
      </c>
      <c r="O13" s="10" t="n">
        <v>0</v>
      </c>
      <c r="P13" s="12" t="n"/>
      <c r="Q13" s="10" t="n">
        <v>0</v>
      </c>
      <c r="R13" s="12" t="n">
        <v>25</v>
      </c>
      <c r="S13" s="10" t="n">
        <v>14009.75</v>
      </c>
      <c r="T13" s="12" t="n">
        <v>14</v>
      </c>
      <c r="U13" s="10" t="n">
        <v>1155939.6654</v>
      </c>
      <c r="V13" s="12" t="n">
        <v>23</v>
      </c>
      <c r="W13" s="10" t="n">
        <v>12888.97</v>
      </c>
      <c r="X13" s="10" t="n">
        <v>1331226.92</v>
      </c>
      <c r="Y13" s="12" t="n">
        <v>13.5</v>
      </c>
      <c r="Z13" s="10" t="n">
        <v>1151511.2858</v>
      </c>
      <c r="AA13" s="10" t="n">
        <v>4428.379599999869</v>
      </c>
      <c r="AB13" s="12" t="n">
        <v>0</v>
      </c>
      <c r="AC13" s="10" t="n">
        <v>0</v>
      </c>
      <c r="AD13" s="10" t="n">
        <v>0</v>
      </c>
      <c r="AE13" s="2" t="n"/>
      <c r="AF13" s="2" t="inlineStr">
        <is>
          <t>我们配票（经俊兴）</t>
        </is>
      </c>
      <c r="AG13" s="10" t="n">
        <v>1331226.92</v>
      </c>
      <c r="AH13" s="2" t="inlineStr">
        <is>
          <t>—</t>
        </is>
      </c>
      <c r="AI13" s="2" t="inlineStr">
        <is>
          <t>按状态视为已完成(历史)</t>
        </is>
      </c>
      <c r="AJ13" s="2" t="inlineStr">
        <is>
          <t>待登记</t>
        </is>
      </c>
      <c r="AK13" s="2" t="inlineStr">
        <is>
          <t>—</t>
        </is>
      </c>
      <c r="AL13" s="2" t="inlineStr">
        <is>
          <t>未开始(前一环节未完成)</t>
        </is>
      </c>
      <c r="AM13" s="10" t="n">
        <v>0</v>
      </c>
      <c r="AN13" s="8" t="n">
        <v>46261</v>
      </c>
      <c r="AO13" s="2" t="inlineStr">
        <is>
          <t>2026-08</t>
        </is>
      </c>
      <c r="AP13" s="9" t="n">
        <v>0</v>
      </c>
      <c r="AQ13" s="2" t="inlineStr">
        <is>
          <t>台账历史数据-已出结算单（具体单号未录入）</t>
        </is>
      </c>
      <c r="AR13" s="2" t="inlineStr">
        <is>
          <t>华西特钢</t>
        </is>
      </c>
      <c r="AS13" s="2" t="inlineStr">
        <is>
          <t>华西-欧冶户头</t>
        </is>
      </c>
      <c r="AT13" s="2" t="n"/>
      <c r="AU13" s="2" t="inlineStr">
        <is>
          <t>由台账 Excel 历史数据自动导入（8.19付款明细-欧冶物宝1.xlsx 第17行），日期为过磅日期近似值</t>
        </is>
      </c>
    </row>
    <row r="14">
      <c r="A14" s="2" t="n">
        <v>12</v>
      </c>
      <c r="B14" s="8" t="n">
        <v>46261</v>
      </c>
      <c r="C14" s="2" t="inlineStr">
        <is>
          <t>苏NEX375</t>
        </is>
      </c>
      <c r="D14" s="2" t="inlineStr">
        <is>
          <t>车</t>
        </is>
      </c>
      <c r="E14" s="2" t="inlineStr">
        <is>
          <t>配票/反向</t>
        </is>
      </c>
      <c r="F14" s="2" t="inlineStr">
        <is>
          <t>配票</t>
        </is>
      </c>
      <c r="G14" s="2" t="inlineStr">
        <is>
          <t>林凯</t>
        </is>
      </c>
      <c r="H14" s="2" t="inlineStr">
        <is>
          <t>林凯车队</t>
        </is>
      </c>
      <c r="I14" s="2" t="inlineStr">
        <is>
          <t>俊兴</t>
        </is>
      </c>
      <c r="J14" s="2" t="inlineStr">
        <is>
          <t>已开票</t>
        </is>
      </c>
      <c r="K14" s="9" t="n">
        <v>40.27</v>
      </c>
      <c r="L14" s="10" t="n">
        <v>93426.39999999999</v>
      </c>
      <c r="M14" s="11">
        <f>Q14+S14-AA14-AC14-AD14</f>
        <v/>
      </c>
      <c r="N14" s="12">
        <f>IF(K14=0,0,M14/K14)</f>
        <v/>
      </c>
      <c r="O14" s="10" t="n">
        <v>0</v>
      </c>
      <c r="P14" s="12" t="n"/>
      <c r="Q14" s="10" t="n">
        <v>0</v>
      </c>
      <c r="R14" s="12" t="n">
        <v>25</v>
      </c>
      <c r="S14" s="10" t="n">
        <v>1006.75</v>
      </c>
      <c r="T14" s="12" t="n">
        <v>14</v>
      </c>
      <c r="U14" s="10" t="n">
        <v>80346.704</v>
      </c>
      <c r="V14" s="12" t="n">
        <v>23</v>
      </c>
      <c r="W14" s="10" t="n">
        <v>926.21</v>
      </c>
      <c r="X14" s="10" t="n">
        <v>92500.18999999999</v>
      </c>
      <c r="Y14" s="12" t="n">
        <v>13.5</v>
      </c>
      <c r="Z14" s="10" t="n">
        <v>80012.66434999999</v>
      </c>
      <c r="AA14" s="10" t="n">
        <v>334.0396500000061</v>
      </c>
      <c r="AB14" s="12" t="n">
        <v>5</v>
      </c>
      <c r="AC14" s="10" t="n">
        <v>201.35</v>
      </c>
      <c r="AD14" s="10" t="n">
        <v>0</v>
      </c>
      <c r="AE14" s="2" t="n"/>
      <c r="AF14" s="2" t="inlineStr">
        <is>
          <t>我们配票（经俊兴）</t>
        </is>
      </c>
      <c r="AG14" s="10" t="n">
        <v>92500.19</v>
      </c>
      <c r="AH14" s="2" t="inlineStr">
        <is>
          <t>—</t>
        </is>
      </c>
      <c r="AI14" s="2" t="inlineStr">
        <is>
          <t>按状态视为已完成(历史)</t>
        </is>
      </c>
      <c r="AJ14" s="2" t="inlineStr">
        <is>
          <t>待登记</t>
        </is>
      </c>
      <c r="AK14" s="2" t="inlineStr">
        <is>
          <t>—</t>
        </is>
      </c>
      <c r="AL14" s="2" t="inlineStr">
        <is>
          <t>未开始(前一环节未完成)</t>
        </is>
      </c>
      <c r="AM14" s="10" t="n">
        <v>0</v>
      </c>
      <c r="AN14" s="8" t="n">
        <v>46261</v>
      </c>
      <c r="AO14" s="2" t="inlineStr">
        <is>
          <t>2026-08</t>
        </is>
      </c>
      <c r="AP14" s="9" t="n">
        <v>0.45</v>
      </c>
      <c r="AQ14" s="2" t="inlineStr">
        <is>
          <t>台账历史数据-已出结算单（具体单号未录入）</t>
        </is>
      </c>
      <c r="AR14" s="2" t="inlineStr">
        <is>
          <t>华西特钢</t>
        </is>
      </c>
      <c r="AS14" s="2" t="inlineStr">
        <is>
          <t>华西-欧冶户头</t>
        </is>
      </c>
      <c r="AT14" s="2" t="n"/>
      <c r="AU14" s="2" t="inlineStr">
        <is>
          <t>由台账 Excel 历史数据自动导入（8.19付款明细-欧冶物宝1.xlsx 第18行），日期为过磅日期近似值 [原货主:林凯]</t>
        </is>
      </c>
    </row>
    <row r="15">
      <c r="A15" s="2" t="n">
        <v>13</v>
      </c>
      <c r="B15" s="8" t="n">
        <v>46261</v>
      </c>
      <c r="C15" s="2" t="inlineStr">
        <is>
          <t>苏DFM060</t>
        </is>
      </c>
      <c r="D15" s="2" t="inlineStr">
        <is>
          <t>车</t>
        </is>
      </c>
      <c r="E15" s="2" t="inlineStr">
        <is>
          <t>配票/反向</t>
        </is>
      </c>
      <c r="F15" s="2" t="inlineStr">
        <is>
          <t>配票</t>
        </is>
      </c>
      <c r="G15" s="2" t="inlineStr">
        <is>
          <t>林凯</t>
        </is>
      </c>
      <c r="H15" s="2" t="inlineStr">
        <is>
          <t>林凯车队</t>
        </is>
      </c>
      <c r="I15" s="2" t="inlineStr">
        <is>
          <t>俊兴</t>
        </is>
      </c>
      <c r="J15" s="2" t="inlineStr">
        <is>
          <t>已开票</t>
        </is>
      </c>
      <c r="K15" s="9" t="n">
        <v>34.3</v>
      </c>
      <c r="L15" s="10" t="n">
        <v>84206.5</v>
      </c>
      <c r="M15" s="11">
        <f>Q15+S15-AA15-AC15-AD15</f>
        <v/>
      </c>
      <c r="N15" s="12">
        <f>IF(K15=0,0,M15/K15)</f>
        <v/>
      </c>
      <c r="O15" s="10" t="n">
        <v>0</v>
      </c>
      <c r="P15" s="12" t="n"/>
      <c r="Q15" s="10" t="n">
        <v>0</v>
      </c>
      <c r="R15" s="12" t="n">
        <v>25</v>
      </c>
      <c r="S15" s="10" t="n">
        <v>857.5</v>
      </c>
      <c r="T15" s="12" t="n">
        <v>14</v>
      </c>
      <c r="U15" s="10" t="n">
        <v>72417.59</v>
      </c>
      <c r="V15" s="12" t="n">
        <v>23</v>
      </c>
      <c r="W15" s="10" t="n">
        <v>788.9</v>
      </c>
      <c r="X15" s="10" t="n">
        <v>83417.60000000001</v>
      </c>
      <c r="Y15" s="12" t="n">
        <v>13.5</v>
      </c>
      <c r="Z15" s="10" t="n">
        <v>72156.224</v>
      </c>
      <c r="AA15" s="10" t="n">
        <v>261.3659999999945</v>
      </c>
      <c r="AB15" s="12" t="n">
        <v>5</v>
      </c>
      <c r="AC15" s="10" t="n">
        <v>171.5</v>
      </c>
      <c r="AD15" s="10" t="n">
        <v>0</v>
      </c>
      <c r="AE15" s="2" t="n"/>
      <c r="AF15" s="2" t="inlineStr">
        <is>
          <t>我们配票（经俊兴）</t>
        </is>
      </c>
      <c r="AG15" s="10" t="n">
        <v>83417.60000000001</v>
      </c>
      <c r="AH15" s="2" t="inlineStr">
        <is>
          <t>—</t>
        </is>
      </c>
      <c r="AI15" s="2" t="inlineStr">
        <is>
          <t>按状态视为已完成(历史)</t>
        </is>
      </c>
      <c r="AJ15" s="2" t="inlineStr">
        <is>
          <t>待登记</t>
        </is>
      </c>
      <c r="AK15" s="2" t="inlineStr">
        <is>
          <t>—</t>
        </is>
      </c>
      <c r="AL15" s="2" t="inlineStr">
        <is>
          <t>未开始(前一环节未完成)</t>
        </is>
      </c>
      <c r="AM15" s="10" t="n">
        <v>0</v>
      </c>
      <c r="AN15" s="8" t="n">
        <v>46261</v>
      </c>
      <c r="AO15" s="2" t="inlineStr">
        <is>
          <t>2026-08</t>
        </is>
      </c>
      <c r="AP15" s="9" t="n">
        <v>0.2</v>
      </c>
      <c r="AQ15" s="2" t="inlineStr">
        <is>
          <t>台账历史数据-已出结算单（具体单号未录入）</t>
        </is>
      </c>
      <c r="AR15" s="2" t="inlineStr">
        <is>
          <t>华西特钢</t>
        </is>
      </c>
      <c r="AS15" s="2" t="inlineStr">
        <is>
          <t>华西-欧冶户头</t>
        </is>
      </c>
      <c r="AT15" s="2" t="n"/>
      <c r="AU15" s="2" t="inlineStr">
        <is>
          <t>由台账 Excel 历史数据自动导入（8.19付款明细-欧冶物宝1.xlsx 第19行），日期为过磅日期近似值 [原货主:林凯]</t>
        </is>
      </c>
    </row>
    <row r="16">
      <c r="A16" s="2" t="n">
        <v>14</v>
      </c>
      <c r="B16" s="8" t="n">
        <v>46261</v>
      </c>
      <c r="C16" s="2" t="inlineStr">
        <is>
          <t>苏DBB772</t>
        </is>
      </c>
      <c r="D16" s="2" t="inlineStr">
        <is>
          <t>车</t>
        </is>
      </c>
      <c r="E16" s="2" t="inlineStr">
        <is>
          <t>配票/反向</t>
        </is>
      </c>
      <c r="F16" s="2" t="inlineStr">
        <is>
          <t>配票</t>
        </is>
      </c>
      <c r="G16" s="2" t="inlineStr">
        <is>
          <t>林凯</t>
        </is>
      </c>
      <c r="H16" s="2" t="inlineStr">
        <is>
          <t>君盛</t>
        </is>
      </c>
      <c r="I16" s="2" t="inlineStr">
        <is>
          <t>俊兴</t>
        </is>
      </c>
      <c r="J16" s="2" t="inlineStr">
        <is>
          <t>已开票</t>
        </is>
      </c>
      <c r="K16" s="9" t="n">
        <v>66.22</v>
      </c>
      <c r="L16" s="10" t="n">
        <v>148332.8</v>
      </c>
      <c r="M16" s="11">
        <f>Q16+S16-AA16-AC16-AD16</f>
        <v/>
      </c>
      <c r="N16" s="12">
        <f>IF(K16=0,0,M16/K16)</f>
        <v/>
      </c>
      <c r="O16" s="10" t="n">
        <v>0</v>
      </c>
      <c r="P16" s="12" t="n"/>
      <c r="Q16" s="10" t="n">
        <v>0</v>
      </c>
      <c r="R16" s="12" t="n">
        <v>25</v>
      </c>
      <c r="S16" s="10" t="n">
        <v>1655.5</v>
      </c>
      <c r="T16" s="12" t="n">
        <v>14</v>
      </c>
      <c r="U16" s="10" t="n">
        <v>127566.208</v>
      </c>
      <c r="V16" s="12" t="n">
        <v>23</v>
      </c>
      <c r="W16" s="10" t="n">
        <v>1523.06</v>
      </c>
      <c r="X16" s="10" t="n">
        <v>146809.74</v>
      </c>
      <c r="Y16" s="12" t="n">
        <v>13.5</v>
      </c>
      <c r="Z16" s="10" t="n">
        <v>126990.4251</v>
      </c>
      <c r="AA16" s="10" t="n">
        <v>575.7828999999911</v>
      </c>
      <c r="AB16" s="12" t="n">
        <v>5</v>
      </c>
      <c r="AC16" s="10" t="n">
        <v>331.1</v>
      </c>
      <c r="AD16" s="10" t="n">
        <v>0</v>
      </c>
      <c r="AE16" s="2" t="n"/>
      <c r="AF16" s="2" t="inlineStr">
        <is>
          <t>供货厂自带票（带票带货）</t>
        </is>
      </c>
      <c r="AG16" s="10" t="n">
        <v>146809.74</v>
      </c>
      <c r="AH16" s="2" t="inlineStr">
        <is>
          <t>—</t>
        </is>
      </c>
      <c r="AI16" s="2" t="inlineStr">
        <is>
          <t>按状态视为已完成(历史)</t>
        </is>
      </c>
      <c r="AJ16" s="2" t="inlineStr">
        <is>
          <t>待登记</t>
        </is>
      </c>
      <c r="AK16" s="2" t="inlineStr">
        <is>
          <t>—</t>
        </is>
      </c>
      <c r="AL16" s="2" t="inlineStr">
        <is>
          <t>—</t>
        </is>
      </c>
      <c r="AM16" s="10" t="n">
        <v>0</v>
      </c>
      <c r="AN16" s="8" t="n">
        <v>46261</v>
      </c>
      <c r="AO16" s="2" t="inlineStr">
        <is>
          <t>2026-08</t>
        </is>
      </c>
      <c r="AP16" s="9" t="n">
        <v>1</v>
      </c>
      <c r="AQ16" s="2" t="inlineStr">
        <is>
          <t>台账历史数据-已出结算单（具体单号未录入）</t>
        </is>
      </c>
      <c r="AR16" s="2" t="inlineStr">
        <is>
          <t>华西特钢</t>
        </is>
      </c>
      <c r="AS16" s="2" t="inlineStr">
        <is>
          <t>华西-欧冶户头</t>
        </is>
      </c>
      <c r="AT16" s="2" t="n"/>
      <c r="AU16" s="2" t="inlineStr">
        <is>
          <t>由台账 Excel 历史数据自动导入（8.19付款明细-欧冶物宝1.xlsx 第21行），日期为过磅日期近似值 [原货主:林凯]</t>
        </is>
      </c>
    </row>
    <row r="17">
      <c r="A17" s="2" t="n">
        <v>15</v>
      </c>
      <c r="B17" s="8" t="n">
        <v>46261</v>
      </c>
      <c r="C17" s="2" t="inlineStr">
        <is>
          <t>苏BDK567</t>
        </is>
      </c>
      <c r="D17" s="2" t="inlineStr">
        <is>
          <t>车</t>
        </is>
      </c>
      <c r="E17" s="2" t="inlineStr">
        <is>
          <t>配票/反向</t>
        </is>
      </c>
      <c r="F17" s="2" t="inlineStr">
        <is>
          <t>配票</t>
        </is>
      </c>
      <c r="G17" s="2" t="inlineStr">
        <is>
          <t>林凯</t>
        </is>
      </c>
      <c r="H17" s="2" t="inlineStr">
        <is>
          <t>林凯车队</t>
        </is>
      </c>
      <c r="I17" s="2" t="inlineStr">
        <is>
          <t>俊兴</t>
        </is>
      </c>
      <c r="J17" s="2" t="inlineStr">
        <is>
          <t>已开票</t>
        </is>
      </c>
      <c r="K17" s="9" t="n">
        <v>32.05</v>
      </c>
      <c r="L17" s="10" t="n">
        <v>78682.75</v>
      </c>
      <c r="M17" s="11">
        <f>Q17+S17-AA17-AC17-AD17</f>
        <v/>
      </c>
      <c r="N17" s="12">
        <f>IF(K17=0,0,M17/K17)</f>
        <v/>
      </c>
      <c r="O17" s="10" t="n">
        <v>0</v>
      </c>
      <c r="P17" s="12" t="n"/>
      <c r="Q17" s="10" t="n">
        <v>0</v>
      </c>
      <c r="R17" s="12" t="n">
        <v>25</v>
      </c>
      <c r="S17" s="10" t="n">
        <v>801.25</v>
      </c>
      <c r="T17" s="12" t="n">
        <v>14</v>
      </c>
      <c r="U17" s="10" t="n">
        <v>67667.16499999999</v>
      </c>
      <c r="V17" s="12" t="n">
        <v>23</v>
      </c>
      <c r="W17" s="10" t="n">
        <v>737.15</v>
      </c>
      <c r="X17" s="10" t="n">
        <v>77945.60000000001</v>
      </c>
      <c r="Y17" s="12" t="n">
        <v>13.5</v>
      </c>
      <c r="Z17" s="10" t="n">
        <v>67422.944</v>
      </c>
      <c r="AA17" s="10" t="n">
        <v>244.2209999999905</v>
      </c>
      <c r="AB17" s="12" t="n">
        <v>5</v>
      </c>
      <c r="AC17" s="10" t="n">
        <v>160.25</v>
      </c>
      <c r="AD17" s="10" t="n">
        <v>0</v>
      </c>
      <c r="AE17" s="2" t="n"/>
      <c r="AF17" s="2" t="inlineStr">
        <is>
          <t>我们配票（经俊兴）</t>
        </is>
      </c>
      <c r="AG17" s="10" t="n">
        <v>77945.60000000001</v>
      </c>
      <c r="AH17" s="2" t="inlineStr">
        <is>
          <t>—</t>
        </is>
      </c>
      <c r="AI17" s="2" t="inlineStr">
        <is>
          <t>按状态视为已完成(历史)</t>
        </is>
      </c>
      <c r="AJ17" s="2" t="inlineStr">
        <is>
          <t>待登记</t>
        </is>
      </c>
      <c r="AK17" s="2" t="inlineStr">
        <is>
          <t>—</t>
        </is>
      </c>
      <c r="AL17" s="2" t="inlineStr">
        <is>
          <t>未开始(前一环节未完成)</t>
        </is>
      </c>
      <c r="AM17" s="10" t="n">
        <v>0</v>
      </c>
      <c r="AN17" s="8" t="n">
        <v>46261</v>
      </c>
      <c r="AO17" s="2" t="inlineStr">
        <is>
          <t>2026-08</t>
        </is>
      </c>
      <c r="AP17" s="9" t="n">
        <v>0.25</v>
      </c>
      <c r="AQ17" s="2" t="inlineStr">
        <is>
          <t>台账历史数据-已出结算单（具体单号未录入）</t>
        </is>
      </c>
      <c r="AR17" s="2" t="inlineStr">
        <is>
          <t>华西特钢</t>
        </is>
      </c>
      <c r="AS17" s="2" t="inlineStr">
        <is>
          <t>华西-欧冶户头</t>
        </is>
      </c>
      <c r="AT17" s="2" t="n"/>
      <c r="AU17" s="2" t="inlineStr">
        <is>
          <t>由台账 Excel 历史数据自动导入（8.19付款明细-欧冶物宝1.xlsx 第22行），日期为过磅日期近似值 [原货主:林凯]</t>
        </is>
      </c>
    </row>
    <row r="18">
      <c r="A18" s="2" t="n">
        <v>16</v>
      </c>
      <c r="B18" s="8" t="n">
        <v>46261</v>
      </c>
      <c r="C18" s="2" t="inlineStr">
        <is>
          <t>苏BZP839</t>
        </is>
      </c>
      <c r="D18" s="2" t="inlineStr">
        <is>
          <t>车</t>
        </is>
      </c>
      <c r="E18" s="2" t="inlineStr">
        <is>
          <t>配票/反向</t>
        </is>
      </c>
      <c r="F18" s="2" t="inlineStr">
        <is>
          <t>配票</t>
        </is>
      </c>
      <c r="G18" s="2" t="inlineStr">
        <is>
          <t>林凯</t>
        </is>
      </c>
      <c r="H18" s="2" t="inlineStr">
        <is>
          <t>林凯车队</t>
        </is>
      </c>
      <c r="I18" s="2" t="inlineStr">
        <is>
          <t>俊兴</t>
        </is>
      </c>
      <c r="J18" s="2" t="inlineStr">
        <is>
          <t>已开票</t>
        </is>
      </c>
      <c r="K18" s="9" t="n">
        <v>28.47</v>
      </c>
      <c r="L18" s="10" t="n">
        <v>68569.64</v>
      </c>
      <c r="M18" s="11">
        <f>Q18+S18-AA18-AC18-AD18</f>
        <v/>
      </c>
      <c r="N18" s="12">
        <f>IF(K18=0,0,M18/K18)</f>
        <v/>
      </c>
      <c r="O18" s="10" t="n">
        <v>0</v>
      </c>
      <c r="P18" s="12" t="n"/>
      <c r="Q18" s="10" t="n">
        <v>0</v>
      </c>
      <c r="R18" s="12" t="n">
        <v>25</v>
      </c>
      <c r="S18" s="10" t="n">
        <v>711.75</v>
      </c>
      <c r="T18" s="12" t="n">
        <v>14</v>
      </c>
      <c r="U18" s="10" t="n">
        <v>58969.8904</v>
      </c>
      <c r="V18" s="12" t="n">
        <v>23</v>
      </c>
      <c r="W18" s="10" t="n">
        <v>654.8099999999999</v>
      </c>
      <c r="X18" s="10" t="n">
        <v>67914.83</v>
      </c>
      <c r="Y18" s="12" t="n">
        <v>13.5</v>
      </c>
      <c r="Z18" s="10" t="n">
        <v>58746.32795</v>
      </c>
      <c r="AA18" s="10" t="n">
        <v>223.0624499999976</v>
      </c>
      <c r="AB18" s="12" t="n">
        <v>5</v>
      </c>
      <c r="AC18" s="10" t="n">
        <v>142.35</v>
      </c>
      <c r="AD18" s="10" t="n">
        <v>100</v>
      </c>
      <c r="AE18" s="2" t="n"/>
      <c r="AF18" s="2" t="inlineStr">
        <is>
          <t>我们配票（经俊兴）</t>
        </is>
      </c>
      <c r="AG18" s="10" t="n">
        <v>67914.83</v>
      </c>
      <c r="AH18" s="2" t="inlineStr">
        <is>
          <t>—</t>
        </is>
      </c>
      <c r="AI18" s="2" t="inlineStr">
        <is>
          <t>按状态视为已完成(历史)</t>
        </is>
      </c>
      <c r="AJ18" s="2" t="inlineStr">
        <is>
          <t>待登记</t>
        </is>
      </c>
      <c r="AK18" s="2" t="inlineStr">
        <is>
          <t>—</t>
        </is>
      </c>
      <c r="AL18" s="2" t="inlineStr">
        <is>
          <t>未开始(前一环节未完成)</t>
        </is>
      </c>
      <c r="AM18" s="10" t="n">
        <v>0</v>
      </c>
      <c r="AN18" s="8" t="n">
        <v>46261</v>
      </c>
      <c r="AO18" s="2" t="inlineStr">
        <is>
          <t>2026-08</t>
        </is>
      </c>
      <c r="AP18" s="9" t="n">
        <v>0.45</v>
      </c>
      <c r="AQ18" s="2" t="inlineStr">
        <is>
          <t>台账历史数据-已出结算单（具体单号未录入）</t>
        </is>
      </c>
      <c r="AR18" s="2" t="inlineStr">
        <is>
          <t>华西特钢</t>
        </is>
      </c>
      <c r="AS18" s="2" t="inlineStr">
        <is>
          <t>华西-欧冶户头</t>
        </is>
      </c>
      <c r="AT18" s="2" t="n"/>
      <c r="AU18" s="2" t="inlineStr">
        <is>
          <t>由台账 Excel 历史数据自动导入（8.19付款明细-欧冶物宝1.xlsx 第24行），日期为过磅日期近似值 [原货主:林凯]</t>
        </is>
      </c>
    </row>
    <row r="19">
      <c r="A19" s="2" t="n">
        <v>17</v>
      </c>
      <c r="B19" s="8" t="n">
        <v>46261</v>
      </c>
      <c r="C19" s="2" t="inlineStr">
        <is>
          <t>苏NEV615</t>
        </is>
      </c>
      <c r="D19" s="2" t="inlineStr">
        <is>
          <t>车</t>
        </is>
      </c>
      <c r="E19" s="2" t="inlineStr">
        <is>
          <t>配票/反向</t>
        </is>
      </c>
      <c r="F19" s="2" t="inlineStr">
        <is>
          <t>配票</t>
        </is>
      </c>
      <c r="G19" s="2" t="n"/>
      <c r="H19" s="2" t="inlineStr">
        <is>
          <t>俊兴</t>
        </is>
      </c>
      <c r="I19" s="2" t="inlineStr">
        <is>
          <t>俊兴</t>
        </is>
      </c>
      <c r="J19" s="2" t="inlineStr">
        <is>
          <t>已开票</t>
        </is>
      </c>
      <c r="K19" s="9" t="n">
        <v>38.78</v>
      </c>
      <c r="L19" s="10" t="n">
        <v>89969.60000000001</v>
      </c>
      <c r="M19" s="11">
        <f>Q19+S19-AA19-AC19-AD19</f>
        <v/>
      </c>
      <c r="N19" s="12">
        <f>IF(K19=0,0,M19/K19)</f>
        <v/>
      </c>
      <c r="O19" s="10" t="n">
        <v>0</v>
      </c>
      <c r="P19" s="12" t="n"/>
      <c r="Q19" s="10" t="n">
        <v>0</v>
      </c>
      <c r="R19" s="12" t="n">
        <v>25</v>
      </c>
      <c r="S19" s="10" t="n">
        <v>969.5</v>
      </c>
      <c r="T19" s="12" t="n">
        <v>14</v>
      </c>
      <c r="U19" s="10" t="n">
        <v>77373.856</v>
      </c>
      <c r="V19" s="12" t="n">
        <v>23</v>
      </c>
      <c r="W19" s="10" t="n">
        <v>891.9400000000001</v>
      </c>
      <c r="X19" s="10" t="n">
        <v>89077.66</v>
      </c>
      <c r="Y19" s="12" t="n">
        <v>13.5</v>
      </c>
      <c r="Z19" s="10" t="n">
        <v>77052.1759</v>
      </c>
      <c r="AA19" s="10" t="n">
        <v>321.6800999999978</v>
      </c>
      <c r="AB19" s="12" t="n">
        <v>0</v>
      </c>
      <c r="AC19" s="10" t="n">
        <v>0</v>
      </c>
      <c r="AD19" s="10" t="n">
        <v>0</v>
      </c>
      <c r="AE19" s="2" t="n"/>
      <c r="AF19" s="2" t="inlineStr">
        <is>
          <t>我们配票（经俊兴）</t>
        </is>
      </c>
      <c r="AG19" s="10" t="n">
        <v>89077.66</v>
      </c>
      <c r="AH19" s="2" t="inlineStr">
        <is>
          <t>—</t>
        </is>
      </c>
      <c r="AI19" s="2" t="inlineStr">
        <is>
          <t>按状态视为已完成(历史)</t>
        </is>
      </c>
      <c r="AJ19" s="2" t="inlineStr">
        <is>
          <t>待登记</t>
        </is>
      </c>
      <c r="AK19" s="2" t="inlineStr">
        <is>
          <t>—</t>
        </is>
      </c>
      <c r="AL19" s="2" t="inlineStr">
        <is>
          <t>未开始(前一环节未完成)</t>
        </is>
      </c>
      <c r="AM19" s="10" t="n">
        <v>0</v>
      </c>
      <c r="AN19" s="8" t="n">
        <v>46261</v>
      </c>
      <c r="AO19" s="2" t="inlineStr">
        <is>
          <t>2026-08</t>
        </is>
      </c>
      <c r="AP19" s="9" t="n">
        <v>0.5</v>
      </c>
      <c r="AQ19" s="2" t="inlineStr">
        <is>
          <t>台账历史数据-已出结算单（具体单号未录入）</t>
        </is>
      </c>
      <c r="AR19" s="2" t="inlineStr">
        <is>
          <t>华西特钢</t>
        </is>
      </c>
      <c r="AS19" s="2" t="inlineStr">
        <is>
          <t>华西-欧冶户头</t>
        </is>
      </c>
      <c r="AT19" s="2" t="n"/>
      <c r="AU19" s="2" t="inlineStr">
        <is>
          <t>由台账 Excel 历史数据自动导入（8.19付款明细-欧冶物宝1.xlsx 第26行），日期为过磅日期近似值</t>
        </is>
      </c>
    </row>
    <row r="20">
      <c r="A20" s="2" t="n">
        <v>18</v>
      </c>
      <c r="B20" s="8" t="n">
        <v>46261</v>
      </c>
      <c r="C20" s="2" t="inlineStr">
        <is>
          <t>苏ERS080</t>
        </is>
      </c>
      <c r="D20" s="2" t="inlineStr">
        <is>
          <t>车</t>
        </is>
      </c>
      <c r="E20" s="2" t="inlineStr">
        <is>
          <t>配票/反向</t>
        </is>
      </c>
      <c r="F20" s="2" t="inlineStr">
        <is>
          <t>配票</t>
        </is>
      </c>
      <c r="G20" s="2" t="inlineStr">
        <is>
          <t>林凯</t>
        </is>
      </c>
      <c r="H20" s="2" t="inlineStr">
        <is>
          <t>林凯车队</t>
        </is>
      </c>
      <c r="I20" s="2" t="inlineStr">
        <is>
          <t>俊兴</t>
        </is>
      </c>
      <c r="J20" s="2" t="inlineStr">
        <is>
          <t>已开票</t>
        </is>
      </c>
      <c r="K20" s="9" t="n">
        <v>48.38</v>
      </c>
      <c r="L20" s="10" t="n">
        <v>116112</v>
      </c>
      <c r="M20" s="11">
        <f>Q20+S20-AA20-AC20-AD20</f>
        <v/>
      </c>
      <c r="N20" s="12">
        <f>IF(K20=0,0,M20/K20)</f>
        <v/>
      </c>
      <c r="O20" s="10" t="n">
        <v>0</v>
      </c>
      <c r="P20" s="12" t="n"/>
      <c r="Q20" s="10" t="n">
        <v>0</v>
      </c>
      <c r="R20" s="12" t="n">
        <v>25</v>
      </c>
      <c r="S20" s="10" t="n">
        <v>1209.5</v>
      </c>
      <c r="T20" s="12" t="n">
        <v>14</v>
      </c>
      <c r="U20" s="10" t="n">
        <v>99856.31999999999</v>
      </c>
      <c r="V20" s="12" t="n">
        <v>23</v>
      </c>
      <c r="W20" s="10" t="n">
        <v>1112.74</v>
      </c>
      <c r="X20" s="10" t="n">
        <v>114999.26</v>
      </c>
      <c r="Y20" s="12" t="n">
        <v>13.5</v>
      </c>
      <c r="Z20" s="10" t="n">
        <v>99474.3599</v>
      </c>
      <c r="AA20" s="10" t="n">
        <v>381.9600999999966</v>
      </c>
      <c r="AB20" s="12" t="n">
        <v>5</v>
      </c>
      <c r="AC20" s="10" t="n">
        <v>241.9</v>
      </c>
      <c r="AD20" s="10" t="n">
        <v>0</v>
      </c>
      <c r="AE20" s="2" t="n"/>
      <c r="AF20" s="2" t="inlineStr">
        <is>
          <t>我们配票（经俊兴）</t>
        </is>
      </c>
      <c r="AG20" s="10" t="n">
        <v>114999.26</v>
      </c>
      <c r="AH20" s="2" t="inlineStr">
        <is>
          <t>—</t>
        </is>
      </c>
      <c r="AI20" s="2" t="inlineStr">
        <is>
          <t>按状态视为已完成(历史)</t>
        </is>
      </c>
      <c r="AJ20" s="2" t="inlineStr">
        <is>
          <t>待登记</t>
        </is>
      </c>
      <c r="AK20" s="2" t="inlineStr">
        <is>
          <t>—</t>
        </is>
      </c>
      <c r="AL20" s="2" t="inlineStr">
        <is>
          <t>未开始(前一环节未完成)</t>
        </is>
      </c>
      <c r="AM20" s="10" t="n">
        <v>0</v>
      </c>
      <c r="AN20" s="8" t="n">
        <v>46261</v>
      </c>
      <c r="AO20" s="2" t="inlineStr">
        <is>
          <t>2026-08</t>
        </is>
      </c>
      <c r="AP20" s="9" t="n">
        <v>0.3</v>
      </c>
      <c r="AQ20" s="2" t="inlineStr">
        <is>
          <t>台账历史数据-已出结算单（具体单号未录入）</t>
        </is>
      </c>
      <c r="AR20" s="2" t="inlineStr">
        <is>
          <t>华西特钢</t>
        </is>
      </c>
      <c r="AS20" s="2" t="inlineStr">
        <is>
          <t>华西-欧冶户头</t>
        </is>
      </c>
      <c r="AT20" s="2" t="n"/>
      <c r="AU20" s="2" t="inlineStr">
        <is>
          <t>由台账 Excel 历史数据自动导入（8.19付款明细-欧冶物宝1.xlsx 第27行），日期为过磅日期近似值 [原货主:林凯]</t>
        </is>
      </c>
    </row>
    <row r="21">
      <c r="A21" s="2" t="n">
        <v>19</v>
      </c>
      <c r="B21" s="8" t="n">
        <v>46261</v>
      </c>
      <c r="C21" s="2" t="inlineStr">
        <is>
          <t>鲁济宁货4095</t>
        </is>
      </c>
      <c r="D21" s="2" t="inlineStr">
        <is>
          <t>船</t>
        </is>
      </c>
      <c r="E21" s="2" t="inlineStr">
        <is>
          <t>配票/反向</t>
        </is>
      </c>
      <c r="F21" s="2" t="inlineStr">
        <is>
          <t>配票</t>
        </is>
      </c>
      <c r="G21" s="2" t="n"/>
      <c r="H21" s="2" t="inlineStr">
        <is>
          <t>俊兴</t>
        </is>
      </c>
      <c r="I21" s="2" t="inlineStr">
        <is>
          <t>俊兴</t>
        </is>
      </c>
      <c r="J21" s="2" t="inlineStr">
        <is>
          <t>已开票</t>
        </is>
      </c>
      <c r="K21" s="9" t="n">
        <v>518.48</v>
      </c>
      <c r="L21" s="10" t="n">
        <v>1271258.96</v>
      </c>
      <c r="M21" s="11">
        <f>Q21+S21-AA21-AC21-AD21</f>
        <v/>
      </c>
      <c r="N21" s="12">
        <f>IF(K21=0,0,M21/K21)</f>
        <v/>
      </c>
      <c r="O21" s="10" t="n">
        <v>0</v>
      </c>
      <c r="P21" s="12" t="n"/>
      <c r="Q21" s="10" t="n">
        <v>0</v>
      </c>
      <c r="R21" s="12" t="n">
        <v>25</v>
      </c>
      <c r="S21" s="10" t="n">
        <v>12962</v>
      </c>
      <c r="T21" s="12" t="n">
        <v>14</v>
      </c>
      <c r="U21" s="10" t="n">
        <v>1093282.7056</v>
      </c>
      <c r="V21" s="12" t="n">
        <v>23</v>
      </c>
      <c r="W21" s="10" t="n">
        <v>11925.04</v>
      </c>
      <c r="X21" s="10" t="n">
        <v>1259333.92</v>
      </c>
      <c r="Y21" s="12" t="n">
        <v>13.5</v>
      </c>
      <c r="Z21" s="10" t="n">
        <v>1089323.8408</v>
      </c>
      <c r="AA21" s="10" t="n">
        <v>3958.864800000098</v>
      </c>
      <c r="AB21" s="12" t="n">
        <v>0</v>
      </c>
      <c r="AC21" s="10" t="n">
        <v>0</v>
      </c>
      <c r="AD21" s="10" t="n">
        <v>0</v>
      </c>
      <c r="AE21" s="2" t="n"/>
      <c r="AF21" s="2" t="inlineStr">
        <is>
          <t>我们配票（经俊兴）</t>
        </is>
      </c>
      <c r="AG21" s="10" t="n">
        <v>1259333.92</v>
      </c>
      <c r="AH21" s="2" t="inlineStr">
        <is>
          <t>—</t>
        </is>
      </c>
      <c r="AI21" s="2" t="inlineStr">
        <is>
          <t>按状态视为已完成(历史)</t>
        </is>
      </c>
      <c r="AJ21" s="2" t="inlineStr">
        <is>
          <t>待登记</t>
        </is>
      </c>
      <c r="AK21" s="2" t="inlineStr">
        <is>
          <t>—</t>
        </is>
      </c>
      <c r="AL21" s="2" t="inlineStr">
        <is>
          <t>未开始(前一环节未完成)</t>
        </is>
      </c>
      <c r="AM21" s="10" t="n">
        <v>0</v>
      </c>
      <c r="AN21" s="8" t="n">
        <v>46261</v>
      </c>
      <c r="AO21" s="2" t="inlineStr">
        <is>
          <t>2026-08</t>
        </is>
      </c>
      <c r="AP21" s="9" t="n">
        <v>0</v>
      </c>
      <c r="AQ21" s="2" t="inlineStr">
        <is>
          <t>台账历史数据-已出结算单（具体单号未录入）</t>
        </is>
      </c>
      <c r="AR21" s="2" t="inlineStr">
        <is>
          <t>华西特钢</t>
        </is>
      </c>
      <c r="AS21" s="2" t="inlineStr">
        <is>
          <t>华西-欧冶户头</t>
        </is>
      </c>
      <c r="AT21" s="2" t="n"/>
      <c r="AU21" s="2" t="inlineStr">
        <is>
          <t>由台账 Excel 历史数据自动导入（8.19付款明细-欧冶物宝1.xlsx 第29行），日期为过磅日期近似值</t>
        </is>
      </c>
    </row>
    <row r="22">
      <c r="A22" s="2" t="n">
        <v>20</v>
      </c>
      <c r="B22" s="8" t="n">
        <v>46262</v>
      </c>
      <c r="C22" s="2" t="inlineStr">
        <is>
          <t>苏DBE075</t>
        </is>
      </c>
      <c r="D22" s="2" t="inlineStr">
        <is>
          <t>车</t>
        </is>
      </c>
      <c r="E22" s="2" t="inlineStr">
        <is>
          <t>配票/反向</t>
        </is>
      </c>
      <c r="F22" s="2" t="inlineStr">
        <is>
          <t>配票</t>
        </is>
      </c>
      <c r="G22" s="2" t="inlineStr">
        <is>
          <t>林凯</t>
        </is>
      </c>
      <c r="H22" s="2" t="inlineStr">
        <is>
          <t>林凯车队</t>
        </is>
      </c>
      <c r="I22" s="2" t="inlineStr">
        <is>
          <t>俊兴</t>
        </is>
      </c>
      <c r="J22" s="2" t="inlineStr">
        <is>
          <t>已开票</t>
        </is>
      </c>
      <c r="K22" s="9" t="n">
        <v>38.2</v>
      </c>
      <c r="L22" s="10" t="n">
        <v>88624</v>
      </c>
      <c r="M22" s="11">
        <f>Q22+S22-AA22-AC22-AD22</f>
        <v/>
      </c>
      <c r="N22" s="12">
        <f>IF(K22=0,0,M22/K22)</f>
        <v/>
      </c>
      <c r="O22" s="10" t="n">
        <v>0</v>
      </c>
      <c r="P22" s="12" t="n"/>
      <c r="Q22" s="10" t="n">
        <v>0</v>
      </c>
      <c r="R22" s="12" t="n">
        <v>25</v>
      </c>
      <c r="S22" s="10" t="n">
        <v>954.9999999999999</v>
      </c>
      <c r="T22" s="12" t="n">
        <v>14</v>
      </c>
      <c r="U22" s="10" t="n">
        <v>76216.64</v>
      </c>
      <c r="V22" s="12" t="n">
        <v>23</v>
      </c>
      <c r="W22" s="10" t="n">
        <v>878.6</v>
      </c>
      <c r="X22" s="10" t="n">
        <v>87745.39999999999</v>
      </c>
      <c r="Y22" s="12" t="n">
        <v>13.5</v>
      </c>
      <c r="Z22" s="10" t="n">
        <v>75899.77099999999</v>
      </c>
      <c r="AA22" s="10" t="n">
        <v>316.8690000000061</v>
      </c>
      <c r="AB22" s="12" t="n">
        <v>5</v>
      </c>
      <c r="AC22" s="10" t="n">
        <v>191</v>
      </c>
      <c r="AD22" s="10" t="n">
        <v>0</v>
      </c>
      <c r="AE22" s="2" t="n"/>
      <c r="AF22" s="2" t="inlineStr">
        <is>
          <t>我们配票（经俊兴）</t>
        </is>
      </c>
      <c r="AG22" s="10" t="n">
        <v>87745.39999999999</v>
      </c>
      <c r="AH22" s="2" t="inlineStr">
        <is>
          <t>—</t>
        </is>
      </c>
      <c r="AI22" s="2" t="inlineStr">
        <is>
          <t>按状态视为已完成(历史)</t>
        </is>
      </c>
      <c r="AJ22" s="2" t="inlineStr">
        <is>
          <t>待登记</t>
        </is>
      </c>
      <c r="AK22" s="2" t="inlineStr">
        <is>
          <t>—</t>
        </is>
      </c>
      <c r="AL22" s="2" t="inlineStr">
        <is>
          <t>未开始(前一环节未完成)</t>
        </is>
      </c>
      <c r="AM22" s="10" t="n">
        <v>0</v>
      </c>
      <c r="AN22" s="8" t="n">
        <v>46262</v>
      </c>
      <c r="AO22" s="2" t="inlineStr">
        <is>
          <t>2026-08</t>
        </is>
      </c>
      <c r="AP22" s="9" t="n">
        <v>0.2</v>
      </c>
      <c r="AQ22" s="2" t="inlineStr">
        <is>
          <t>台账历史数据-已出结算单（具体单号未录入）</t>
        </is>
      </c>
      <c r="AR22" s="2" t="inlineStr">
        <is>
          <t>华西特钢</t>
        </is>
      </c>
      <c r="AS22" s="2" t="inlineStr">
        <is>
          <t>华西-欧冶户头</t>
        </is>
      </c>
      <c r="AT22" s="2" t="n"/>
      <c r="AU22" s="2" t="inlineStr">
        <is>
          <t>由台账 Excel 历史数据自动导入（8.19付款明细-欧冶物宝1.xlsx 第30行），日期为过磅日期近似值 [原货主:林凯]</t>
        </is>
      </c>
    </row>
    <row r="23">
      <c r="A23" s="2" t="n">
        <v>21</v>
      </c>
      <c r="B23" s="8" t="n">
        <v>46262</v>
      </c>
      <c r="C23" s="2" t="inlineStr">
        <is>
          <t>苏DBX137</t>
        </is>
      </c>
      <c r="D23" s="2" t="inlineStr">
        <is>
          <t>车</t>
        </is>
      </c>
      <c r="E23" s="2" t="inlineStr">
        <is>
          <t>配票/反向</t>
        </is>
      </c>
      <c r="F23" s="2" t="inlineStr">
        <is>
          <t>配票</t>
        </is>
      </c>
      <c r="G23" s="2" t="inlineStr">
        <is>
          <t>林凯</t>
        </is>
      </c>
      <c r="H23" s="2" t="inlineStr">
        <is>
          <t>林凯车队</t>
        </is>
      </c>
      <c r="I23" s="2" t="inlineStr">
        <is>
          <t>俊兴</t>
        </is>
      </c>
      <c r="J23" s="2" t="inlineStr">
        <is>
          <t>已开票</t>
        </is>
      </c>
      <c r="K23" s="9" t="n">
        <v>18.52</v>
      </c>
      <c r="L23" s="10" t="n">
        <v>44448</v>
      </c>
      <c r="M23" s="11">
        <f>Q23+S23-AA23-AC23-AD23</f>
        <v/>
      </c>
      <c r="N23" s="12">
        <f>IF(K23=0,0,M23/K23)</f>
        <v/>
      </c>
      <c r="O23" s="10" t="n">
        <v>0</v>
      </c>
      <c r="P23" s="12" t="n"/>
      <c r="Q23" s="10" t="n">
        <v>0</v>
      </c>
      <c r="R23" s="12" t="n">
        <v>25</v>
      </c>
      <c r="S23" s="10" t="n">
        <v>463</v>
      </c>
      <c r="T23" s="12" t="n">
        <v>14</v>
      </c>
      <c r="U23" s="10" t="n">
        <v>38225.28</v>
      </c>
      <c r="V23" s="12" t="n">
        <v>23</v>
      </c>
      <c r="W23" s="10" t="n">
        <v>425.96</v>
      </c>
      <c r="X23" s="10" t="n">
        <v>44022.04</v>
      </c>
      <c r="Y23" s="12" t="n">
        <v>13.5</v>
      </c>
      <c r="Z23" s="10" t="n">
        <v>38079.0646</v>
      </c>
      <c r="AA23" s="10" t="n">
        <v>146.215400000001</v>
      </c>
      <c r="AB23" s="12" t="n">
        <v>5</v>
      </c>
      <c r="AC23" s="10" t="n">
        <v>92.59999999999999</v>
      </c>
      <c r="AD23" s="10" t="n">
        <v>0</v>
      </c>
      <c r="AE23" s="2" t="n"/>
      <c r="AF23" s="2" t="inlineStr">
        <is>
          <t>我们配票（经俊兴）</t>
        </is>
      </c>
      <c r="AG23" s="10" t="n">
        <v>44022.04</v>
      </c>
      <c r="AH23" s="2" t="inlineStr">
        <is>
          <t>—</t>
        </is>
      </c>
      <c r="AI23" s="2" t="inlineStr">
        <is>
          <t>按状态视为已完成(历史)</t>
        </is>
      </c>
      <c r="AJ23" s="2" t="inlineStr">
        <is>
          <t>待登记</t>
        </is>
      </c>
      <c r="AK23" s="2" t="inlineStr">
        <is>
          <t>—</t>
        </is>
      </c>
      <c r="AL23" s="2" t="inlineStr">
        <is>
          <t>未开始(前一环节未完成)</t>
        </is>
      </c>
      <c r="AM23" s="10" t="n">
        <v>0</v>
      </c>
      <c r="AN23" s="8" t="n">
        <v>46262</v>
      </c>
      <c r="AO23" s="2" t="inlineStr">
        <is>
          <t>2026-08</t>
        </is>
      </c>
      <c r="AP23" s="9" t="n">
        <v>0.3</v>
      </c>
      <c r="AQ23" s="2" t="inlineStr">
        <is>
          <t>台账历史数据-已出结算单（具体单号未录入）</t>
        </is>
      </c>
      <c r="AR23" s="2" t="inlineStr">
        <is>
          <t>华西特钢</t>
        </is>
      </c>
      <c r="AS23" s="2" t="inlineStr">
        <is>
          <t>华西-欧冶户头</t>
        </is>
      </c>
      <c r="AT23" s="2" t="n"/>
      <c r="AU23" s="2" t="inlineStr">
        <is>
          <t>由台账 Excel 历史数据自动导入（8.19付款明细-欧冶物宝1.xlsx 第31行），日期为过磅日期近似值 [原货主:林凯]</t>
        </is>
      </c>
    </row>
    <row r="24">
      <c r="A24" s="2" t="n">
        <v>22</v>
      </c>
      <c r="B24" s="8" t="n">
        <v>46262</v>
      </c>
      <c r="C24" s="2" t="inlineStr">
        <is>
          <t>苏DFB287</t>
        </is>
      </c>
      <c r="D24" s="2" t="inlineStr">
        <is>
          <t>车</t>
        </is>
      </c>
      <c r="E24" s="2" t="inlineStr">
        <is>
          <t>配票/反向</t>
        </is>
      </c>
      <c r="F24" s="2" t="inlineStr">
        <is>
          <t>配票</t>
        </is>
      </c>
      <c r="G24" s="2" t="inlineStr">
        <is>
          <t>林凯</t>
        </is>
      </c>
      <c r="H24" s="2" t="inlineStr">
        <is>
          <t>林凯车队</t>
        </is>
      </c>
      <c r="I24" s="2" t="inlineStr">
        <is>
          <t>俊兴</t>
        </is>
      </c>
      <c r="J24" s="2" t="inlineStr">
        <is>
          <t>已开票</t>
        </is>
      </c>
      <c r="K24" s="9" t="n">
        <v>81.90000000000001</v>
      </c>
      <c r="L24" s="10" t="n">
        <v>191646</v>
      </c>
      <c r="M24" s="11">
        <f>Q24+S24-AA24-AC24-AD24</f>
        <v/>
      </c>
      <c r="N24" s="12">
        <f>IF(K24=0,0,M24/K24)</f>
        <v/>
      </c>
      <c r="O24" s="10" t="n">
        <v>0</v>
      </c>
      <c r="P24" s="12" t="n"/>
      <c r="Q24" s="10" t="n">
        <v>0</v>
      </c>
      <c r="R24" s="12" t="n">
        <v>25</v>
      </c>
      <c r="S24" s="10" t="n">
        <v>2047.5</v>
      </c>
      <c r="T24" s="12" t="n">
        <v>14</v>
      </c>
      <c r="U24" s="10" t="n">
        <v>164815.56</v>
      </c>
      <c r="V24" s="12" t="n">
        <v>23</v>
      </c>
      <c r="W24" s="10" t="n">
        <v>1883.7</v>
      </c>
      <c r="X24" s="10" t="n">
        <v>189762.3</v>
      </c>
      <c r="Y24" s="12" t="n">
        <v>13.5</v>
      </c>
      <c r="Z24" s="10" t="n">
        <v>164144.3895</v>
      </c>
      <c r="AA24" s="10" t="n">
        <v>671.1705000000075</v>
      </c>
      <c r="AB24" s="12" t="n">
        <v>5</v>
      </c>
      <c r="AC24" s="10" t="n">
        <v>409.5</v>
      </c>
      <c r="AD24" s="10" t="n">
        <v>0</v>
      </c>
      <c r="AE24" s="2" t="n"/>
      <c r="AF24" s="2" t="inlineStr">
        <is>
          <t>我们配票（经俊兴）</t>
        </is>
      </c>
      <c r="AG24" s="10" t="n">
        <v>189762.3</v>
      </c>
      <c r="AH24" s="2" t="inlineStr">
        <is>
          <t>—</t>
        </is>
      </c>
      <c r="AI24" s="2" t="inlineStr">
        <is>
          <t>按状态视为已完成(历史)</t>
        </is>
      </c>
      <c r="AJ24" s="2" t="inlineStr">
        <is>
          <t>待登记</t>
        </is>
      </c>
      <c r="AK24" s="2" t="inlineStr">
        <is>
          <t>—</t>
        </is>
      </c>
      <c r="AL24" s="2" t="inlineStr">
        <is>
          <t>未开始(前一环节未完成)</t>
        </is>
      </c>
      <c r="AM24" s="10" t="n">
        <v>0</v>
      </c>
      <c r="AN24" s="8" t="n">
        <v>46262</v>
      </c>
      <c r="AO24" s="2" t="inlineStr">
        <is>
          <t>2026-08</t>
        </is>
      </c>
      <c r="AP24" s="9" t="n">
        <v>0.6</v>
      </c>
      <c r="AQ24" s="2" t="inlineStr">
        <is>
          <t>台账历史数据-已出结算单（具体单号未录入）</t>
        </is>
      </c>
      <c r="AR24" s="2" t="inlineStr">
        <is>
          <t>华西特钢</t>
        </is>
      </c>
      <c r="AS24" s="2" t="inlineStr">
        <is>
          <t>华西-欧冶户头</t>
        </is>
      </c>
      <c r="AT24" s="2" t="n"/>
      <c r="AU24" s="2" t="inlineStr">
        <is>
          <t>由台账 Excel 历史数据自动导入（8.19付款明细-欧冶物宝1.xlsx 第32行），日期为过磅日期近似值 [原货主:林凯]</t>
        </is>
      </c>
    </row>
    <row r="25">
      <c r="A25" s="2" t="n">
        <v>23</v>
      </c>
      <c r="B25" s="8" t="n">
        <v>46262</v>
      </c>
      <c r="C25" s="2" t="inlineStr">
        <is>
          <t>苏DFM060</t>
        </is>
      </c>
      <c r="D25" s="2" t="inlineStr">
        <is>
          <t>车</t>
        </is>
      </c>
      <c r="E25" s="2" t="inlineStr">
        <is>
          <t>配票/反向</t>
        </is>
      </c>
      <c r="F25" s="2" t="inlineStr">
        <is>
          <t>配票</t>
        </is>
      </c>
      <c r="G25" s="2" t="inlineStr">
        <is>
          <t>林凯</t>
        </is>
      </c>
      <c r="H25" s="2" t="inlineStr">
        <is>
          <t>林凯车队</t>
        </is>
      </c>
      <c r="I25" s="2" t="inlineStr">
        <is>
          <t>俊兴</t>
        </is>
      </c>
      <c r="J25" s="2" t="inlineStr">
        <is>
          <t>已开票</t>
        </is>
      </c>
      <c r="K25" s="9" t="n">
        <v>55.18</v>
      </c>
      <c r="L25" s="10" t="n">
        <v>130224.8</v>
      </c>
      <c r="M25" s="11">
        <f>Q25+S25-AA25-AC25-AD25</f>
        <v/>
      </c>
      <c r="N25" s="12">
        <f>IF(K25=0,0,M25/K25)</f>
        <v/>
      </c>
      <c r="O25" s="10" t="n">
        <v>0</v>
      </c>
      <c r="P25" s="12" t="n"/>
      <c r="Q25" s="10" t="n">
        <v>0</v>
      </c>
      <c r="R25" s="12" t="n">
        <v>25</v>
      </c>
      <c r="S25" s="10" t="n">
        <v>1379.5</v>
      </c>
      <c r="T25" s="12" t="n">
        <v>14</v>
      </c>
      <c r="U25" s="10" t="n">
        <v>111993.328</v>
      </c>
      <c r="V25" s="12" t="n">
        <v>23</v>
      </c>
      <c r="W25" s="10" t="n">
        <v>1269.14</v>
      </c>
      <c r="X25" s="10" t="n">
        <v>128955.66</v>
      </c>
      <c r="Y25" s="12" t="n">
        <v>13.5</v>
      </c>
      <c r="Z25" s="10" t="n">
        <v>111546.6459</v>
      </c>
      <c r="AA25" s="10" t="n">
        <v>446.6820999999909</v>
      </c>
      <c r="AB25" s="12" t="n">
        <v>5</v>
      </c>
      <c r="AC25" s="10" t="n">
        <v>275.9</v>
      </c>
      <c r="AD25" s="10" t="n">
        <v>0</v>
      </c>
      <c r="AE25" s="2" t="n"/>
      <c r="AF25" s="2" t="inlineStr">
        <is>
          <t>我们配票（经俊兴）</t>
        </is>
      </c>
      <c r="AG25" s="10" t="n">
        <v>128955.66</v>
      </c>
      <c r="AH25" s="2" t="inlineStr">
        <is>
          <t>—</t>
        </is>
      </c>
      <c r="AI25" s="2" t="inlineStr">
        <is>
          <t>按状态视为已完成(历史)</t>
        </is>
      </c>
      <c r="AJ25" s="2" t="inlineStr">
        <is>
          <t>待登记</t>
        </is>
      </c>
      <c r="AK25" s="2" t="inlineStr">
        <is>
          <t>—</t>
        </is>
      </c>
      <c r="AL25" s="2" t="inlineStr">
        <is>
          <t>未开始(前一环节未完成)</t>
        </is>
      </c>
      <c r="AM25" s="10" t="n">
        <v>0</v>
      </c>
      <c r="AN25" s="8" t="n">
        <v>46262</v>
      </c>
      <c r="AO25" s="2" t="inlineStr">
        <is>
          <t>2026-08</t>
        </is>
      </c>
      <c r="AP25" s="9" t="n">
        <v>0.5</v>
      </c>
      <c r="AQ25" s="2" t="inlineStr">
        <is>
          <t>台账历史数据-已出结算单（具体单号未录入）</t>
        </is>
      </c>
      <c r="AR25" s="2" t="inlineStr">
        <is>
          <t>华西特钢</t>
        </is>
      </c>
      <c r="AS25" s="2" t="inlineStr">
        <is>
          <t>华西-欧冶户头</t>
        </is>
      </c>
      <c r="AT25" s="2" t="n"/>
      <c r="AU25" s="2" t="inlineStr">
        <is>
          <t>由台账 Excel 历史数据自动导入（8.19付款明细-欧冶物宝1.xlsx 第34行），日期为过磅日期近似值 [原货主:林凯]</t>
        </is>
      </c>
    </row>
    <row r="26">
      <c r="A26" s="2" t="n">
        <v>24</v>
      </c>
      <c r="B26" s="8" t="n">
        <v>46262</v>
      </c>
      <c r="C26" s="2" t="inlineStr">
        <is>
          <t>苏DBB772</t>
        </is>
      </c>
      <c r="D26" s="2" t="inlineStr">
        <is>
          <t>车</t>
        </is>
      </c>
      <c r="E26" s="2" t="inlineStr">
        <is>
          <t>配票/反向</t>
        </is>
      </c>
      <c r="F26" s="2" t="inlineStr">
        <is>
          <t>配票</t>
        </is>
      </c>
      <c r="G26" s="2" t="inlineStr">
        <is>
          <t>林凯</t>
        </is>
      </c>
      <c r="H26" s="2" t="inlineStr">
        <is>
          <t>林凯车队</t>
        </is>
      </c>
      <c r="I26" s="2" t="inlineStr">
        <is>
          <t>俊兴</t>
        </is>
      </c>
      <c r="J26" s="2" t="inlineStr">
        <is>
          <t>已开票</t>
        </is>
      </c>
      <c r="K26" s="9" t="n">
        <v>63.16</v>
      </c>
      <c r="L26" s="10" t="n">
        <v>153352.48</v>
      </c>
      <c r="M26" s="11">
        <f>Q26+S26-AA26-AC26-AD26</f>
        <v/>
      </c>
      <c r="N26" s="12">
        <f>IF(K26=0,0,M26/K26)</f>
        <v/>
      </c>
      <c r="O26" s="10" t="n">
        <v>0</v>
      </c>
      <c r="P26" s="12" t="n"/>
      <c r="Q26" s="10" t="n">
        <v>0</v>
      </c>
      <c r="R26" s="12" t="n">
        <v>25</v>
      </c>
      <c r="S26" s="10" t="n">
        <v>1579</v>
      </c>
      <c r="T26" s="12" t="n">
        <v>14</v>
      </c>
      <c r="U26" s="10" t="n">
        <v>131883.1328</v>
      </c>
      <c r="V26" s="12" t="n">
        <v>23</v>
      </c>
      <c r="W26" s="10" t="n">
        <v>1452.68</v>
      </c>
      <c r="X26" s="10" t="n">
        <v>151899.8</v>
      </c>
      <c r="Y26" s="12" t="n">
        <v>13.5</v>
      </c>
      <c r="Z26" s="10" t="n">
        <v>131393.327</v>
      </c>
      <c r="AA26" s="10" t="n">
        <v>489.8058000000019</v>
      </c>
      <c r="AB26" s="12" t="n">
        <v>5</v>
      </c>
      <c r="AC26" s="10" t="n">
        <v>315.8</v>
      </c>
      <c r="AD26" s="10" t="n">
        <v>0</v>
      </c>
      <c r="AE26" s="2" t="n"/>
      <c r="AF26" s="2" t="inlineStr">
        <is>
          <t>我们配票（经俊兴）</t>
        </is>
      </c>
      <c r="AG26" s="10" t="n">
        <v>151899.8</v>
      </c>
      <c r="AH26" s="2" t="inlineStr">
        <is>
          <t>—</t>
        </is>
      </c>
      <c r="AI26" s="2" t="inlineStr">
        <is>
          <t>按状态视为已完成(历史)</t>
        </is>
      </c>
      <c r="AJ26" s="2" t="inlineStr">
        <is>
          <t>待登记</t>
        </is>
      </c>
      <c r="AK26" s="2" t="inlineStr">
        <is>
          <t>—</t>
        </is>
      </c>
      <c r="AL26" s="2" t="inlineStr">
        <is>
          <t>未开始(前一环节未完成)</t>
        </is>
      </c>
      <c r="AM26" s="10" t="n">
        <v>0</v>
      </c>
      <c r="AN26" s="8" t="n">
        <v>46262</v>
      </c>
      <c r="AO26" s="2" t="inlineStr">
        <is>
          <t>2026-08</t>
        </is>
      </c>
      <c r="AP26" s="9" t="n">
        <v>0.5</v>
      </c>
      <c r="AQ26" s="2" t="inlineStr">
        <is>
          <t>台账历史数据-已出结算单（具体单号未录入）</t>
        </is>
      </c>
      <c r="AR26" s="2" t="inlineStr">
        <is>
          <t>华西特钢</t>
        </is>
      </c>
      <c r="AS26" s="2" t="inlineStr">
        <is>
          <t>华西-欧冶户头</t>
        </is>
      </c>
      <c r="AT26" s="2" t="n"/>
      <c r="AU26" s="2" t="inlineStr">
        <is>
          <t>由台账 Excel 历史数据自动导入（8.19付款明细-欧冶物宝1.xlsx 第35行），日期为过磅日期近似值 [原货主:林凯]</t>
        </is>
      </c>
    </row>
    <row r="27">
      <c r="A27" s="2" t="n">
        <v>25</v>
      </c>
      <c r="B27" s="8" t="n">
        <v>46262</v>
      </c>
      <c r="C27" s="2" t="inlineStr">
        <is>
          <t>苏BDK567</t>
        </is>
      </c>
      <c r="D27" s="2" t="inlineStr">
        <is>
          <t>车</t>
        </is>
      </c>
      <c r="E27" s="2" t="inlineStr">
        <is>
          <t>配票/反向</t>
        </is>
      </c>
      <c r="F27" s="2" t="inlineStr">
        <is>
          <t>配票</t>
        </is>
      </c>
      <c r="G27" s="2" t="inlineStr">
        <is>
          <t>林凯</t>
        </is>
      </c>
      <c r="H27" s="2" t="inlineStr">
        <is>
          <t>林凯车队</t>
        </is>
      </c>
      <c r="I27" s="2" t="inlineStr">
        <is>
          <t>俊兴</t>
        </is>
      </c>
      <c r="J27" s="2" t="inlineStr">
        <is>
          <t>已开票</t>
        </is>
      </c>
      <c r="K27" s="9" t="n">
        <v>34.22</v>
      </c>
      <c r="L27" s="10" t="n">
        <v>83496.8</v>
      </c>
      <c r="M27" s="11">
        <f>Q27+S27-AA27-AC27-AD27</f>
        <v/>
      </c>
      <c r="N27" s="12">
        <f>IF(K27=0,0,M27/K27)</f>
        <v/>
      </c>
      <c r="O27" s="10" t="n">
        <v>0</v>
      </c>
      <c r="P27" s="12" t="n"/>
      <c r="Q27" s="10" t="n">
        <v>0</v>
      </c>
      <c r="R27" s="12" t="n">
        <v>25</v>
      </c>
      <c r="S27" s="10" t="n">
        <v>855.5</v>
      </c>
      <c r="T27" s="12" t="n">
        <v>14</v>
      </c>
      <c r="U27" s="10" t="n">
        <v>71807.24800000001</v>
      </c>
      <c r="V27" s="12" t="n">
        <v>23</v>
      </c>
      <c r="W27" s="10" t="n">
        <v>787.0599999999999</v>
      </c>
      <c r="X27" s="10" t="n">
        <v>82709.74000000001</v>
      </c>
      <c r="Y27" s="12" t="n">
        <v>13.5</v>
      </c>
      <c r="Z27" s="10" t="n">
        <v>71543.92510000001</v>
      </c>
      <c r="AA27" s="10" t="n">
        <v>263.3228999999992</v>
      </c>
      <c r="AB27" s="12" t="n">
        <v>5</v>
      </c>
      <c r="AC27" s="10" t="n">
        <v>171.1</v>
      </c>
      <c r="AD27" s="10" t="n">
        <v>0</v>
      </c>
      <c r="AE27" s="2" t="n"/>
      <c r="AF27" s="2" t="inlineStr">
        <is>
          <t>我们配票（经俊兴）</t>
        </is>
      </c>
      <c r="AG27" s="10" t="n">
        <v>82709.74000000001</v>
      </c>
      <c r="AH27" s="2" t="inlineStr">
        <is>
          <t>—</t>
        </is>
      </c>
      <c r="AI27" s="2" t="inlineStr">
        <is>
          <t>按状态视为已完成(历史)</t>
        </is>
      </c>
      <c r="AJ27" s="2" t="inlineStr">
        <is>
          <t>待登记</t>
        </is>
      </c>
      <c r="AK27" s="2" t="inlineStr">
        <is>
          <t>—</t>
        </is>
      </c>
      <c r="AL27" s="2" t="inlineStr">
        <is>
          <t>未开始(前一环节未完成)</t>
        </is>
      </c>
      <c r="AM27" s="10" t="n">
        <v>0</v>
      </c>
      <c r="AN27" s="8" t="n">
        <v>46262</v>
      </c>
      <c r="AO27" s="2" t="inlineStr">
        <is>
          <t>2026-08</t>
        </is>
      </c>
      <c r="AP27" s="9" t="n">
        <v>0.3</v>
      </c>
      <c r="AQ27" s="2" t="inlineStr">
        <is>
          <t>台账历史数据-已出结算单（具体单号未录入）</t>
        </is>
      </c>
      <c r="AR27" s="2" t="inlineStr">
        <is>
          <t>华西特钢</t>
        </is>
      </c>
      <c r="AS27" s="2" t="inlineStr">
        <is>
          <t>华西-欧冶户头</t>
        </is>
      </c>
      <c r="AT27" s="2" t="n"/>
      <c r="AU27" s="2" t="inlineStr">
        <is>
          <t>由台账 Excel 历史数据自动导入（8.19付款明细-欧冶物宝1.xlsx 第37行），日期为过磅日期近似值 [原货主:林凯]</t>
        </is>
      </c>
    </row>
    <row r="28">
      <c r="A28" s="2" t="n">
        <v>26</v>
      </c>
      <c r="B28" s="8" t="n">
        <v>46262</v>
      </c>
      <c r="C28" s="2" t="inlineStr">
        <is>
          <t>苏BUK952</t>
        </is>
      </c>
      <c r="D28" s="2" t="inlineStr">
        <is>
          <t>车</t>
        </is>
      </c>
      <c r="E28" s="2" t="inlineStr">
        <is>
          <t>配票/反向</t>
        </is>
      </c>
      <c r="F28" s="2" t="inlineStr">
        <is>
          <t>配票</t>
        </is>
      </c>
      <c r="G28" s="2" t="inlineStr">
        <is>
          <t>林凯</t>
        </is>
      </c>
      <c r="H28" s="2" t="inlineStr">
        <is>
          <t>林凯车队</t>
        </is>
      </c>
      <c r="I28" s="2" t="inlineStr">
        <is>
          <t>俊兴</t>
        </is>
      </c>
      <c r="J28" s="2" t="inlineStr">
        <is>
          <t>已开票</t>
        </is>
      </c>
      <c r="K28" s="9" t="n">
        <v>27.22</v>
      </c>
      <c r="L28" s="10" t="n">
        <v>66416.8</v>
      </c>
      <c r="M28" s="11">
        <f>Q28+S28-AA28-AC28-AD28</f>
        <v/>
      </c>
      <c r="N28" s="12">
        <f>IF(K28=0,0,M28/K28)</f>
        <v/>
      </c>
      <c r="O28" s="10" t="n">
        <v>0</v>
      </c>
      <c r="P28" s="12" t="n"/>
      <c r="Q28" s="10" t="n">
        <v>0</v>
      </c>
      <c r="R28" s="12" t="n">
        <v>25</v>
      </c>
      <c r="S28" s="10" t="n">
        <v>680.5</v>
      </c>
      <c r="T28" s="12" t="n">
        <v>14</v>
      </c>
      <c r="U28" s="10" t="n">
        <v>57118.448</v>
      </c>
      <c r="V28" s="12" t="n">
        <v>23</v>
      </c>
      <c r="W28" s="10" t="n">
        <v>626.0599999999999</v>
      </c>
      <c r="X28" s="10" t="n">
        <v>65790.74000000001</v>
      </c>
      <c r="Y28" s="12" t="n">
        <v>13.5</v>
      </c>
      <c r="Z28" s="10" t="n">
        <v>56908.9901</v>
      </c>
      <c r="AA28" s="10" t="n">
        <v>209.4579000000012</v>
      </c>
      <c r="AB28" s="12" t="n">
        <v>5</v>
      </c>
      <c r="AC28" s="10" t="n">
        <v>136.1</v>
      </c>
      <c r="AD28" s="10" t="n">
        <v>0</v>
      </c>
      <c r="AE28" s="2" t="n"/>
      <c r="AF28" s="2" t="inlineStr">
        <is>
          <t>我们配票（经俊兴）</t>
        </is>
      </c>
      <c r="AG28" s="10" t="n">
        <v>65790.74000000001</v>
      </c>
      <c r="AH28" s="2" t="inlineStr">
        <is>
          <t>—</t>
        </is>
      </c>
      <c r="AI28" s="2" t="inlineStr">
        <is>
          <t>按状态视为已完成(历史)</t>
        </is>
      </c>
      <c r="AJ28" s="2" t="inlineStr">
        <is>
          <t>待登记</t>
        </is>
      </c>
      <c r="AK28" s="2" t="inlineStr">
        <is>
          <t>—</t>
        </is>
      </c>
      <c r="AL28" s="2" t="inlineStr">
        <is>
          <t>未开始(前一环节未完成)</t>
        </is>
      </c>
      <c r="AM28" s="10" t="n">
        <v>0</v>
      </c>
      <c r="AN28" s="8" t="n">
        <v>46262</v>
      </c>
      <c r="AO28" s="2" t="inlineStr">
        <is>
          <t>2026-08</t>
        </is>
      </c>
      <c r="AP28" s="9" t="n">
        <v>0.2</v>
      </c>
      <c r="AQ28" s="2" t="inlineStr">
        <is>
          <t>台账历史数据-已出结算单（具体单号未录入）</t>
        </is>
      </c>
      <c r="AR28" s="2" t="inlineStr">
        <is>
          <t>华西特钢</t>
        </is>
      </c>
      <c r="AS28" s="2" t="inlineStr">
        <is>
          <t>华西-欧冶户头</t>
        </is>
      </c>
      <c r="AT28" s="2" t="n"/>
      <c r="AU28" s="2" t="inlineStr">
        <is>
          <t>由台账 Excel 历史数据自动导入（8.19付款明细-欧冶物宝1.xlsx 第38行），日期为过磅日期近似值 [原货主:林凯]</t>
        </is>
      </c>
    </row>
    <row r="29">
      <c r="A29" s="2" t="n">
        <v>27</v>
      </c>
      <c r="B29" s="8" t="n">
        <v>46262</v>
      </c>
      <c r="C29" s="2" t="inlineStr">
        <is>
          <t>皖KQ1052</t>
        </is>
      </c>
      <c r="D29" s="2" t="inlineStr">
        <is>
          <t>车</t>
        </is>
      </c>
      <c r="E29" s="2" t="inlineStr">
        <is>
          <t>配票/反向</t>
        </is>
      </c>
      <c r="F29" s="2" t="inlineStr">
        <is>
          <t>配票</t>
        </is>
      </c>
      <c r="G29" s="2" t="n"/>
      <c r="H29" s="2" t="inlineStr">
        <is>
          <t>俊兴</t>
        </is>
      </c>
      <c r="I29" s="2" t="inlineStr">
        <is>
          <t>俊兴</t>
        </is>
      </c>
      <c r="J29" s="2" t="inlineStr">
        <is>
          <t>已开票</t>
        </is>
      </c>
      <c r="K29" s="9" t="n">
        <v>34.49</v>
      </c>
      <c r="L29" s="10" t="n">
        <v>80430.67999999999</v>
      </c>
      <c r="M29" s="11">
        <f>Q29+S29-AA29-AC29-AD29</f>
        <v/>
      </c>
      <c r="N29" s="12">
        <f>IF(K29=0,0,M29/K29)</f>
        <v/>
      </c>
      <c r="O29" s="10" t="n">
        <v>0</v>
      </c>
      <c r="P29" s="12" t="n"/>
      <c r="Q29" s="10" t="n">
        <v>0</v>
      </c>
      <c r="R29" s="12" t="n">
        <v>25</v>
      </c>
      <c r="S29" s="10" t="n">
        <v>862.25</v>
      </c>
      <c r="T29" s="12" t="n">
        <v>14</v>
      </c>
      <c r="U29" s="10" t="n">
        <v>69170.3848</v>
      </c>
      <c r="V29" s="12" t="n">
        <v>23</v>
      </c>
      <c r="W29" s="10" t="n">
        <v>793.2700000000001</v>
      </c>
      <c r="X29" s="10" t="n">
        <v>79637.40999999999</v>
      </c>
      <c r="Y29" s="12" t="n">
        <v>13.5</v>
      </c>
      <c r="Z29" s="10" t="n">
        <v>68886.35964999998</v>
      </c>
      <c r="AA29" s="10" t="n">
        <v>284.0251500000159</v>
      </c>
      <c r="AB29" s="12" t="n">
        <v>0</v>
      </c>
      <c r="AC29" s="10" t="n">
        <v>0</v>
      </c>
      <c r="AD29" s="10" t="n">
        <v>0</v>
      </c>
      <c r="AE29" s="2" t="n"/>
      <c r="AF29" s="2" t="inlineStr">
        <is>
          <t>我们配票（经俊兴）</t>
        </is>
      </c>
      <c r="AG29" s="10" t="n">
        <v>79637.41</v>
      </c>
      <c r="AH29" s="2" t="inlineStr">
        <is>
          <t>—</t>
        </is>
      </c>
      <c r="AI29" s="2" t="inlineStr">
        <is>
          <t>按状态视为已完成(历史)</t>
        </is>
      </c>
      <c r="AJ29" s="2" t="inlineStr">
        <is>
          <t>待登记</t>
        </is>
      </c>
      <c r="AK29" s="2" t="inlineStr">
        <is>
          <t>—</t>
        </is>
      </c>
      <c r="AL29" s="2" t="inlineStr">
        <is>
          <t>未开始(前一环节未完成)</t>
        </is>
      </c>
      <c r="AM29" s="10" t="n">
        <v>0</v>
      </c>
      <c r="AN29" s="8" t="n">
        <v>46262</v>
      </c>
      <c r="AO29" s="2" t="inlineStr">
        <is>
          <t>2026-08</t>
        </is>
      </c>
      <c r="AP29" s="9" t="n">
        <v>0.35</v>
      </c>
      <c r="AQ29" s="2" t="inlineStr">
        <is>
          <t>台账历史数据-已出结算单（具体单号未录入）</t>
        </is>
      </c>
      <c r="AR29" s="2" t="inlineStr">
        <is>
          <t>华西特钢</t>
        </is>
      </c>
      <c r="AS29" s="2" t="inlineStr">
        <is>
          <t>华西-欧冶户头</t>
        </is>
      </c>
      <c r="AT29" s="2" t="n"/>
      <c r="AU29" s="2" t="inlineStr">
        <is>
          <t>由台账 Excel 历史数据自动导入（8.19付款明细-欧冶物宝1.xlsx 第39行），日期为过磅日期近似值</t>
        </is>
      </c>
    </row>
    <row r="30">
      <c r="A30" s="2" t="n">
        <v>28</v>
      </c>
      <c r="B30" s="8" t="n">
        <v>46262</v>
      </c>
      <c r="C30" s="2" t="inlineStr">
        <is>
          <t>苏DBE075</t>
        </is>
      </c>
      <c r="D30" s="2" t="inlineStr">
        <is>
          <t>车</t>
        </is>
      </c>
      <c r="E30" s="2" t="inlineStr">
        <is>
          <t>配票/反向</t>
        </is>
      </c>
      <c r="F30" s="2" t="inlineStr">
        <is>
          <t>配票</t>
        </is>
      </c>
      <c r="G30" s="2" t="inlineStr">
        <is>
          <t>林凯</t>
        </is>
      </c>
      <c r="H30" s="2" t="inlineStr">
        <is>
          <t>林凯车队</t>
        </is>
      </c>
      <c r="I30" s="2" t="inlineStr">
        <is>
          <t>俊兴</t>
        </is>
      </c>
      <c r="J30" s="2" t="inlineStr">
        <is>
          <t>已开票</t>
        </is>
      </c>
      <c r="K30" s="9" t="n">
        <v>67.8</v>
      </c>
      <c r="L30" s="10" t="n">
        <v>151872</v>
      </c>
      <c r="M30" s="11">
        <f>Q30+S30-AA30-AC30-AD30</f>
        <v/>
      </c>
      <c r="N30" s="12">
        <f>IF(K30=0,0,M30/K30)</f>
        <v/>
      </c>
      <c r="O30" s="10" t="n">
        <v>0</v>
      </c>
      <c r="P30" s="12" t="n"/>
      <c r="Q30" s="10" t="n">
        <v>0</v>
      </c>
      <c r="R30" s="12" t="n">
        <v>25</v>
      </c>
      <c r="S30" s="10" t="n">
        <v>1695</v>
      </c>
      <c r="T30" s="12" t="n">
        <v>14</v>
      </c>
      <c r="U30" s="10" t="n">
        <v>130609.92</v>
      </c>
      <c r="V30" s="12" t="n">
        <v>23</v>
      </c>
      <c r="W30" s="10" t="n">
        <v>1559.4</v>
      </c>
      <c r="X30" s="10" t="n">
        <v>150312.6</v>
      </c>
      <c r="Y30" s="12" t="n">
        <v>13.5</v>
      </c>
      <c r="Z30" s="10" t="n">
        <v>130020.399</v>
      </c>
      <c r="AA30" s="10" t="n">
        <v>589.5209999999934</v>
      </c>
      <c r="AB30" s="12" t="n">
        <v>5</v>
      </c>
      <c r="AC30" s="10" t="n">
        <v>339</v>
      </c>
      <c r="AD30" s="10" t="n">
        <v>0</v>
      </c>
      <c r="AE30" s="2" t="n"/>
      <c r="AF30" s="2" t="inlineStr">
        <is>
          <t>我们配票（经俊兴）</t>
        </is>
      </c>
      <c r="AG30" s="10" t="n">
        <v>150312.6</v>
      </c>
      <c r="AH30" s="2" t="inlineStr">
        <is>
          <t>—</t>
        </is>
      </c>
      <c r="AI30" s="2" t="inlineStr">
        <is>
          <t>按状态视为已完成(历史)</t>
        </is>
      </c>
      <c r="AJ30" s="2" t="inlineStr">
        <is>
          <t>待登记</t>
        </is>
      </c>
      <c r="AK30" s="2" t="inlineStr">
        <is>
          <t>—</t>
        </is>
      </c>
      <c r="AL30" s="2" t="inlineStr">
        <is>
          <t>未开始(前一环节未完成)</t>
        </is>
      </c>
      <c r="AM30" s="10" t="n">
        <v>0</v>
      </c>
      <c r="AN30" s="8" t="n">
        <v>46262</v>
      </c>
      <c r="AO30" s="2" t="inlineStr">
        <is>
          <t>2026-08</t>
        </is>
      </c>
      <c r="AP30" s="9" t="n">
        <v>1.9</v>
      </c>
      <c r="AQ30" s="2" t="inlineStr">
        <is>
          <t>台账历史数据-已出结算单（具体单号未录入）</t>
        </is>
      </c>
      <c r="AR30" s="2" t="inlineStr">
        <is>
          <t>华西特钢</t>
        </is>
      </c>
      <c r="AS30" s="2" t="inlineStr">
        <is>
          <t>华西-欧冶户头</t>
        </is>
      </c>
      <c r="AT30" s="2" t="n"/>
      <c r="AU30" s="2" t="inlineStr">
        <is>
          <t>由台账 Excel 历史数据自动导入（8.19付款明细-欧冶物宝1.xlsx 第41行），日期为过磅日期近似值 [原货主:林凯]</t>
        </is>
      </c>
    </row>
    <row r="31">
      <c r="A31" s="2" t="n">
        <v>29</v>
      </c>
      <c r="B31" s="8" t="n">
        <v>46262</v>
      </c>
      <c r="C31" s="2" t="inlineStr">
        <is>
          <t>冀A224E6</t>
        </is>
      </c>
      <c r="D31" s="2" t="inlineStr">
        <is>
          <t>车</t>
        </is>
      </c>
      <c r="E31" s="2" t="inlineStr">
        <is>
          <t>配票/反向</t>
        </is>
      </c>
      <c r="F31" s="2" t="inlineStr">
        <is>
          <t>配票</t>
        </is>
      </c>
      <c r="G31" s="2" t="inlineStr">
        <is>
          <t>林凯</t>
        </is>
      </c>
      <c r="H31" s="2" t="inlineStr">
        <is>
          <t>林凯车队</t>
        </is>
      </c>
      <c r="I31" s="2" t="inlineStr">
        <is>
          <t>俊兴</t>
        </is>
      </c>
      <c r="J31" s="2" t="inlineStr">
        <is>
          <t>已开票</t>
        </is>
      </c>
      <c r="K31" s="9" t="n">
        <v>29</v>
      </c>
      <c r="L31" s="10" t="n">
        <v>71369</v>
      </c>
      <c r="M31" s="11">
        <f>Q31+S31-AA31-AC31-AD31</f>
        <v/>
      </c>
      <c r="N31" s="12">
        <f>IF(K31=0,0,M31/K31)</f>
        <v/>
      </c>
      <c r="O31" s="10" t="n">
        <v>0</v>
      </c>
      <c r="P31" s="12" t="n"/>
      <c r="Q31" s="10" t="n">
        <v>0</v>
      </c>
      <c r="R31" s="12" t="n">
        <v>25</v>
      </c>
      <c r="S31" s="10" t="n">
        <v>725</v>
      </c>
      <c r="T31" s="12" t="n">
        <v>14</v>
      </c>
      <c r="U31" s="10" t="n">
        <v>61377.34</v>
      </c>
      <c r="V31" s="12" t="n">
        <v>23</v>
      </c>
      <c r="W31" s="10" t="n">
        <v>667</v>
      </c>
      <c r="X31" s="10" t="n">
        <v>70702</v>
      </c>
      <c r="Y31" s="12" t="n">
        <v>13.5</v>
      </c>
      <c r="Z31" s="10" t="n">
        <v>61157.23</v>
      </c>
      <c r="AA31" s="10" t="n">
        <v>220.1100000000006</v>
      </c>
      <c r="AB31" s="12" t="n">
        <v>5</v>
      </c>
      <c r="AC31" s="10" t="n">
        <v>145</v>
      </c>
      <c r="AD31" s="10" t="n">
        <v>0</v>
      </c>
      <c r="AE31" s="2" t="n"/>
      <c r="AF31" s="2" t="inlineStr">
        <is>
          <t>我们配票（经俊兴）</t>
        </is>
      </c>
      <c r="AG31" s="10" t="n">
        <v>70702</v>
      </c>
      <c r="AH31" s="2" t="inlineStr">
        <is>
          <t>—</t>
        </is>
      </c>
      <c r="AI31" s="2" t="inlineStr">
        <is>
          <t>按状态视为已完成(历史)</t>
        </is>
      </c>
      <c r="AJ31" s="2" t="inlineStr">
        <is>
          <t>待登记</t>
        </is>
      </c>
      <c r="AK31" s="2" t="inlineStr">
        <is>
          <t>—</t>
        </is>
      </c>
      <c r="AL31" s="2" t="inlineStr">
        <is>
          <t>未开始(前一环节未完成)</t>
        </is>
      </c>
      <c r="AM31" s="10" t="n">
        <v>0</v>
      </c>
      <c r="AN31" s="8" t="n">
        <v>46262</v>
      </c>
      <c r="AO31" s="2" t="inlineStr">
        <is>
          <t>2026-08</t>
        </is>
      </c>
      <c r="AP31" s="9" t="n">
        <v>0.4</v>
      </c>
      <c r="AQ31" s="2" t="inlineStr">
        <is>
          <t>台账历史数据-已出结算单（具体单号未录入）</t>
        </is>
      </c>
      <c r="AR31" s="2" t="inlineStr">
        <is>
          <t>华西特钢</t>
        </is>
      </c>
      <c r="AS31" s="2" t="inlineStr">
        <is>
          <t>华西-欧冶户头</t>
        </is>
      </c>
      <c r="AT31" s="2" t="n"/>
      <c r="AU31" s="2" t="inlineStr">
        <is>
          <t>由台账 Excel 历史数据自动导入（8.19付款明细-欧冶物宝1.xlsx 第42行），日期为过磅日期近似值 [原货主:林凯]</t>
        </is>
      </c>
    </row>
    <row r="32">
      <c r="A32" s="2" t="n">
        <v>30</v>
      </c>
      <c r="B32" s="8" t="n">
        <v>46262</v>
      </c>
      <c r="C32" s="2" t="inlineStr">
        <is>
          <t>苏BWX568</t>
        </is>
      </c>
      <c r="D32" s="2" t="inlineStr">
        <is>
          <t>车</t>
        </is>
      </c>
      <c r="E32" s="2" t="inlineStr">
        <is>
          <t>配票/反向</t>
        </is>
      </c>
      <c r="F32" s="2" t="inlineStr">
        <is>
          <t>配票</t>
        </is>
      </c>
      <c r="G32" s="2" t="inlineStr">
        <is>
          <t>林凯</t>
        </is>
      </c>
      <c r="H32" s="2" t="inlineStr">
        <is>
          <t>林凯车队</t>
        </is>
      </c>
      <c r="I32" s="2" t="inlineStr">
        <is>
          <t>俊兴</t>
        </is>
      </c>
      <c r="J32" s="2" t="inlineStr">
        <is>
          <t>已开票</t>
        </is>
      </c>
      <c r="K32" s="9" t="n">
        <v>32.52</v>
      </c>
      <c r="L32" s="10" t="n">
        <v>78048</v>
      </c>
      <c r="M32" s="11">
        <f>Q32+S32-AA32-AC32-AD32</f>
        <v/>
      </c>
      <c r="N32" s="12">
        <f>IF(K32=0,0,M32/K32)</f>
        <v/>
      </c>
      <c r="O32" s="10" t="n">
        <v>0</v>
      </c>
      <c r="P32" s="12" t="n"/>
      <c r="Q32" s="10" t="n">
        <v>0</v>
      </c>
      <c r="R32" s="12" t="n">
        <v>25</v>
      </c>
      <c r="S32" s="10" t="n">
        <v>813</v>
      </c>
      <c r="T32" s="12" t="n">
        <v>14</v>
      </c>
      <c r="U32" s="10" t="n">
        <v>67121.28</v>
      </c>
      <c r="V32" s="12" t="n">
        <v>23</v>
      </c>
      <c r="W32" s="10" t="n">
        <v>747.96</v>
      </c>
      <c r="X32" s="10" t="n">
        <v>77300.03999999999</v>
      </c>
      <c r="Y32" s="12" t="n">
        <v>13.5</v>
      </c>
      <c r="Z32" s="10" t="n">
        <v>66864.5346</v>
      </c>
      <c r="AA32" s="10" t="n">
        <v>256.7453999999998</v>
      </c>
      <c r="AB32" s="12" t="n">
        <v>5</v>
      </c>
      <c r="AC32" s="10" t="n">
        <v>162.6</v>
      </c>
      <c r="AD32" s="10" t="n">
        <v>0</v>
      </c>
      <c r="AE32" s="2" t="n"/>
      <c r="AF32" s="2" t="inlineStr">
        <is>
          <t>我们配票（经俊兴）</t>
        </is>
      </c>
      <c r="AG32" s="10" t="n">
        <v>77300.03999999999</v>
      </c>
      <c r="AH32" s="2" t="inlineStr">
        <is>
          <t>—</t>
        </is>
      </c>
      <c r="AI32" s="2" t="inlineStr">
        <is>
          <t>按状态视为已完成(历史)</t>
        </is>
      </c>
      <c r="AJ32" s="2" t="inlineStr">
        <is>
          <t>待登记</t>
        </is>
      </c>
      <c r="AK32" s="2" t="inlineStr">
        <is>
          <t>—</t>
        </is>
      </c>
      <c r="AL32" s="2" t="inlineStr">
        <is>
          <t>未开始(前一环节未完成)</t>
        </is>
      </c>
      <c r="AM32" s="10" t="n">
        <v>0</v>
      </c>
      <c r="AN32" s="8" t="n">
        <v>46262</v>
      </c>
      <c r="AO32" s="2" t="inlineStr">
        <is>
          <t>2026-08</t>
        </is>
      </c>
      <c r="AP32" s="9" t="n">
        <v>0.7</v>
      </c>
      <c r="AQ32" s="2" t="inlineStr">
        <is>
          <t>台账历史数据-已出结算单（具体单号未录入）</t>
        </is>
      </c>
      <c r="AR32" s="2" t="inlineStr">
        <is>
          <t>华西特钢</t>
        </is>
      </c>
      <c r="AS32" s="2" t="inlineStr">
        <is>
          <t>华西-欧冶户头</t>
        </is>
      </c>
      <c r="AT32" s="2" t="n"/>
      <c r="AU32" s="2" t="inlineStr">
        <is>
          <t>由台账 Excel 历史数据自动导入（8.19付款明细-欧冶物宝1.xlsx 第44行），日期为过磅日期近似值 [原货主:林凯]</t>
        </is>
      </c>
    </row>
    <row r="33">
      <c r="A33" s="2" t="n">
        <v>31</v>
      </c>
      <c r="B33" s="8" t="n">
        <v>46263</v>
      </c>
      <c r="C33" s="2" t="inlineStr">
        <is>
          <t>苏DBB772</t>
        </is>
      </c>
      <c r="D33" s="2" t="inlineStr">
        <is>
          <t>车</t>
        </is>
      </c>
      <c r="E33" s="2" t="inlineStr">
        <is>
          <t>配票/反向</t>
        </is>
      </c>
      <c r="F33" s="2" t="inlineStr">
        <is>
          <t>配票</t>
        </is>
      </c>
      <c r="G33" s="2" t="inlineStr">
        <is>
          <t>林凯</t>
        </is>
      </c>
      <c r="H33" s="2" t="inlineStr">
        <is>
          <t>林凯车队</t>
        </is>
      </c>
      <c r="I33" s="2" t="inlineStr">
        <is>
          <t>俊兴</t>
        </is>
      </c>
      <c r="J33" s="2" t="inlineStr">
        <is>
          <t>已开票</t>
        </is>
      </c>
      <c r="K33" s="9" t="n">
        <v>81.36</v>
      </c>
      <c r="L33" s="10" t="n">
        <v>204213.6</v>
      </c>
      <c r="M33" s="11">
        <f>Q33+S33-AA33-AC33-AD33</f>
        <v/>
      </c>
      <c r="N33" s="12">
        <f>IF(K33=0,0,M33/K33)</f>
        <v/>
      </c>
      <c r="O33" s="10" t="n">
        <v>0</v>
      </c>
      <c r="P33" s="12" t="n"/>
      <c r="Q33" s="10" t="n">
        <v>0</v>
      </c>
      <c r="R33" s="12" t="n">
        <v>25</v>
      </c>
      <c r="S33" s="10" t="n">
        <v>2034</v>
      </c>
      <c r="T33" s="12" t="n">
        <v>14</v>
      </c>
      <c r="U33" s="10" t="n">
        <v>175623.696</v>
      </c>
      <c r="V33" s="12" t="n">
        <v>23</v>
      </c>
      <c r="W33" s="10" t="n">
        <v>1871.28</v>
      </c>
      <c r="X33" s="10" t="n">
        <v>202342.32</v>
      </c>
      <c r="Y33" s="12" t="n">
        <v>13.5</v>
      </c>
      <c r="Z33" s="10" t="n">
        <v>175026.1068</v>
      </c>
      <c r="AA33" s="10" t="n">
        <v>597.5891999999876</v>
      </c>
      <c r="AB33" s="12" t="n">
        <v>5</v>
      </c>
      <c r="AC33" s="10" t="n">
        <v>406.8</v>
      </c>
      <c r="AD33" s="10" t="n">
        <v>0</v>
      </c>
      <c r="AE33" s="2" t="n"/>
      <c r="AF33" s="2" t="inlineStr">
        <is>
          <t>我们配票（经俊兴）</t>
        </is>
      </c>
      <c r="AG33" s="10" t="n">
        <v>202342.32</v>
      </c>
      <c r="AH33" s="2" t="inlineStr">
        <is>
          <t>—</t>
        </is>
      </c>
      <c r="AI33" s="2" t="inlineStr">
        <is>
          <t>按状态视为已完成(历史)</t>
        </is>
      </c>
      <c r="AJ33" s="2" t="inlineStr">
        <is>
          <t>待登记</t>
        </is>
      </c>
      <c r="AK33" s="2" t="inlineStr">
        <is>
          <t>—</t>
        </is>
      </c>
      <c r="AL33" s="2" t="inlineStr">
        <is>
          <t>未开始(前一环节未完成)</t>
        </is>
      </c>
      <c r="AM33" s="10" t="n">
        <v>0</v>
      </c>
      <c r="AN33" s="8" t="n">
        <v>46263</v>
      </c>
      <c r="AO33" s="2" t="inlineStr">
        <is>
          <t>2026-08</t>
        </is>
      </c>
      <c r="AP33" s="9" t="n">
        <v>0.7</v>
      </c>
      <c r="AQ33" s="2" t="inlineStr">
        <is>
          <t>台账历史数据-已出结算单（具体单号未录入）</t>
        </is>
      </c>
      <c r="AR33" s="2" t="inlineStr">
        <is>
          <t>华西特钢</t>
        </is>
      </c>
      <c r="AS33" s="2" t="inlineStr">
        <is>
          <t>华西-欧冶户头</t>
        </is>
      </c>
      <c r="AT33" s="2" t="n"/>
      <c r="AU33" s="2" t="inlineStr">
        <is>
          <t>由台账 Excel 历史数据自动导入（8.19付款明细-欧冶物宝1.xlsx 第45行），日期为过磅日期近似值 [原货主:林凯]</t>
        </is>
      </c>
    </row>
    <row r="34">
      <c r="A34" s="2" t="n">
        <v>32</v>
      </c>
      <c r="B34" s="8" t="n">
        <v>46263</v>
      </c>
      <c r="C34" s="2" t="inlineStr">
        <is>
          <t>苏ERS080</t>
        </is>
      </c>
      <c r="D34" s="2" t="inlineStr">
        <is>
          <t>车</t>
        </is>
      </c>
      <c r="E34" s="2" t="inlineStr">
        <is>
          <t>配票/反向</t>
        </is>
      </c>
      <c r="F34" s="2" t="inlineStr">
        <is>
          <t>配票</t>
        </is>
      </c>
      <c r="G34" s="2" t="inlineStr">
        <is>
          <t>林凯</t>
        </is>
      </c>
      <c r="H34" s="2" t="inlineStr">
        <is>
          <t>林凯车队</t>
        </is>
      </c>
      <c r="I34" s="2" t="inlineStr">
        <is>
          <t>俊兴</t>
        </is>
      </c>
      <c r="J34" s="2" t="inlineStr">
        <is>
          <t>已开票</t>
        </is>
      </c>
      <c r="K34" s="9" t="n">
        <v>48.75</v>
      </c>
      <c r="L34" s="10" t="n">
        <v>117000</v>
      </c>
      <c r="M34" s="11">
        <f>Q34+S34-AA34-AC34-AD34</f>
        <v/>
      </c>
      <c r="N34" s="12">
        <f>IF(K34=0,0,M34/K34)</f>
        <v/>
      </c>
      <c r="O34" s="10" t="n">
        <v>0</v>
      </c>
      <c r="P34" s="12" t="n"/>
      <c r="Q34" s="10" t="n">
        <v>0</v>
      </c>
      <c r="R34" s="12" t="n">
        <v>25</v>
      </c>
      <c r="S34" s="10" t="n">
        <v>1218.75</v>
      </c>
      <c r="T34" s="12" t="n">
        <v>14</v>
      </c>
      <c r="U34" s="10" t="n">
        <v>100620</v>
      </c>
      <c r="V34" s="12" t="n">
        <v>23</v>
      </c>
      <c r="W34" s="10" t="n">
        <v>1121.25</v>
      </c>
      <c r="X34" s="10" t="n">
        <v>115878.75</v>
      </c>
      <c r="Y34" s="12" t="n">
        <v>13.5</v>
      </c>
      <c r="Z34" s="10" t="n">
        <v>100235.11875</v>
      </c>
      <c r="AA34" s="10" t="n">
        <v>384.8812500000058</v>
      </c>
      <c r="AB34" s="12" t="n">
        <v>5</v>
      </c>
      <c r="AC34" s="10" t="n">
        <v>243.75</v>
      </c>
      <c r="AD34" s="10" t="n">
        <v>0</v>
      </c>
      <c r="AE34" s="2" t="n"/>
      <c r="AF34" s="2" t="inlineStr">
        <is>
          <t>我们配票（经俊兴）</t>
        </is>
      </c>
      <c r="AG34" s="10" t="n">
        <v>115878.75</v>
      </c>
      <c r="AH34" s="2" t="inlineStr">
        <is>
          <t>—</t>
        </is>
      </c>
      <c r="AI34" s="2" t="inlineStr">
        <is>
          <t>按状态视为已完成(历史)</t>
        </is>
      </c>
      <c r="AJ34" s="2" t="inlineStr">
        <is>
          <t>待登记</t>
        </is>
      </c>
      <c r="AK34" s="2" t="inlineStr">
        <is>
          <t>—</t>
        </is>
      </c>
      <c r="AL34" s="2" t="inlineStr">
        <is>
          <t>未开始(前一环节未完成)</t>
        </is>
      </c>
      <c r="AM34" s="10" t="n">
        <v>0</v>
      </c>
      <c r="AN34" s="8" t="n">
        <v>46263</v>
      </c>
      <c r="AO34" s="2" t="inlineStr">
        <is>
          <t>2026-08</t>
        </is>
      </c>
      <c r="AP34" s="9" t="n">
        <v>0.45</v>
      </c>
      <c r="AQ34" s="2" t="inlineStr">
        <is>
          <t>台账历史数据-已出结算单（具体单号未录入）</t>
        </is>
      </c>
      <c r="AR34" s="2" t="inlineStr">
        <is>
          <t>华西特钢</t>
        </is>
      </c>
      <c r="AS34" s="2" t="inlineStr">
        <is>
          <t>华西-欧冶户头</t>
        </is>
      </c>
      <c r="AT34" s="2" t="n"/>
      <c r="AU34" s="2" t="inlineStr">
        <is>
          <t>由台账 Excel 历史数据自动导入（8.19付款明细-欧冶物宝1.xlsx 第46行），日期为过磅日期近似值 [原货主:林凯]</t>
        </is>
      </c>
    </row>
    <row r="35">
      <c r="A35" s="2" t="n">
        <v>33</v>
      </c>
      <c r="B35" s="8" t="n">
        <v>46263</v>
      </c>
      <c r="C35" s="2" t="inlineStr">
        <is>
          <t>苏DBE075</t>
        </is>
      </c>
      <c r="D35" s="2" t="inlineStr">
        <is>
          <t>车</t>
        </is>
      </c>
      <c r="E35" s="2" t="inlineStr">
        <is>
          <t>配票/反向</t>
        </is>
      </c>
      <c r="F35" s="2" t="inlineStr">
        <is>
          <t>配票</t>
        </is>
      </c>
      <c r="G35" s="2" t="inlineStr">
        <is>
          <t>林凯</t>
        </is>
      </c>
      <c r="H35" s="2" t="inlineStr">
        <is>
          <t>林凯车队</t>
        </is>
      </c>
      <c r="I35" s="2" t="inlineStr">
        <is>
          <t>俊兴</t>
        </is>
      </c>
      <c r="J35" s="2" t="inlineStr">
        <is>
          <t>已开票</t>
        </is>
      </c>
      <c r="K35" s="9" t="n">
        <v>79.68000000000001</v>
      </c>
      <c r="L35" s="10" t="n">
        <v>199996.8</v>
      </c>
      <c r="M35" s="11">
        <f>Q35+S35-AA35-AC35-AD35</f>
        <v/>
      </c>
      <c r="N35" s="12">
        <f>IF(K35=0,0,M35/K35)</f>
        <v/>
      </c>
      <c r="O35" s="10" t="n">
        <v>0</v>
      </c>
      <c r="P35" s="12" t="n"/>
      <c r="Q35" s="10" t="n">
        <v>0</v>
      </c>
      <c r="R35" s="12" t="n">
        <v>25</v>
      </c>
      <c r="S35" s="10" t="n">
        <v>1992</v>
      </c>
      <c r="T35" s="12" t="n">
        <v>14</v>
      </c>
      <c r="U35" s="10" t="n">
        <v>171997.248</v>
      </c>
      <c r="V35" s="12" t="n">
        <v>23</v>
      </c>
      <c r="W35" s="10" t="n">
        <v>1832.64</v>
      </c>
      <c r="X35" s="10" t="n">
        <v>198164.16</v>
      </c>
      <c r="Y35" s="12" t="n">
        <v>13.5</v>
      </c>
      <c r="Z35" s="10" t="n">
        <v>171411.9984</v>
      </c>
      <c r="AA35" s="10" t="n">
        <v>585.2496000000101</v>
      </c>
      <c r="AB35" s="12" t="n">
        <v>5</v>
      </c>
      <c r="AC35" s="10" t="n">
        <v>398.4</v>
      </c>
      <c r="AD35" s="10" t="n">
        <v>0</v>
      </c>
      <c r="AE35" s="2" t="n"/>
      <c r="AF35" s="2" t="inlineStr">
        <is>
          <t>我们配票（经俊兴）</t>
        </is>
      </c>
      <c r="AG35" s="10" t="n">
        <v>198164.16</v>
      </c>
      <c r="AH35" s="2" t="inlineStr">
        <is>
          <t>—</t>
        </is>
      </c>
      <c r="AI35" s="2" t="inlineStr">
        <is>
          <t>按状态视为已完成(历史)</t>
        </is>
      </c>
      <c r="AJ35" s="2" t="inlineStr">
        <is>
          <t>待登记</t>
        </is>
      </c>
      <c r="AK35" s="2" t="inlineStr">
        <is>
          <t>—</t>
        </is>
      </c>
      <c r="AL35" s="2" t="inlineStr">
        <is>
          <t>未开始(前一环节未完成)</t>
        </is>
      </c>
      <c r="AM35" s="10" t="n">
        <v>0</v>
      </c>
      <c r="AN35" s="8" t="n">
        <v>46263</v>
      </c>
      <c r="AO35" s="2" t="inlineStr">
        <is>
          <t>2026-08</t>
        </is>
      </c>
      <c r="AP35" s="9" t="n">
        <v>0.7</v>
      </c>
      <c r="AQ35" s="2" t="inlineStr">
        <is>
          <t>台账历史数据-已出结算单（具体单号未录入）</t>
        </is>
      </c>
      <c r="AR35" s="2" t="inlineStr">
        <is>
          <t>华西特钢</t>
        </is>
      </c>
      <c r="AS35" s="2" t="inlineStr">
        <is>
          <t>华西-欧冶户头</t>
        </is>
      </c>
      <c r="AT35" s="2" t="n"/>
      <c r="AU35" s="2" t="inlineStr">
        <is>
          <t>由台账 Excel 历史数据自动导入（8.19付款明细-欧冶物宝1.xlsx 第47行），日期为过磅日期近似值 [原货主:林凯]</t>
        </is>
      </c>
    </row>
    <row r="36">
      <c r="A36" s="2" t="n">
        <v>34</v>
      </c>
      <c r="B36" s="8" t="n">
        <v>46263</v>
      </c>
      <c r="C36" s="2" t="inlineStr">
        <is>
          <t>冀A224E6</t>
        </is>
      </c>
      <c r="D36" s="2" t="inlineStr">
        <is>
          <t>车</t>
        </is>
      </c>
      <c r="E36" s="2" t="inlineStr">
        <is>
          <t>配票/反向</t>
        </is>
      </c>
      <c r="F36" s="2" t="inlineStr">
        <is>
          <t>配票</t>
        </is>
      </c>
      <c r="G36" s="2" t="n"/>
      <c r="H36" s="2" t="inlineStr">
        <is>
          <t>俊兴</t>
        </is>
      </c>
      <c r="I36" s="2" t="inlineStr">
        <is>
          <t>俊兴</t>
        </is>
      </c>
      <c r="J36" s="2" t="inlineStr">
        <is>
          <t>已开票</t>
        </is>
      </c>
      <c r="K36" s="9" t="n">
        <v>20</v>
      </c>
      <c r="L36" s="10" t="n">
        <v>48800</v>
      </c>
      <c r="M36" s="11">
        <f>Q36+S36-AA36-AC36-AD36</f>
        <v/>
      </c>
      <c r="N36" s="12">
        <f>IF(K36=0,0,M36/K36)</f>
        <v/>
      </c>
      <c r="O36" s="10" t="n">
        <v>0</v>
      </c>
      <c r="P36" s="12" t="n"/>
      <c r="Q36" s="10" t="n">
        <v>0</v>
      </c>
      <c r="R36" s="12" t="n">
        <v>25</v>
      </c>
      <c r="S36" s="10" t="n">
        <v>500</v>
      </c>
      <c r="T36" s="12" t="n">
        <v>14</v>
      </c>
      <c r="U36" s="10" t="n">
        <v>41968</v>
      </c>
      <c r="V36" s="12" t="n">
        <v>23</v>
      </c>
      <c r="W36" s="10" t="n">
        <v>460</v>
      </c>
      <c r="X36" s="10" t="n">
        <v>48340</v>
      </c>
      <c r="Y36" s="12" t="n">
        <v>13.5</v>
      </c>
      <c r="Z36" s="10" t="n">
        <v>41814.1</v>
      </c>
      <c r="AA36" s="10" t="n">
        <v>153.9000000000015</v>
      </c>
      <c r="AB36" s="12" t="n">
        <v>0</v>
      </c>
      <c r="AC36" s="10" t="n">
        <v>0</v>
      </c>
      <c r="AD36" s="10" t="n">
        <v>0</v>
      </c>
      <c r="AE36" s="2" t="n"/>
      <c r="AF36" s="2" t="inlineStr">
        <is>
          <t>我们配票（经俊兴）</t>
        </is>
      </c>
      <c r="AG36" s="10" t="n">
        <v>48340</v>
      </c>
      <c r="AH36" s="2" t="inlineStr">
        <is>
          <t>—</t>
        </is>
      </c>
      <c r="AI36" s="2" t="inlineStr">
        <is>
          <t>按状态视为已完成(历史)</t>
        </is>
      </c>
      <c r="AJ36" s="2" t="inlineStr">
        <is>
          <t>待登记</t>
        </is>
      </c>
      <c r="AK36" s="2" t="inlineStr">
        <is>
          <t>—</t>
        </is>
      </c>
      <c r="AL36" s="2" t="inlineStr">
        <is>
          <t>未开始(前一环节未完成)</t>
        </is>
      </c>
      <c r="AM36" s="10" t="n">
        <v>0</v>
      </c>
      <c r="AN36" s="8" t="n">
        <v>46263</v>
      </c>
      <c r="AO36" s="2" t="inlineStr">
        <is>
          <t>2026-08</t>
        </is>
      </c>
      <c r="AP36" s="9" t="n">
        <v>0.4</v>
      </c>
      <c r="AQ36" s="2" t="inlineStr">
        <is>
          <t>台账历史数据-已出结算单（具体单号未录入）</t>
        </is>
      </c>
      <c r="AR36" s="2" t="inlineStr">
        <is>
          <t>华西特钢</t>
        </is>
      </c>
      <c r="AS36" s="2" t="inlineStr">
        <is>
          <t>华西-欧冶户头</t>
        </is>
      </c>
      <c r="AT36" s="2" t="n"/>
      <c r="AU36" s="2" t="inlineStr">
        <is>
          <t>由台账 Excel 历史数据自动导入（8.19付款明细-欧冶物宝1.xlsx 第48行），日期为过磅日期近似值</t>
        </is>
      </c>
    </row>
    <row r="37">
      <c r="A37" s="2" t="n">
        <v>35</v>
      </c>
      <c r="B37" s="8" t="n">
        <v>46263</v>
      </c>
      <c r="C37" s="2" t="inlineStr">
        <is>
          <t>苏AE8896</t>
        </is>
      </c>
      <c r="D37" s="2" t="inlineStr">
        <is>
          <t>车</t>
        </is>
      </c>
      <c r="E37" s="2" t="inlineStr">
        <is>
          <t>配票/反向</t>
        </is>
      </c>
      <c r="F37" s="2" t="inlineStr">
        <is>
          <t>配票</t>
        </is>
      </c>
      <c r="G37" s="2" t="n"/>
      <c r="H37" s="2" t="inlineStr">
        <is>
          <t>俊兴</t>
        </is>
      </c>
      <c r="I37" s="2" t="inlineStr">
        <is>
          <t>俊兴</t>
        </is>
      </c>
      <c r="J37" s="2" t="inlineStr">
        <is>
          <t>已开票</t>
        </is>
      </c>
      <c r="K37" s="9" t="n">
        <v>39.96</v>
      </c>
      <c r="L37" s="10" t="n">
        <v>93186.72</v>
      </c>
      <c r="M37" s="11">
        <f>Q37+S37-AA37-AC37-AD37</f>
        <v/>
      </c>
      <c r="N37" s="12">
        <f>IF(K37=0,0,M37/K37)</f>
        <v/>
      </c>
      <c r="O37" s="10" t="n">
        <v>0</v>
      </c>
      <c r="P37" s="12" t="n"/>
      <c r="Q37" s="10" t="n">
        <v>0</v>
      </c>
      <c r="R37" s="12" t="n">
        <v>25</v>
      </c>
      <c r="S37" s="10" t="n">
        <v>999</v>
      </c>
      <c r="T37" s="12" t="n">
        <v>14</v>
      </c>
      <c r="U37" s="10" t="n">
        <v>80140.57919999999</v>
      </c>
      <c r="V37" s="12" t="n">
        <v>23</v>
      </c>
      <c r="W37" s="10" t="n">
        <v>919.08</v>
      </c>
      <c r="X37" s="10" t="n">
        <v>92267.64</v>
      </c>
      <c r="Y37" s="12" t="n">
        <v>13.5</v>
      </c>
      <c r="Z37" s="10" t="n">
        <v>79811.5086</v>
      </c>
      <c r="AA37" s="10" t="n">
        <v>329.0705999999918</v>
      </c>
      <c r="AB37" s="12" t="n">
        <v>0</v>
      </c>
      <c r="AC37" s="10" t="n">
        <v>0</v>
      </c>
      <c r="AD37" s="10" t="n">
        <v>0</v>
      </c>
      <c r="AE37" s="2" t="n"/>
      <c r="AF37" s="2" t="inlineStr">
        <is>
          <t>我们配票（经俊兴）</t>
        </is>
      </c>
      <c r="AG37" s="10" t="n">
        <v>92267.64</v>
      </c>
      <c r="AH37" s="2" t="inlineStr">
        <is>
          <t>—</t>
        </is>
      </c>
      <c r="AI37" s="2" t="inlineStr">
        <is>
          <t>按状态视为已完成(历史)</t>
        </is>
      </c>
      <c r="AJ37" s="2" t="inlineStr">
        <is>
          <t>待登记</t>
        </is>
      </c>
      <c r="AK37" s="2" t="inlineStr">
        <is>
          <t>—</t>
        </is>
      </c>
      <c r="AL37" s="2" t="inlineStr">
        <is>
          <t>未开始(前一环节未完成)</t>
        </is>
      </c>
      <c r="AM37" s="10" t="n">
        <v>0</v>
      </c>
      <c r="AN37" s="8" t="n">
        <v>46263</v>
      </c>
      <c r="AO37" s="2" t="inlineStr">
        <is>
          <t>2026-08</t>
        </is>
      </c>
      <c r="AP37" s="9" t="n">
        <v>0.4</v>
      </c>
      <c r="AQ37" s="2" t="inlineStr">
        <is>
          <t>台账历史数据-已出结算单（具体单号未录入）</t>
        </is>
      </c>
      <c r="AR37" s="2" t="inlineStr">
        <is>
          <t>华西特钢</t>
        </is>
      </c>
      <c r="AS37" s="2" t="inlineStr">
        <is>
          <t>华西-欧冶户头</t>
        </is>
      </c>
      <c r="AT37" s="2" t="n"/>
      <c r="AU37" s="2" t="inlineStr">
        <is>
          <t>由台账 Excel 历史数据自动导入（8.19付款明细-欧冶物宝1.xlsx 第49行），日期为过磅日期近似值</t>
        </is>
      </c>
    </row>
    <row r="38">
      <c r="A38" s="2" t="n">
        <v>36</v>
      </c>
      <c r="B38" s="8" t="n">
        <v>46263</v>
      </c>
      <c r="C38" s="2" t="inlineStr">
        <is>
          <t>苏DBB772</t>
        </is>
      </c>
      <c r="D38" s="2" t="inlineStr">
        <is>
          <t>车</t>
        </is>
      </c>
      <c r="E38" s="2" t="inlineStr">
        <is>
          <t>配票/反向</t>
        </is>
      </c>
      <c r="F38" s="2" t="inlineStr">
        <is>
          <t>配票</t>
        </is>
      </c>
      <c r="G38" s="2" t="inlineStr">
        <is>
          <t>林凯</t>
        </is>
      </c>
      <c r="H38" s="2" t="inlineStr">
        <is>
          <t>林凯车队</t>
        </is>
      </c>
      <c r="I38" s="2" t="inlineStr">
        <is>
          <t>俊兴</t>
        </is>
      </c>
      <c r="J38" s="2" t="inlineStr">
        <is>
          <t>已开票</t>
        </is>
      </c>
      <c r="K38" s="9" t="n">
        <v>66.06</v>
      </c>
      <c r="L38" s="10" t="n">
        <v>147974.4</v>
      </c>
      <c r="M38" s="11">
        <f>Q38+S38-AA38-AC38-AD38</f>
        <v/>
      </c>
      <c r="N38" s="12">
        <f>IF(K38=0,0,M38/K38)</f>
        <v/>
      </c>
      <c r="O38" s="10" t="n">
        <v>0</v>
      </c>
      <c r="P38" s="12" t="n"/>
      <c r="Q38" s="10" t="n">
        <v>0</v>
      </c>
      <c r="R38" s="12" t="n">
        <v>25</v>
      </c>
      <c r="S38" s="10" t="n">
        <v>1651.5</v>
      </c>
      <c r="T38" s="12" t="n">
        <v>14</v>
      </c>
      <c r="U38" s="10" t="n">
        <v>127257.984</v>
      </c>
      <c r="V38" s="12" t="n">
        <v>23</v>
      </c>
      <c r="W38" s="10" t="n">
        <v>1519.38</v>
      </c>
      <c r="X38" s="10" t="n">
        <v>146455.02</v>
      </c>
      <c r="Y38" s="12" t="n">
        <v>13.5</v>
      </c>
      <c r="Z38" s="10" t="n">
        <v>126683.5923</v>
      </c>
      <c r="AA38" s="10" t="n">
        <v>574.3917000000074</v>
      </c>
      <c r="AB38" s="12" t="n">
        <v>5</v>
      </c>
      <c r="AC38" s="10" t="n">
        <v>330.3</v>
      </c>
      <c r="AD38" s="10" t="n">
        <v>0</v>
      </c>
      <c r="AE38" s="2" t="n"/>
      <c r="AF38" s="2" t="inlineStr">
        <is>
          <t>我们配票（经俊兴）</t>
        </is>
      </c>
      <c r="AG38" s="10" t="n">
        <v>146455.02</v>
      </c>
      <c r="AH38" s="2" t="inlineStr">
        <is>
          <t>—</t>
        </is>
      </c>
      <c r="AI38" s="2" t="inlineStr">
        <is>
          <t>按状态视为已完成(历史)</t>
        </is>
      </c>
      <c r="AJ38" s="2" t="inlineStr">
        <is>
          <t>待登记</t>
        </is>
      </c>
      <c r="AK38" s="2" t="inlineStr">
        <is>
          <t>—</t>
        </is>
      </c>
      <c r="AL38" s="2" t="inlineStr">
        <is>
          <t>未开始(前一环节未完成)</t>
        </is>
      </c>
      <c r="AM38" s="10" t="n">
        <v>0</v>
      </c>
      <c r="AN38" s="8" t="n">
        <v>46263</v>
      </c>
      <c r="AO38" s="2" t="inlineStr">
        <is>
          <t>2026-08</t>
        </is>
      </c>
      <c r="AP38" s="9" t="n">
        <v>0.6</v>
      </c>
      <c r="AQ38" s="2" t="inlineStr">
        <is>
          <t>台账历史数据-已出结算单（具体单号未录入）</t>
        </is>
      </c>
      <c r="AR38" s="2" t="inlineStr">
        <is>
          <t>华西特钢</t>
        </is>
      </c>
      <c r="AS38" s="2" t="inlineStr">
        <is>
          <t>华西-欧冶户头</t>
        </is>
      </c>
      <c r="AT38" s="2" t="n"/>
      <c r="AU38" s="2" t="inlineStr">
        <is>
          <t>由台账 Excel 历史数据自动导入（8.19付款明细-欧冶物宝1.xlsx 第51行），日期为过磅日期近似值 [原货主:林凯]</t>
        </is>
      </c>
    </row>
    <row r="39">
      <c r="A39" s="2" t="n">
        <v>37</v>
      </c>
      <c r="B39" s="8" t="n">
        <v>46264</v>
      </c>
      <c r="C39" s="2" t="inlineStr">
        <is>
          <t>苏DBE075</t>
        </is>
      </c>
      <c r="D39" s="2" t="inlineStr">
        <is>
          <t>车</t>
        </is>
      </c>
      <c r="E39" s="2" t="inlineStr">
        <is>
          <t>配票/反向</t>
        </is>
      </c>
      <c r="F39" s="2" t="inlineStr">
        <is>
          <t>配票</t>
        </is>
      </c>
      <c r="G39" s="2" t="inlineStr">
        <is>
          <t>林凯</t>
        </is>
      </c>
      <c r="H39" s="2" t="inlineStr">
        <is>
          <t>林凯车队</t>
        </is>
      </c>
      <c r="I39" s="2" t="inlineStr">
        <is>
          <t>俊兴</t>
        </is>
      </c>
      <c r="J39" s="2" t="inlineStr">
        <is>
          <t>已开票</t>
        </is>
      </c>
      <c r="K39" s="9" t="n">
        <v>81.92</v>
      </c>
      <c r="L39" s="10" t="n">
        <v>205619.2</v>
      </c>
      <c r="M39" s="11">
        <f>Q39+S39-AA39-AC39-AD39</f>
        <v/>
      </c>
      <c r="N39" s="12">
        <f>IF(K39=0,0,M39/K39)</f>
        <v/>
      </c>
      <c r="O39" s="10" t="n">
        <v>0</v>
      </c>
      <c r="P39" s="12" t="n"/>
      <c r="Q39" s="10" t="n">
        <v>0</v>
      </c>
      <c r="R39" s="12" t="n">
        <v>25</v>
      </c>
      <c r="S39" s="10" t="n">
        <v>2048</v>
      </c>
      <c r="T39" s="12" t="n">
        <v>14</v>
      </c>
      <c r="U39" s="10" t="n">
        <v>176832.512</v>
      </c>
      <c r="V39" s="12" t="n">
        <v>23</v>
      </c>
      <c r="W39" s="10" t="n">
        <v>1884.16</v>
      </c>
      <c r="X39" s="10" t="n">
        <v>203735.04</v>
      </c>
      <c r="Y39" s="12" t="n">
        <v>13.5</v>
      </c>
      <c r="Z39" s="10" t="n">
        <v>176230.8096</v>
      </c>
      <c r="AA39" s="10" t="n">
        <v>601.7024000000092</v>
      </c>
      <c r="AB39" s="12" t="n">
        <v>5</v>
      </c>
      <c r="AC39" s="10" t="n">
        <v>409.6</v>
      </c>
      <c r="AD39" s="10" t="n">
        <v>0</v>
      </c>
      <c r="AE39" s="2" t="n"/>
      <c r="AF39" s="2" t="inlineStr">
        <is>
          <t>我们配票（经俊兴）</t>
        </is>
      </c>
      <c r="AG39" s="10" t="n">
        <v>203735.04</v>
      </c>
      <c r="AH39" s="2" t="inlineStr">
        <is>
          <t>—</t>
        </is>
      </c>
      <c r="AI39" s="2" t="inlineStr">
        <is>
          <t>按状态视为已完成(历史)</t>
        </is>
      </c>
      <c r="AJ39" s="2" t="inlineStr">
        <is>
          <t>待登记</t>
        </is>
      </c>
      <c r="AK39" s="2" t="inlineStr">
        <is>
          <t>—</t>
        </is>
      </c>
      <c r="AL39" s="2" t="inlineStr">
        <is>
          <t>未开始(前一环节未完成)</t>
        </is>
      </c>
      <c r="AM39" s="10" t="n">
        <v>0</v>
      </c>
      <c r="AN39" s="8" t="n">
        <v>46264</v>
      </c>
      <c r="AO39" s="2" t="inlineStr">
        <is>
          <t>2026-08</t>
        </is>
      </c>
      <c r="AP39" s="9" t="n">
        <v>0.8</v>
      </c>
      <c r="AQ39" s="2" t="inlineStr">
        <is>
          <t>台账历史数据-已出结算单（具体单号未录入）</t>
        </is>
      </c>
      <c r="AR39" s="2" t="inlineStr">
        <is>
          <t>华西特钢</t>
        </is>
      </c>
      <c r="AS39" s="2" t="inlineStr">
        <is>
          <t>华西-欧冶户头</t>
        </is>
      </c>
      <c r="AT39" s="2" t="n"/>
      <c r="AU39" s="2" t="inlineStr">
        <is>
          <t>由台账 Excel 历史数据自动导入（8.19付款明细-欧冶物宝1.xlsx 第52行），日期为过磅日期近似值 [原货主:林凯]</t>
        </is>
      </c>
    </row>
    <row r="40">
      <c r="A40" s="2" t="n">
        <v>38</v>
      </c>
      <c r="B40" s="8" t="n">
        <v>46264</v>
      </c>
      <c r="C40" s="2" t="inlineStr">
        <is>
          <t>苏DBE961</t>
        </is>
      </c>
      <c r="D40" s="2" t="inlineStr">
        <is>
          <t>车</t>
        </is>
      </c>
      <c r="E40" s="2" t="inlineStr">
        <is>
          <t>配票/反向</t>
        </is>
      </c>
      <c r="F40" s="2" t="inlineStr">
        <is>
          <t>配票</t>
        </is>
      </c>
      <c r="G40" s="2" t="n"/>
      <c r="H40" s="2" t="inlineStr">
        <is>
          <t>俊兴</t>
        </is>
      </c>
      <c r="I40" s="2" t="inlineStr">
        <is>
          <t>俊兴</t>
        </is>
      </c>
      <c r="J40" s="2" t="inlineStr">
        <is>
          <t>已开票</t>
        </is>
      </c>
      <c r="K40" s="9" t="n">
        <v>78.64</v>
      </c>
      <c r="L40" s="10" t="n">
        <v>181501.12</v>
      </c>
      <c r="M40" s="11">
        <f>Q40+S40-AA40-AC40-AD40</f>
        <v/>
      </c>
      <c r="N40" s="12">
        <f>IF(K40=0,0,M40/K40)</f>
        <v/>
      </c>
      <c r="O40" s="10" t="n">
        <v>0</v>
      </c>
      <c r="P40" s="12" t="n"/>
      <c r="Q40" s="10" t="n">
        <v>0</v>
      </c>
      <c r="R40" s="12" t="n">
        <v>25</v>
      </c>
      <c r="S40" s="10" t="n">
        <v>1966</v>
      </c>
      <c r="T40" s="12" t="n">
        <v>14</v>
      </c>
      <c r="U40" s="10" t="n">
        <v>156090.9632</v>
      </c>
      <c r="V40" s="12" t="n">
        <v>23</v>
      </c>
      <c r="W40" s="10" t="n">
        <v>1808.72</v>
      </c>
      <c r="X40" s="10" t="n">
        <v>179692.4</v>
      </c>
      <c r="Y40" s="12" t="n">
        <v>13.5</v>
      </c>
      <c r="Z40" s="10" t="n">
        <v>155433.926</v>
      </c>
      <c r="AA40" s="10" t="n">
        <v>657.0371999999916</v>
      </c>
      <c r="AB40" s="12" t="n">
        <v>0</v>
      </c>
      <c r="AC40" s="10" t="n">
        <v>0</v>
      </c>
      <c r="AD40" s="10" t="n">
        <v>0</v>
      </c>
      <c r="AE40" s="2" t="n"/>
      <c r="AF40" s="2" t="inlineStr">
        <is>
          <t>我们配票（经俊兴）</t>
        </is>
      </c>
      <c r="AG40" s="10" t="n">
        <v>179692.4</v>
      </c>
      <c r="AH40" s="2" t="inlineStr">
        <is>
          <t>—</t>
        </is>
      </c>
      <c r="AI40" s="2" t="inlineStr">
        <is>
          <t>按状态视为已完成(历史)</t>
        </is>
      </c>
      <c r="AJ40" s="2" t="inlineStr">
        <is>
          <t>待登记</t>
        </is>
      </c>
      <c r="AK40" s="2" t="inlineStr">
        <is>
          <t>—</t>
        </is>
      </c>
      <c r="AL40" s="2" t="inlineStr">
        <is>
          <t>未开始(前一环节未完成)</t>
        </is>
      </c>
      <c r="AM40" s="10" t="n">
        <v>0</v>
      </c>
      <c r="AN40" s="8" t="n">
        <v>46264</v>
      </c>
      <c r="AO40" s="2" t="inlineStr">
        <is>
          <t>2026-08</t>
        </is>
      </c>
      <c r="AP40" s="9" t="n">
        <v>0.6</v>
      </c>
      <c r="AQ40" s="2" t="inlineStr">
        <is>
          <t>台账历史数据-已出结算单（具体单号未录入）</t>
        </is>
      </c>
      <c r="AR40" s="2" t="inlineStr">
        <is>
          <t>华西特钢</t>
        </is>
      </c>
      <c r="AS40" s="2" t="inlineStr">
        <is>
          <t>华西-欧冶户头</t>
        </is>
      </c>
      <c r="AT40" s="2" t="n"/>
      <c r="AU40" s="2" t="inlineStr">
        <is>
          <t>由台账 Excel 历史数据自动导入（8.19付款明细-欧冶物宝1.xlsx 第53行），日期为过磅日期近似值</t>
        </is>
      </c>
    </row>
    <row r="41">
      <c r="A41" s="2" t="n">
        <v>39</v>
      </c>
      <c r="B41" s="8" t="n">
        <v>46264</v>
      </c>
      <c r="C41" s="2" t="inlineStr">
        <is>
          <t>苏DFB287</t>
        </is>
      </c>
      <c r="D41" s="2" t="inlineStr">
        <is>
          <t>车</t>
        </is>
      </c>
      <c r="E41" s="2" t="inlineStr">
        <is>
          <t>配票/反向</t>
        </is>
      </c>
      <c r="F41" s="2" t="inlineStr">
        <is>
          <t>配票</t>
        </is>
      </c>
      <c r="G41" s="2" t="n"/>
      <c r="H41" s="2" t="inlineStr">
        <is>
          <t>俊兴</t>
        </is>
      </c>
      <c r="I41" s="2" t="inlineStr">
        <is>
          <t>俊兴</t>
        </is>
      </c>
      <c r="J41" s="2" t="inlineStr">
        <is>
          <t>已开票</t>
        </is>
      </c>
      <c r="K41" s="9" t="n">
        <v>83.25999999999999</v>
      </c>
      <c r="L41" s="10" t="n">
        <v>192164.08</v>
      </c>
      <c r="M41" s="11">
        <f>Q41+S41-AA41-AC41-AD41</f>
        <v/>
      </c>
      <c r="N41" s="12">
        <f>IF(K41=0,0,M41/K41)</f>
        <v/>
      </c>
      <c r="O41" s="10" t="n">
        <v>0</v>
      </c>
      <c r="P41" s="12" t="n"/>
      <c r="Q41" s="10" t="n">
        <v>0</v>
      </c>
      <c r="R41" s="12" t="n">
        <v>25</v>
      </c>
      <c r="S41" s="10" t="n">
        <v>2081.5</v>
      </c>
      <c r="T41" s="12" t="n">
        <v>14</v>
      </c>
      <c r="U41" s="10" t="n">
        <v>165261.1088</v>
      </c>
      <c r="V41" s="12" t="n">
        <v>23</v>
      </c>
      <c r="W41" s="10" t="n">
        <v>1914.98</v>
      </c>
      <c r="X41" s="10" t="n">
        <v>190249.1</v>
      </c>
      <c r="Y41" s="12" t="n">
        <v>13.5</v>
      </c>
      <c r="Z41" s="10" t="n">
        <v>164565.4715</v>
      </c>
      <c r="AA41" s="10" t="n">
        <v>695.6373000000021</v>
      </c>
      <c r="AB41" s="12" t="n">
        <v>0</v>
      </c>
      <c r="AC41" s="10" t="n">
        <v>0</v>
      </c>
      <c r="AD41" s="10" t="n">
        <v>0</v>
      </c>
      <c r="AE41" s="2" t="n"/>
      <c r="AF41" s="2" t="inlineStr">
        <is>
          <t>我们配票（经俊兴）</t>
        </is>
      </c>
      <c r="AG41" s="10" t="n">
        <v>190249.1</v>
      </c>
      <c r="AH41" s="2" t="inlineStr">
        <is>
          <t>—</t>
        </is>
      </c>
      <c r="AI41" s="2" t="inlineStr">
        <is>
          <t>按状态视为已完成(历史)</t>
        </is>
      </c>
      <c r="AJ41" s="2" t="inlineStr">
        <is>
          <t>待登记</t>
        </is>
      </c>
      <c r="AK41" s="2" t="inlineStr">
        <is>
          <t>—</t>
        </is>
      </c>
      <c r="AL41" s="2" t="inlineStr">
        <is>
          <t>未开始(前一环节未完成)</t>
        </is>
      </c>
      <c r="AM41" s="10" t="n">
        <v>0</v>
      </c>
      <c r="AN41" s="8" t="n">
        <v>46264</v>
      </c>
      <c r="AO41" s="2" t="inlineStr">
        <is>
          <t>2026-08</t>
        </is>
      </c>
      <c r="AP41" s="9" t="n">
        <v>0.6</v>
      </c>
      <c r="AQ41" s="2" t="inlineStr">
        <is>
          <t>台账历史数据-已出结算单（具体单号未录入）</t>
        </is>
      </c>
      <c r="AR41" s="2" t="inlineStr">
        <is>
          <t>华西特钢</t>
        </is>
      </c>
      <c r="AS41" s="2" t="inlineStr">
        <is>
          <t>华西-欧冶户头</t>
        </is>
      </c>
      <c r="AT41" s="2" t="n"/>
      <c r="AU41" s="2" t="inlineStr">
        <is>
          <t>由台账 Excel 历史数据自动导入（8.19付款明细-欧冶物宝1.xlsx 第55行），日期为过磅日期近似值</t>
        </is>
      </c>
    </row>
    <row r="42">
      <c r="A42" s="2" t="n">
        <v>40</v>
      </c>
      <c r="B42" s="8" t="n">
        <v>46264</v>
      </c>
      <c r="C42" s="2" t="inlineStr">
        <is>
          <t>苏BTQ938</t>
        </is>
      </c>
      <c r="D42" s="2" t="inlineStr">
        <is>
          <t>车</t>
        </is>
      </c>
      <c r="E42" s="2" t="inlineStr">
        <is>
          <t>配票/反向</t>
        </is>
      </c>
      <c r="F42" s="2" t="inlineStr">
        <is>
          <t>配票</t>
        </is>
      </c>
      <c r="G42" s="2" t="inlineStr">
        <is>
          <t>李涛</t>
        </is>
      </c>
      <c r="H42" s="2" t="inlineStr">
        <is>
          <t>李涛车队</t>
        </is>
      </c>
      <c r="I42" s="2" t="inlineStr">
        <is>
          <t>俊兴</t>
        </is>
      </c>
      <c r="J42" s="2" t="inlineStr">
        <is>
          <t>已开票</t>
        </is>
      </c>
      <c r="K42" s="9" t="n">
        <v>32.42</v>
      </c>
      <c r="L42" s="10" t="n">
        <v>77808</v>
      </c>
      <c r="M42" s="11">
        <f>Q42+S42-AA42-AC42-AD42</f>
        <v/>
      </c>
      <c r="N42" s="12">
        <f>IF(K42=0,0,M42/K42)</f>
        <v/>
      </c>
      <c r="O42" s="10" t="n">
        <v>0</v>
      </c>
      <c r="P42" s="12" t="n"/>
      <c r="Q42" s="10" t="n">
        <v>0</v>
      </c>
      <c r="R42" s="12" t="n">
        <v>25</v>
      </c>
      <c r="S42" s="10" t="n">
        <v>810.5</v>
      </c>
      <c r="T42" s="12" t="n">
        <v>14</v>
      </c>
      <c r="U42" s="10" t="n">
        <v>66914.88</v>
      </c>
      <c r="V42" s="12" t="n">
        <v>23</v>
      </c>
      <c r="W42" s="10" t="n">
        <v>745.6600000000001</v>
      </c>
      <c r="X42" s="10" t="n">
        <v>77062.34</v>
      </c>
      <c r="Y42" s="12" t="n">
        <v>13.5</v>
      </c>
      <c r="Z42" s="10" t="n">
        <v>66658.92409999999</v>
      </c>
      <c r="AA42" s="10" t="n">
        <v>255.9559000000154</v>
      </c>
      <c r="AB42" s="12" t="n">
        <v>0</v>
      </c>
      <c r="AC42" s="10" t="n">
        <v>0</v>
      </c>
      <c r="AD42" s="10" t="n">
        <v>0</v>
      </c>
      <c r="AE42" s="2" t="n"/>
      <c r="AF42" s="2" t="inlineStr">
        <is>
          <t>我们配票（经俊兴）</t>
        </is>
      </c>
      <c r="AG42" s="10" t="n">
        <v>77062.34</v>
      </c>
      <c r="AH42" s="2" t="inlineStr">
        <is>
          <t>—</t>
        </is>
      </c>
      <c r="AI42" s="2" t="inlineStr">
        <is>
          <t>按状态视为已完成(历史)</t>
        </is>
      </c>
      <c r="AJ42" s="2" t="inlineStr">
        <is>
          <t>待登记</t>
        </is>
      </c>
      <c r="AK42" s="2" t="inlineStr">
        <is>
          <t>—</t>
        </is>
      </c>
      <c r="AL42" s="2" t="inlineStr">
        <is>
          <t>未开始(前一环节未完成)</t>
        </is>
      </c>
      <c r="AM42" s="10" t="n">
        <v>0</v>
      </c>
      <c r="AN42" s="8" t="n">
        <v>46264</v>
      </c>
      <c r="AO42" s="2" t="inlineStr">
        <is>
          <t>2026-08</t>
        </is>
      </c>
      <c r="AP42" s="9" t="n">
        <v>0.5</v>
      </c>
      <c r="AQ42" s="2" t="inlineStr">
        <is>
          <t>台账历史数据-已出结算单（具体单号未录入）</t>
        </is>
      </c>
      <c r="AR42" s="2" t="inlineStr">
        <is>
          <t>华西特钢</t>
        </is>
      </c>
      <c r="AS42" s="2" t="inlineStr">
        <is>
          <t>华西-欧冶户头</t>
        </is>
      </c>
      <c r="AT42" s="2" t="n"/>
      <c r="AU42" s="2" t="inlineStr">
        <is>
          <t>由台账 Excel 历史数据自动导入（8.19付款明细-欧冶物宝1.xlsx 第57行），日期为过磅日期近似值 [原货主:李涛]</t>
        </is>
      </c>
    </row>
    <row r="43">
      <c r="A43" s="2" t="n">
        <v>41</v>
      </c>
      <c r="B43" s="8" t="n">
        <v>46264</v>
      </c>
      <c r="C43" s="2" t="inlineStr">
        <is>
          <t>皖SB2849</t>
        </is>
      </c>
      <c r="D43" s="2" t="inlineStr">
        <is>
          <t>车</t>
        </is>
      </c>
      <c r="E43" s="2" t="inlineStr">
        <is>
          <t>配票/反向</t>
        </is>
      </c>
      <c r="F43" s="2" t="inlineStr">
        <is>
          <t>配票</t>
        </is>
      </c>
      <c r="G43" s="2" t="inlineStr">
        <is>
          <t>林凯</t>
        </is>
      </c>
      <c r="H43" s="2" t="inlineStr">
        <is>
          <t>林凯车队</t>
        </is>
      </c>
      <c r="I43" s="2" t="inlineStr">
        <is>
          <t>俊兴</t>
        </is>
      </c>
      <c r="J43" s="2" t="inlineStr">
        <is>
          <t>已开票</t>
        </is>
      </c>
      <c r="K43" s="9" t="n">
        <v>43.34</v>
      </c>
      <c r="L43" s="10" t="n">
        <v>101068.88</v>
      </c>
      <c r="M43" s="11">
        <f>Q43+S43-AA43-AC43-AD43</f>
        <v/>
      </c>
      <c r="N43" s="12">
        <f>IF(K43=0,0,M43/K43)</f>
        <v/>
      </c>
      <c r="O43" s="10" t="n">
        <v>0</v>
      </c>
      <c r="P43" s="12" t="n"/>
      <c r="Q43" s="10" t="n">
        <v>0</v>
      </c>
      <c r="R43" s="12" t="n">
        <v>25</v>
      </c>
      <c r="S43" s="10" t="n">
        <v>1083.5</v>
      </c>
      <c r="T43" s="12" t="n">
        <v>14</v>
      </c>
      <c r="U43" s="10" t="n">
        <v>86919.2368</v>
      </c>
      <c r="V43" s="12" t="n">
        <v>23</v>
      </c>
      <c r="W43" s="10" t="n">
        <v>996.8200000000001</v>
      </c>
      <c r="X43" s="10" t="n">
        <v>100072.06</v>
      </c>
      <c r="Y43" s="12" t="n">
        <v>13.5</v>
      </c>
      <c r="Z43" s="10" t="n">
        <v>86562.33189999999</v>
      </c>
      <c r="AA43" s="10" t="n">
        <v>356.9049000000086</v>
      </c>
      <c r="AB43" s="12" t="n">
        <v>5</v>
      </c>
      <c r="AC43" s="10" t="n">
        <v>216.7</v>
      </c>
      <c r="AD43" s="10" t="n">
        <v>0</v>
      </c>
      <c r="AE43" s="2" t="n"/>
      <c r="AF43" s="2" t="inlineStr">
        <is>
          <t>我们配票（经俊兴）</t>
        </is>
      </c>
      <c r="AG43" s="10" t="n">
        <v>100072.06</v>
      </c>
      <c r="AH43" s="2" t="inlineStr">
        <is>
          <t>—</t>
        </is>
      </c>
      <c r="AI43" s="2" t="inlineStr">
        <is>
          <t>按状态视为已完成(历史)</t>
        </is>
      </c>
      <c r="AJ43" s="2" t="inlineStr">
        <is>
          <t>待登记</t>
        </is>
      </c>
      <c r="AK43" s="2" t="inlineStr">
        <is>
          <t>—</t>
        </is>
      </c>
      <c r="AL43" s="2" t="inlineStr">
        <is>
          <t>未开始(前一环节未完成)</t>
        </is>
      </c>
      <c r="AM43" s="10" t="n">
        <v>0</v>
      </c>
      <c r="AN43" s="8" t="n">
        <v>46264</v>
      </c>
      <c r="AO43" s="2" t="inlineStr">
        <is>
          <t>2026-08</t>
        </is>
      </c>
      <c r="AP43" s="9" t="n">
        <v>0.9</v>
      </c>
      <c r="AQ43" s="2" t="inlineStr">
        <is>
          <t>台账历史数据-已出结算单（具体单号未录入）</t>
        </is>
      </c>
      <c r="AR43" s="2" t="inlineStr">
        <is>
          <t>华西特钢</t>
        </is>
      </c>
      <c r="AS43" s="2" t="inlineStr">
        <is>
          <t>华西-欧冶户头</t>
        </is>
      </c>
      <c r="AT43" s="2" t="n"/>
      <c r="AU43" s="2" t="inlineStr">
        <is>
          <t>由台账 Excel 历史数据自动导入（8.19付款明细-欧冶物宝1.xlsx 第58行），日期为过磅日期近似值 [原货主:林凯]</t>
        </is>
      </c>
    </row>
    <row r="44">
      <c r="A44" s="2" t="n">
        <v>42</v>
      </c>
      <c r="B44" s="8" t="n">
        <v>46264</v>
      </c>
      <c r="C44" s="2" t="inlineStr">
        <is>
          <t>苏DBB772</t>
        </is>
      </c>
      <c r="D44" s="2" t="inlineStr">
        <is>
          <t>车</t>
        </is>
      </c>
      <c r="E44" s="2" t="inlineStr">
        <is>
          <t>配票/反向</t>
        </is>
      </c>
      <c r="F44" s="2" t="inlineStr">
        <is>
          <t>配票</t>
        </is>
      </c>
      <c r="G44" s="2" t="inlineStr">
        <is>
          <t>林凯</t>
        </is>
      </c>
      <c r="H44" s="2" t="inlineStr">
        <is>
          <t>林凯车队</t>
        </is>
      </c>
      <c r="I44" s="2" t="inlineStr">
        <is>
          <t>俊兴</t>
        </is>
      </c>
      <c r="J44" s="2" t="inlineStr">
        <is>
          <t>已开票</t>
        </is>
      </c>
      <c r="K44" s="9" t="n">
        <v>83.78</v>
      </c>
      <c r="L44" s="10" t="n">
        <v>211125.6</v>
      </c>
      <c r="M44" s="11">
        <f>Q44+S44-AA44-AC44-AD44</f>
        <v/>
      </c>
      <c r="N44" s="12">
        <f>IF(K44=0,0,M44/K44)</f>
        <v/>
      </c>
      <c r="O44" s="10" t="n">
        <v>0</v>
      </c>
      <c r="P44" s="12" t="n"/>
      <c r="Q44" s="10" t="n">
        <v>0</v>
      </c>
      <c r="R44" s="12" t="n">
        <v>25</v>
      </c>
      <c r="S44" s="10" t="n">
        <v>2094.5</v>
      </c>
      <c r="T44" s="12" t="n">
        <v>14</v>
      </c>
      <c r="U44" s="10" t="n">
        <v>181568.016</v>
      </c>
      <c r="V44" s="12" t="n">
        <v>23</v>
      </c>
      <c r="W44" s="10" t="n">
        <v>1926.94</v>
      </c>
      <c r="X44" s="10" t="n">
        <v>209198.66</v>
      </c>
      <c r="Y44" s="12" t="n">
        <v>13.5</v>
      </c>
      <c r="Z44" s="10" t="n">
        <v>180956.8409</v>
      </c>
      <c r="AA44" s="10" t="n">
        <v>611.1750999999931</v>
      </c>
      <c r="AB44" s="12" t="n">
        <v>5</v>
      </c>
      <c r="AC44" s="10" t="n">
        <v>418.9</v>
      </c>
      <c r="AD44" s="10" t="n">
        <v>0</v>
      </c>
      <c r="AE44" s="2" t="n"/>
      <c r="AF44" s="2" t="inlineStr">
        <is>
          <t>我们配票（经俊兴）</t>
        </is>
      </c>
      <c r="AG44" s="10" t="n">
        <v>209198.66</v>
      </c>
      <c r="AH44" s="2" t="inlineStr">
        <is>
          <t>—</t>
        </is>
      </c>
      <c r="AI44" s="2" t="inlineStr">
        <is>
          <t>按状态视为已完成(历史)</t>
        </is>
      </c>
      <c r="AJ44" s="2" t="inlineStr">
        <is>
          <t>待登记</t>
        </is>
      </c>
      <c r="AK44" s="2" t="inlineStr">
        <is>
          <t>—</t>
        </is>
      </c>
      <c r="AL44" s="2" t="inlineStr">
        <is>
          <t>未开始(前一环节未完成)</t>
        </is>
      </c>
      <c r="AM44" s="10" t="n">
        <v>0</v>
      </c>
      <c r="AN44" s="8" t="n">
        <v>46264</v>
      </c>
      <c r="AO44" s="2" t="inlineStr">
        <is>
          <t>2026-08</t>
        </is>
      </c>
      <c r="AP44" s="9" t="n">
        <v>0.4</v>
      </c>
      <c r="AQ44" s="2" t="inlineStr">
        <is>
          <t>台账历史数据-已出结算单（具体单号未录入）</t>
        </is>
      </c>
      <c r="AR44" s="2" t="inlineStr">
        <is>
          <t>华西特钢</t>
        </is>
      </c>
      <c r="AS44" s="2" t="inlineStr">
        <is>
          <t>华西-欧冶户头</t>
        </is>
      </c>
      <c r="AT44" s="2" t="n"/>
      <c r="AU44" s="2" t="inlineStr">
        <is>
          <t>由台账 Excel 历史数据自动导入（8.19付款明细-欧冶物宝1.xlsx 第60行），日期为过磅日期近似值 [原货主:林凯]</t>
        </is>
      </c>
    </row>
    <row r="45">
      <c r="A45" s="2" t="n">
        <v>43</v>
      </c>
      <c r="B45" s="8" t="n">
        <v>46264</v>
      </c>
      <c r="C45" s="2" t="inlineStr">
        <is>
          <t>冀A224E6</t>
        </is>
      </c>
      <c r="D45" s="2" t="inlineStr">
        <is>
          <t>车</t>
        </is>
      </c>
      <c r="E45" s="2" t="inlineStr">
        <is>
          <t>配票/反向</t>
        </is>
      </c>
      <c r="F45" s="2" t="inlineStr">
        <is>
          <t>配票</t>
        </is>
      </c>
      <c r="G45" s="2" t="n"/>
      <c r="H45" s="2" t="inlineStr">
        <is>
          <t>俊兴</t>
        </is>
      </c>
      <c r="I45" s="2" t="inlineStr">
        <is>
          <t>俊兴</t>
        </is>
      </c>
      <c r="J45" s="2" t="inlineStr">
        <is>
          <t>已开票</t>
        </is>
      </c>
      <c r="K45" s="9" t="n">
        <v>46.28</v>
      </c>
      <c r="L45" s="10" t="n">
        <v>107924.96</v>
      </c>
      <c r="M45" s="11">
        <f>Q45+S45-AA45-AC45-AD45</f>
        <v/>
      </c>
      <c r="N45" s="12">
        <f>IF(K45=0,0,M45/K45)</f>
        <v/>
      </c>
      <c r="O45" s="10" t="n">
        <v>0</v>
      </c>
      <c r="P45" s="12" t="n"/>
      <c r="Q45" s="10" t="n">
        <v>0</v>
      </c>
      <c r="R45" s="12" t="n">
        <v>25</v>
      </c>
      <c r="S45" s="10" t="n">
        <v>1157</v>
      </c>
      <c r="T45" s="12" t="n">
        <v>14</v>
      </c>
      <c r="U45" s="10" t="n">
        <v>92815.46560000001</v>
      </c>
      <c r="V45" s="12" t="n">
        <v>23</v>
      </c>
      <c r="W45" s="10" t="n">
        <v>1064.44</v>
      </c>
      <c r="X45" s="10" t="n">
        <v>106860.52</v>
      </c>
      <c r="Y45" s="12" t="n">
        <v>13.5</v>
      </c>
      <c r="Z45" s="10" t="n">
        <v>92434.3498</v>
      </c>
      <c r="AA45" s="10" t="n">
        <v>381.1158000000141</v>
      </c>
      <c r="AB45" s="12" t="n">
        <v>0</v>
      </c>
      <c r="AC45" s="10" t="n">
        <v>0</v>
      </c>
      <c r="AD45" s="10" t="n">
        <v>0</v>
      </c>
      <c r="AE45" s="2" t="n"/>
      <c r="AF45" s="2" t="inlineStr">
        <is>
          <t>我们配票（经俊兴）</t>
        </is>
      </c>
      <c r="AG45" s="10" t="n">
        <v>106860.52</v>
      </c>
      <c r="AH45" s="2" t="inlineStr">
        <is>
          <t>—</t>
        </is>
      </c>
      <c r="AI45" s="2" t="inlineStr">
        <is>
          <t>按状态视为已完成(历史)</t>
        </is>
      </c>
      <c r="AJ45" s="2" t="inlineStr">
        <is>
          <t>待登记</t>
        </is>
      </c>
      <c r="AK45" s="2" t="inlineStr">
        <is>
          <t>—</t>
        </is>
      </c>
      <c r="AL45" s="2" t="inlineStr">
        <is>
          <t>未开始(前一环节未完成)</t>
        </is>
      </c>
      <c r="AM45" s="10" t="n">
        <v>0</v>
      </c>
      <c r="AN45" s="8" t="n">
        <v>46264</v>
      </c>
      <c r="AO45" s="2" t="inlineStr">
        <is>
          <t>2026-08</t>
        </is>
      </c>
      <c r="AP45" s="9" t="n">
        <v>0.5</v>
      </c>
      <c r="AQ45" s="2" t="inlineStr">
        <is>
          <t>台账历史数据-已出结算单（具体单号未录入）</t>
        </is>
      </c>
      <c r="AR45" s="2" t="inlineStr">
        <is>
          <t>华西特钢</t>
        </is>
      </c>
      <c r="AS45" s="2" t="inlineStr">
        <is>
          <t>华西-欧冶户头</t>
        </is>
      </c>
      <c r="AT45" s="2" t="n"/>
      <c r="AU45" s="2" t="inlineStr">
        <is>
          <t>由台账 Excel 历史数据自动导入（8.19付款明细-欧冶物宝1.xlsx 第61行），日期为过磅日期近似值</t>
        </is>
      </c>
    </row>
    <row r="46">
      <c r="A46" s="2" t="n">
        <v>44</v>
      </c>
      <c r="B46" s="8" t="n">
        <v>46264</v>
      </c>
      <c r="C46" s="2" t="inlineStr">
        <is>
          <t>苏DBB772</t>
        </is>
      </c>
      <c r="D46" s="2" t="inlineStr">
        <is>
          <t>车</t>
        </is>
      </c>
      <c r="E46" s="2" t="inlineStr">
        <is>
          <t>配票/反向</t>
        </is>
      </c>
      <c r="F46" s="2" t="inlineStr">
        <is>
          <t>配票</t>
        </is>
      </c>
      <c r="G46" s="2" t="inlineStr">
        <is>
          <t>林凯</t>
        </is>
      </c>
      <c r="H46" s="2" t="inlineStr">
        <is>
          <t>林凯车队</t>
        </is>
      </c>
      <c r="I46" s="2" t="inlineStr">
        <is>
          <t>俊兴</t>
        </is>
      </c>
      <c r="J46" s="2" t="inlineStr">
        <is>
          <t>已开票</t>
        </is>
      </c>
      <c r="K46" s="9" t="n">
        <v>67.95999999999999</v>
      </c>
      <c r="L46" s="10" t="n">
        <v>152230.4</v>
      </c>
      <c r="M46" s="11">
        <f>Q46+S46-AA46-AC46-AD46</f>
        <v/>
      </c>
      <c r="N46" s="12">
        <f>IF(K46=0,0,M46/K46)</f>
        <v/>
      </c>
      <c r="O46" s="10" t="n">
        <v>0</v>
      </c>
      <c r="P46" s="12" t="n"/>
      <c r="Q46" s="10" t="n">
        <v>0</v>
      </c>
      <c r="R46" s="12" t="n">
        <v>25</v>
      </c>
      <c r="S46" s="10" t="n">
        <v>1699</v>
      </c>
      <c r="T46" s="12" t="n">
        <v>14</v>
      </c>
      <c r="U46" s="10" t="n">
        <v>130918.144</v>
      </c>
      <c r="V46" s="12" t="n">
        <v>23</v>
      </c>
      <c r="W46" s="10" t="n">
        <v>1563.08</v>
      </c>
      <c r="X46" s="10" t="n">
        <v>150667.32</v>
      </c>
      <c r="Y46" s="12" t="n">
        <v>13.5</v>
      </c>
      <c r="Z46" s="10" t="n">
        <v>130327.2318</v>
      </c>
      <c r="AA46" s="10" t="n">
        <v>590.9121999999916</v>
      </c>
      <c r="AB46" s="12" t="n">
        <v>5</v>
      </c>
      <c r="AC46" s="10" t="n">
        <v>339.8</v>
      </c>
      <c r="AD46" s="10" t="n">
        <v>0</v>
      </c>
      <c r="AE46" s="2" t="n"/>
      <c r="AF46" s="2" t="inlineStr">
        <is>
          <t>我们配票（经俊兴）</t>
        </is>
      </c>
      <c r="AG46" s="10" t="n">
        <v>150667.32</v>
      </c>
      <c r="AH46" s="2" t="inlineStr">
        <is>
          <t>—</t>
        </is>
      </c>
      <c r="AI46" s="2" t="inlineStr">
        <is>
          <t>按状态视为已完成(历史)</t>
        </is>
      </c>
      <c r="AJ46" s="2" t="inlineStr">
        <is>
          <t>待登记</t>
        </is>
      </c>
      <c r="AK46" s="2" t="inlineStr">
        <is>
          <t>—</t>
        </is>
      </c>
      <c r="AL46" s="2" t="inlineStr">
        <is>
          <t>未开始(前一环节未完成)</t>
        </is>
      </c>
      <c r="AM46" s="10" t="n">
        <v>0</v>
      </c>
      <c r="AN46" s="8" t="n">
        <v>46264</v>
      </c>
      <c r="AO46" s="2" t="inlineStr">
        <is>
          <t>2026-08</t>
        </is>
      </c>
      <c r="AP46" s="9" t="n">
        <v>0.7</v>
      </c>
      <c r="AQ46" s="2" t="inlineStr">
        <is>
          <t>台账历史数据-已出结算单（具体单号未录入）</t>
        </is>
      </c>
      <c r="AR46" s="2" t="inlineStr">
        <is>
          <t>华西特钢</t>
        </is>
      </c>
      <c r="AS46" s="2" t="inlineStr">
        <is>
          <t>华西-欧冶户头</t>
        </is>
      </c>
      <c r="AT46" s="2" t="n"/>
      <c r="AU46" s="2" t="inlineStr">
        <is>
          <t>由台账 Excel 历史数据自动导入（8.19付款明细-欧冶物宝1.xlsx 第63行），日期为过磅日期近似值 [原货主:林凯]</t>
        </is>
      </c>
    </row>
    <row r="47">
      <c r="A47" s="2" t="n">
        <v>45</v>
      </c>
      <c r="B47" s="8" t="n">
        <v>46265</v>
      </c>
      <c r="C47" s="2" t="inlineStr">
        <is>
          <t>苏DFM060</t>
        </is>
      </c>
      <c r="D47" s="2" t="inlineStr">
        <is>
          <t>车</t>
        </is>
      </c>
      <c r="E47" s="2" t="inlineStr">
        <is>
          <t>配票/反向</t>
        </is>
      </c>
      <c r="F47" s="2" t="inlineStr">
        <is>
          <t>配票</t>
        </is>
      </c>
      <c r="G47" s="2" t="inlineStr">
        <is>
          <t>林凯</t>
        </is>
      </c>
      <c r="H47" s="2" t="inlineStr">
        <is>
          <t>林凯车队</t>
        </is>
      </c>
      <c r="I47" s="2" t="inlineStr">
        <is>
          <t>益周</t>
        </is>
      </c>
      <c r="J47" s="2" t="inlineStr">
        <is>
          <t>已开票</t>
        </is>
      </c>
      <c r="K47" s="9" t="n">
        <v>25.12</v>
      </c>
      <c r="L47" s="10" t="n">
        <v>60288</v>
      </c>
      <c r="M47" s="11">
        <f>Q47+S47-AA47-AC47-AD47</f>
        <v/>
      </c>
      <c r="N47" s="12">
        <f>IF(K47=0,0,M47/K47)</f>
        <v/>
      </c>
      <c r="O47" s="10" t="n">
        <v>417.9716799999995</v>
      </c>
      <c r="P47" s="12" t="n"/>
      <c r="Q47" s="10" t="n">
        <v>0</v>
      </c>
      <c r="R47" s="12" t="n">
        <v>25</v>
      </c>
      <c r="S47" s="10" t="n">
        <v>628</v>
      </c>
      <c r="T47" s="12" t="n">
        <v>14</v>
      </c>
      <c r="U47" s="10" t="n">
        <v>51847.68</v>
      </c>
      <c r="V47" s="12" t="n">
        <v>23</v>
      </c>
      <c r="W47" s="10" t="n">
        <v>577.76</v>
      </c>
      <c r="X47" s="10" t="n">
        <v>59710.24</v>
      </c>
      <c r="Y47" s="12" t="n">
        <v>13.5</v>
      </c>
      <c r="Z47" s="10" t="n">
        <v>51649.3576</v>
      </c>
      <c r="AA47" s="10" t="n">
        <v>198.3224000000046</v>
      </c>
      <c r="AB47" s="12" t="n">
        <v>5</v>
      </c>
      <c r="AC47" s="10" t="n">
        <v>125.6</v>
      </c>
      <c r="AD47" s="10" t="n">
        <v>0</v>
      </c>
      <c r="AE47" s="2" t="n"/>
      <c r="AF47" s="2" t="inlineStr">
        <is>
          <t>我们配票（经俊兴）</t>
        </is>
      </c>
      <c r="AG47" s="10" t="n">
        <v>59710.24</v>
      </c>
      <c r="AH47" s="2" t="inlineStr">
        <is>
          <t>按状态视为已完成(历史)</t>
        </is>
      </c>
      <c r="AI47" s="2" t="inlineStr">
        <is>
          <t>按状态视为已完成(历史)</t>
        </is>
      </c>
      <c r="AJ47" s="2" t="inlineStr">
        <is>
          <t>待登记</t>
        </is>
      </c>
      <c r="AK47" s="2" t="inlineStr">
        <is>
          <t>未开始(前一环节未完成)</t>
        </is>
      </c>
      <c r="AL47" s="2" t="inlineStr">
        <is>
          <t>未开始(前一环节未完成)</t>
        </is>
      </c>
      <c r="AM47" s="10" t="n">
        <v>0</v>
      </c>
      <c r="AN47" s="8" t="n">
        <v>46265</v>
      </c>
      <c r="AO47" s="2" t="inlineStr">
        <is>
          <t>2026-08</t>
        </is>
      </c>
      <c r="AP47" s="9" t="n">
        <v>0.5</v>
      </c>
      <c r="AQ47" s="2" t="inlineStr">
        <is>
          <t>台账历史数据-已出结算单（具体单号未录入）</t>
        </is>
      </c>
      <c r="AR47" s="2" t="inlineStr">
        <is>
          <t>华西特钢</t>
        </is>
      </c>
      <c r="AS47" s="2" t="inlineStr">
        <is>
          <t>华西-欧冶户头</t>
        </is>
      </c>
      <c r="AT47" s="2" t="n"/>
      <c r="AU47" s="2" t="inlineStr">
        <is>
          <t>由台账 Excel 历史数据自动导入（8.19付款明细-欧冶物宝1.xlsx 第64行），日期为过磅日期近似值 [原货主:林凯]</t>
        </is>
      </c>
    </row>
    <row r="48">
      <c r="A48" s="2" t="n">
        <v>46</v>
      </c>
      <c r="B48" s="8" t="n">
        <v>46265</v>
      </c>
      <c r="C48" s="2" t="inlineStr">
        <is>
          <t>冀A224E6</t>
        </is>
      </c>
      <c r="D48" s="2" t="inlineStr">
        <is>
          <t>车</t>
        </is>
      </c>
      <c r="E48" s="2" t="inlineStr">
        <is>
          <t>配票/反向</t>
        </is>
      </c>
      <c r="F48" s="2" t="inlineStr">
        <is>
          <t>配票</t>
        </is>
      </c>
      <c r="G48" s="2" t="inlineStr">
        <is>
          <t>林凯</t>
        </is>
      </c>
      <c r="H48" s="2" t="inlineStr">
        <is>
          <t>林凯车队</t>
        </is>
      </c>
      <c r="I48" s="2" t="inlineStr">
        <is>
          <t>益周</t>
        </is>
      </c>
      <c r="J48" s="2" t="inlineStr">
        <is>
          <t>已开票</t>
        </is>
      </c>
      <c r="K48" s="9" t="n">
        <v>29.08</v>
      </c>
      <c r="L48" s="10" t="n">
        <v>71216.92</v>
      </c>
      <c r="M48" s="11">
        <f>Q48+S48-AA48-AC48-AD48</f>
        <v/>
      </c>
      <c r="N48" s="12">
        <f>IF(K48=0,0,M48/K48)</f>
        <v/>
      </c>
      <c r="O48" s="10" t="n">
        <v>493.8365599999995</v>
      </c>
      <c r="P48" s="12" t="n"/>
      <c r="Q48" s="10" t="n">
        <v>0</v>
      </c>
      <c r="R48" s="12" t="n">
        <v>25</v>
      </c>
      <c r="S48" s="10" t="n">
        <v>727</v>
      </c>
      <c r="T48" s="12" t="n">
        <v>14</v>
      </c>
      <c r="U48" s="10" t="n">
        <v>61246.55119999999</v>
      </c>
      <c r="V48" s="12" t="n">
        <v>23</v>
      </c>
      <c r="W48" s="10" t="n">
        <v>668.84</v>
      </c>
      <c r="X48" s="10" t="n">
        <v>70548.08</v>
      </c>
      <c r="Y48" s="12" t="n">
        <v>13.5</v>
      </c>
      <c r="Z48" s="10" t="n">
        <v>61024.0892</v>
      </c>
      <c r="AA48" s="10" t="n">
        <v>222.4619999999923</v>
      </c>
      <c r="AB48" s="12" t="n">
        <v>5</v>
      </c>
      <c r="AC48" s="10" t="n">
        <v>145.4</v>
      </c>
      <c r="AD48" s="10" t="n">
        <v>0</v>
      </c>
      <c r="AE48" s="2" t="n"/>
      <c r="AF48" s="2" t="inlineStr">
        <is>
          <t>我们配票（经俊兴）</t>
        </is>
      </c>
      <c r="AG48" s="10" t="n">
        <v>70548.08</v>
      </c>
      <c r="AH48" s="2" t="inlineStr">
        <is>
          <t>按状态视为已完成(历史)</t>
        </is>
      </c>
      <c r="AI48" s="2" t="inlineStr">
        <is>
          <t>按状态视为已完成(历史)</t>
        </is>
      </c>
      <c r="AJ48" s="2" t="inlineStr">
        <is>
          <t>待登记</t>
        </is>
      </c>
      <c r="AK48" s="2" t="inlineStr">
        <is>
          <t>未开始(前一环节未完成)</t>
        </is>
      </c>
      <c r="AL48" s="2" t="inlineStr">
        <is>
          <t>未开始(前一环节未完成)</t>
        </is>
      </c>
      <c r="AM48" s="10" t="n">
        <v>0</v>
      </c>
      <c r="AN48" s="8" t="n">
        <v>46265</v>
      </c>
      <c r="AO48" s="2" t="inlineStr">
        <is>
          <t>2026-08</t>
        </is>
      </c>
      <c r="AP48" s="9" t="n">
        <v>0.2</v>
      </c>
      <c r="AQ48" s="2" t="inlineStr">
        <is>
          <t>台账历史数据-已出结算单（具体单号未录入）</t>
        </is>
      </c>
      <c r="AR48" s="2" t="inlineStr">
        <is>
          <t>华西特钢</t>
        </is>
      </c>
      <c r="AS48" s="2" t="inlineStr">
        <is>
          <t>华西-欧冶户头</t>
        </is>
      </c>
      <c r="AT48" s="2" t="n"/>
      <c r="AU48" s="2" t="inlineStr">
        <is>
          <t>由台账 Excel 历史数据自动导入（8.19付款明细-欧冶物宝1.xlsx 第65行），日期为过磅日期近似值 [原货主:林凯]</t>
        </is>
      </c>
    </row>
    <row r="49">
      <c r="A49" s="2" t="n">
        <v>47</v>
      </c>
      <c r="B49" s="8" t="n">
        <v>46265</v>
      </c>
      <c r="C49" s="2" t="inlineStr">
        <is>
          <t>苏DFM060</t>
        </is>
      </c>
      <c r="D49" s="2" t="inlineStr">
        <is>
          <t>车</t>
        </is>
      </c>
      <c r="E49" s="2" t="inlineStr">
        <is>
          <t>配票/反向</t>
        </is>
      </c>
      <c r="F49" s="2" t="inlineStr">
        <is>
          <t>配票</t>
        </is>
      </c>
      <c r="G49" s="2" t="inlineStr">
        <is>
          <t>林凯</t>
        </is>
      </c>
      <c r="H49" s="2" t="inlineStr">
        <is>
          <t>林凯车队</t>
        </is>
      </c>
      <c r="I49" s="2" t="inlineStr">
        <is>
          <t>益周</t>
        </is>
      </c>
      <c r="J49" s="2" t="inlineStr">
        <is>
          <t>已开票</t>
        </is>
      </c>
      <c r="K49" s="9" t="n">
        <v>56.78</v>
      </c>
      <c r="L49" s="10" t="n">
        <v>137407.6</v>
      </c>
      <c r="M49" s="11">
        <f>Q49+S49-AA49-AC49-AD49</f>
        <v/>
      </c>
      <c r="N49" s="12">
        <f>IF(K49=0,0,M49/K49)</f>
        <v/>
      </c>
      <c r="O49" s="10" t="n">
        <v>952.7116199999991</v>
      </c>
      <c r="P49" s="12" t="n"/>
      <c r="Q49" s="10" t="n">
        <v>0</v>
      </c>
      <c r="R49" s="12" t="n">
        <v>25</v>
      </c>
      <c r="S49" s="10" t="n">
        <v>1419.5</v>
      </c>
      <c r="T49" s="12" t="n">
        <v>14</v>
      </c>
      <c r="U49" s="10" t="n">
        <v>118170.536</v>
      </c>
      <c r="V49" s="12" t="n">
        <v>23</v>
      </c>
      <c r="W49" s="10" t="n">
        <v>1305.94</v>
      </c>
      <c r="X49" s="10" t="n">
        <v>136101.66</v>
      </c>
      <c r="Y49" s="12" t="n">
        <v>13.5</v>
      </c>
      <c r="Z49" s="10" t="n">
        <v>117727.9359</v>
      </c>
      <c r="AA49" s="10" t="n">
        <v>442.6001000000106</v>
      </c>
      <c r="AB49" s="12" t="n">
        <v>4.999999999999999</v>
      </c>
      <c r="AC49" s="10" t="n">
        <v>283.9</v>
      </c>
      <c r="AD49" s="10" t="n">
        <v>0</v>
      </c>
      <c r="AE49" s="2" t="n"/>
      <c r="AF49" s="2" t="inlineStr">
        <is>
          <t>我们配票（经俊兴）</t>
        </is>
      </c>
      <c r="AG49" s="10" t="n">
        <v>136101.66</v>
      </c>
      <c r="AH49" s="2" t="inlineStr">
        <is>
          <t>按状态视为已完成(历史)</t>
        </is>
      </c>
      <c r="AI49" s="2" t="inlineStr">
        <is>
          <t>按状态视为已完成(历史)</t>
        </is>
      </c>
      <c r="AJ49" s="2" t="inlineStr">
        <is>
          <t>待登记</t>
        </is>
      </c>
      <c r="AK49" s="2" t="inlineStr">
        <is>
          <t>未开始(前一环节未完成)</t>
        </is>
      </c>
      <c r="AL49" s="2" t="inlineStr">
        <is>
          <t>未开始(前一环节未完成)</t>
        </is>
      </c>
      <c r="AM49" s="10" t="n">
        <v>0</v>
      </c>
      <c r="AN49" s="8" t="n">
        <v>46265</v>
      </c>
      <c r="AO49" s="2" t="inlineStr">
        <is>
          <t>2026-08</t>
        </is>
      </c>
      <c r="AP49" s="9" t="n">
        <v>0.5</v>
      </c>
      <c r="AQ49" s="2" t="inlineStr">
        <is>
          <t>台账历史数据-已出结算单（具体单号未录入）</t>
        </is>
      </c>
      <c r="AR49" s="2" t="inlineStr">
        <is>
          <t>华西特钢</t>
        </is>
      </c>
      <c r="AS49" s="2" t="inlineStr">
        <is>
          <t>华西-欧冶户头</t>
        </is>
      </c>
      <c r="AT49" s="2" t="n"/>
      <c r="AU49" s="2" t="inlineStr">
        <is>
          <t>由台账 Excel 历史数据自动导入（8.19付款明细-欧冶物宝1.xlsx 第67行），日期为过磅日期近似值 [原货主:林凯]</t>
        </is>
      </c>
    </row>
    <row r="50">
      <c r="A50" s="2" t="n">
        <v>48</v>
      </c>
      <c r="B50" s="8" t="n">
        <v>46265</v>
      </c>
      <c r="C50" s="2" t="inlineStr">
        <is>
          <t>苏DBB772</t>
        </is>
      </c>
      <c r="D50" s="2" t="inlineStr">
        <is>
          <t>车</t>
        </is>
      </c>
      <c r="E50" s="2" t="inlineStr">
        <is>
          <t>配票/反向</t>
        </is>
      </c>
      <c r="F50" s="2" t="inlineStr">
        <is>
          <t>配票</t>
        </is>
      </c>
      <c r="G50" s="2" t="inlineStr">
        <is>
          <t>林凯</t>
        </is>
      </c>
      <c r="H50" s="2" t="inlineStr">
        <is>
          <t>林凯车队</t>
        </is>
      </c>
      <c r="I50" s="2" t="inlineStr">
        <is>
          <t>益周</t>
        </is>
      </c>
      <c r="J50" s="2" t="inlineStr">
        <is>
          <t>已开票</t>
        </is>
      </c>
      <c r="K50" s="9" t="n">
        <v>80.95999999999999</v>
      </c>
      <c r="L50" s="10" t="n">
        <v>203209.6</v>
      </c>
      <c r="M50" s="11">
        <f>Q50+S50-AA50-AC50-AD50</f>
        <v/>
      </c>
      <c r="N50" s="12">
        <f>IF(K50=0,0,M50/K50)</f>
        <v/>
      </c>
      <c r="O50" s="10" t="n">
        <v>1409.432639999999</v>
      </c>
      <c r="P50" s="12" t="n"/>
      <c r="Q50" s="10" t="n">
        <v>0</v>
      </c>
      <c r="R50" s="12" t="n">
        <v>25</v>
      </c>
      <c r="S50" s="10" t="n">
        <v>2024</v>
      </c>
      <c r="T50" s="12" t="n">
        <v>14</v>
      </c>
      <c r="U50" s="10" t="n">
        <v>174760.256</v>
      </c>
      <c r="V50" s="12" t="n">
        <v>23</v>
      </c>
      <c r="W50" s="10" t="n">
        <v>1862.08</v>
      </c>
      <c r="X50" s="10" t="n">
        <v>201347.52</v>
      </c>
      <c r="Y50" s="12" t="n">
        <v>13.5</v>
      </c>
      <c r="Z50" s="10" t="n">
        <v>174165.6048</v>
      </c>
      <c r="AA50" s="10" t="n">
        <v>594.651199999993</v>
      </c>
      <c r="AB50" s="12" t="n">
        <v>5</v>
      </c>
      <c r="AC50" s="10" t="n">
        <v>404.8</v>
      </c>
      <c r="AD50" s="10" t="n">
        <v>0</v>
      </c>
      <c r="AE50" s="2" t="n"/>
      <c r="AF50" s="2" t="inlineStr">
        <is>
          <t>我们配票（经俊兴）</t>
        </is>
      </c>
      <c r="AG50" s="10" t="n">
        <v>201347.52</v>
      </c>
      <c r="AH50" s="2" t="inlineStr">
        <is>
          <t>按状态视为已完成(历史)</t>
        </is>
      </c>
      <c r="AI50" s="2" t="inlineStr">
        <is>
          <t>按状态视为已完成(历史)</t>
        </is>
      </c>
      <c r="AJ50" s="2" t="inlineStr">
        <is>
          <t>待登记</t>
        </is>
      </c>
      <c r="AK50" s="2" t="inlineStr">
        <is>
          <t>未开始(前一环节未完成)</t>
        </is>
      </c>
      <c r="AL50" s="2" t="inlineStr">
        <is>
          <t>未开始(前一环节未完成)</t>
        </is>
      </c>
      <c r="AM50" s="10" t="n">
        <v>0</v>
      </c>
      <c r="AN50" s="8" t="n">
        <v>46265</v>
      </c>
      <c r="AO50" s="2" t="inlineStr">
        <is>
          <t>2026-08</t>
        </is>
      </c>
      <c r="AP50" s="9" t="n">
        <v>0.8</v>
      </c>
      <c r="AQ50" s="2" t="inlineStr">
        <is>
          <t>台账历史数据-已出结算单（具体单号未录入）</t>
        </is>
      </c>
      <c r="AR50" s="2" t="inlineStr">
        <is>
          <t>华西特钢</t>
        </is>
      </c>
      <c r="AS50" s="2" t="inlineStr">
        <is>
          <t>华西-欧冶户头</t>
        </is>
      </c>
      <c r="AT50" s="2" t="n"/>
      <c r="AU50" s="2" t="inlineStr">
        <is>
          <t>由台账 Excel 历史数据自动导入（8.19付款明细-欧冶物宝1.xlsx 第69行），日期为过磅日期近似值 [原货主:林凯]</t>
        </is>
      </c>
    </row>
    <row r="51">
      <c r="A51" s="2" t="n">
        <v>49</v>
      </c>
      <c r="B51" s="8" t="n">
        <v>46265</v>
      </c>
      <c r="C51" s="2" t="inlineStr">
        <is>
          <t>苏DBB772</t>
        </is>
      </c>
      <c r="D51" s="2" t="inlineStr">
        <is>
          <t>车</t>
        </is>
      </c>
      <c r="E51" s="2" t="inlineStr">
        <is>
          <t>配票/反向</t>
        </is>
      </c>
      <c r="F51" s="2" t="inlineStr">
        <is>
          <t>配票</t>
        </is>
      </c>
      <c r="G51" s="2" t="inlineStr">
        <is>
          <t>林凯</t>
        </is>
      </c>
      <c r="H51" s="2" t="inlineStr">
        <is>
          <t>林凯车队</t>
        </is>
      </c>
      <c r="I51" s="2" t="inlineStr">
        <is>
          <t>益周</t>
        </is>
      </c>
      <c r="J51" s="2" t="inlineStr">
        <is>
          <t>已开票</t>
        </is>
      </c>
      <c r="K51" s="9" t="n">
        <v>69.66</v>
      </c>
      <c r="L51" s="10" t="n">
        <v>156038.4</v>
      </c>
      <c r="M51" s="11">
        <f>Q51+S51-AA51-AC51-AD51</f>
        <v/>
      </c>
      <c r="N51" s="12">
        <f>IF(K51=0,0,M51/K51)</f>
        <v/>
      </c>
      <c r="O51" s="10" t="n">
        <v>1081.053539999999</v>
      </c>
      <c r="P51" s="12" t="n"/>
      <c r="Q51" s="10" t="n">
        <v>0</v>
      </c>
      <c r="R51" s="12" t="n">
        <v>25</v>
      </c>
      <c r="S51" s="10" t="n">
        <v>1741.5</v>
      </c>
      <c r="T51" s="12" t="n">
        <v>14</v>
      </c>
      <c r="U51" s="10" t="n">
        <v>134193.024</v>
      </c>
      <c r="V51" s="12" t="n">
        <v>23</v>
      </c>
      <c r="W51" s="10" t="n">
        <v>1602.18</v>
      </c>
      <c r="X51" s="10" t="n">
        <v>154436.22</v>
      </c>
      <c r="Y51" s="12" t="n">
        <v>13.5</v>
      </c>
      <c r="Z51" s="10" t="n">
        <v>133587.3303</v>
      </c>
      <c r="AA51" s="10" t="n">
        <v>605.6937000000034</v>
      </c>
      <c r="AB51" s="12" t="n">
        <v>5</v>
      </c>
      <c r="AC51" s="10" t="n">
        <v>348.3</v>
      </c>
      <c r="AD51" s="10" t="n">
        <v>0</v>
      </c>
      <c r="AE51" s="2" t="n"/>
      <c r="AF51" s="2" t="inlineStr">
        <is>
          <t>我们配票（经俊兴）</t>
        </is>
      </c>
      <c r="AG51" s="10" t="n">
        <v>154436.22</v>
      </c>
      <c r="AH51" s="2" t="inlineStr">
        <is>
          <t>按状态视为已完成(历史)</t>
        </is>
      </c>
      <c r="AI51" s="2" t="inlineStr">
        <is>
          <t>按状态视为已完成(历史)</t>
        </is>
      </c>
      <c r="AJ51" s="2" t="inlineStr">
        <is>
          <t>待登记</t>
        </is>
      </c>
      <c r="AK51" s="2" t="inlineStr">
        <is>
          <t>未开始(前一环节未完成)</t>
        </is>
      </c>
      <c r="AL51" s="2" t="inlineStr">
        <is>
          <t>未开始(前一环节未完成)</t>
        </is>
      </c>
      <c r="AM51" s="10" t="n">
        <v>0</v>
      </c>
      <c r="AN51" s="8" t="n">
        <v>46265</v>
      </c>
      <c r="AO51" s="2" t="inlineStr">
        <is>
          <t>2026-08</t>
        </is>
      </c>
      <c r="AP51" s="9" t="n">
        <v>1.4</v>
      </c>
      <c r="AQ51" s="2" t="inlineStr">
        <is>
          <t>台账历史数据-已出结算单（具体单号未录入）</t>
        </is>
      </c>
      <c r="AR51" s="2" t="inlineStr">
        <is>
          <t>华西特钢</t>
        </is>
      </c>
      <c r="AS51" s="2" t="inlineStr">
        <is>
          <t>华西-欧冶户头</t>
        </is>
      </c>
      <c r="AT51" s="2" t="n"/>
      <c r="AU51" s="2" t="inlineStr">
        <is>
          <t>由台账 Excel 历史数据自动导入（8.19付款明细-欧冶物宝1.xlsx 第70行），日期为过磅日期近似值 [原货主:林凯]</t>
        </is>
      </c>
    </row>
    <row r="52">
      <c r="A52" s="2" t="n">
        <v>50</v>
      </c>
      <c r="B52" s="8" t="n">
        <v>46266</v>
      </c>
      <c r="C52" s="2" t="inlineStr">
        <is>
          <t>苏ERS080</t>
        </is>
      </c>
      <c r="D52" s="2" t="inlineStr">
        <is>
          <t>车</t>
        </is>
      </c>
      <c r="E52" s="2" t="inlineStr">
        <is>
          <t>配票/反向</t>
        </is>
      </c>
      <c r="F52" s="2" t="inlineStr">
        <is>
          <t>配票</t>
        </is>
      </c>
      <c r="G52" s="2" t="inlineStr">
        <is>
          <t>林凯</t>
        </is>
      </c>
      <c r="H52" s="2" t="inlineStr">
        <is>
          <t>林凯车队</t>
        </is>
      </c>
      <c r="I52" s="2" t="inlineStr">
        <is>
          <t>益周</t>
        </is>
      </c>
      <c r="J52" s="2" t="inlineStr">
        <is>
          <t>已开票</t>
        </is>
      </c>
      <c r="K52" s="9" t="n">
        <v>49.1</v>
      </c>
      <c r="L52" s="10" t="n">
        <v>117840</v>
      </c>
      <c r="M52" s="11">
        <f>Q52+S52-AA52-AC52-AD52</f>
        <v/>
      </c>
      <c r="N52" s="12">
        <f>IF(K52=0,0,M52/K52)</f>
        <v/>
      </c>
      <c r="O52" s="10" t="n">
        <v>816.9748999999991</v>
      </c>
      <c r="P52" s="12" t="n"/>
      <c r="Q52" s="10" t="n">
        <v>0</v>
      </c>
      <c r="R52" s="12" t="n">
        <v>25</v>
      </c>
      <c r="S52" s="10" t="n">
        <v>1227.5</v>
      </c>
      <c r="T52" s="12" t="n">
        <v>14</v>
      </c>
      <c r="U52" s="10" t="n">
        <v>101342.4</v>
      </c>
      <c r="V52" s="12" t="n">
        <v>23</v>
      </c>
      <c r="W52" s="10" t="n">
        <v>1129.3</v>
      </c>
      <c r="X52" s="10" t="n">
        <v>116710.7</v>
      </c>
      <c r="Y52" s="12" t="n">
        <v>13.5</v>
      </c>
      <c r="Z52" s="10" t="n">
        <v>100954.7555</v>
      </c>
      <c r="AA52" s="10" t="n">
        <v>387.6444999999949</v>
      </c>
      <c r="AB52" s="12" t="n">
        <v>5</v>
      </c>
      <c r="AC52" s="10" t="n">
        <v>245.5</v>
      </c>
      <c r="AD52" s="10" t="n">
        <v>0</v>
      </c>
      <c r="AE52" s="2" t="n"/>
      <c r="AF52" s="2" t="inlineStr">
        <is>
          <t>我们配票（经俊兴）</t>
        </is>
      </c>
      <c r="AG52" s="10" t="n">
        <v>116710.7</v>
      </c>
      <c r="AH52" s="2" t="inlineStr">
        <is>
          <t>按状态视为已完成(历史)</t>
        </is>
      </c>
      <c r="AI52" s="2" t="inlineStr">
        <is>
          <t>按状态视为已完成(历史)</t>
        </is>
      </c>
      <c r="AJ52" s="2" t="inlineStr">
        <is>
          <t>待登记</t>
        </is>
      </c>
      <c r="AK52" s="2" t="inlineStr">
        <is>
          <t>未开始(前一环节未完成)</t>
        </is>
      </c>
      <c r="AL52" s="2" t="inlineStr">
        <is>
          <t>未开始(前一环节未完成)</t>
        </is>
      </c>
      <c r="AM52" s="10" t="n">
        <v>0</v>
      </c>
      <c r="AN52" s="8" t="n">
        <v>46266</v>
      </c>
      <c r="AO52" s="2" t="inlineStr">
        <is>
          <t>2026-09</t>
        </is>
      </c>
      <c r="AP52" s="9" t="n">
        <v>0.4</v>
      </c>
      <c r="AQ52" s="2" t="inlineStr">
        <is>
          <t>台账历史数据-已出结算单（具体单号未录入）</t>
        </is>
      </c>
      <c r="AR52" s="2" t="inlineStr">
        <is>
          <t>华西特钢</t>
        </is>
      </c>
      <c r="AS52" s="2" t="inlineStr">
        <is>
          <t>华西-欧冶户头</t>
        </is>
      </c>
      <c r="AT52" s="2" t="n"/>
      <c r="AU52" s="2" t="inlineStr">
        <is>
          <t>由台账 Excel 历史数据自动导入（8.19付款明细-欧冶物宝1.xlsx 第71行），日期为过磅日期近似值 [原货主:林凯]</t>
        </is>
      </c>
    </row>
    <row r="53">
      <c r="A53" s="2" t="n">
        <v>51</v>
      </c>
      <c r="B53" s="8" t="n">
        <v>46266</v>
      </c>
      <c r="C53" s="2" t="inlineStr">
        <is>
          <t>苏DFM060</t>
        </is>
      </c>
      <c r="D53" s="2" t="inlineStr">
        <is>
          <t>车</t>
        </is>
      </c>
      <c r="E53" s="2" t="inlineStr">
        <is>
          <t>配票/反向</t>
        </is>
      </c>
      <c r="F53" s="2" t="inlineStr">
        <is>
          <t>配票</t>
        </is>
      </c>
      <c r="G53" s="2" t="inlineStr">
        <is>
          <t>林凯</t>
        </is>
      </c>
      <c r="H53" s="2" t="inlineStr">
        <is>
          <t>林凯车队</t>
        </is>
      </c>
      <c r="I53" s="2" t="inlineStr">
        <is>
          <t>益周</t>
        </is>
      </c>
      <c r="J53" s="2" t="inlineStr">
        <is>
          <t>已开票</t>
        </is>
      </c>
      <c r="K53" s="9" t="n">
        <v>25.96</v>
      </c>
      <c r="L53" s="10" t="n">
        <v>61265.6</v>
      </c>
      <c r="M53" s="11">
        <f>Q53+S53-AA53-AC53-AD53</f>
        <v/>
      </c>
      <c r="N53" s="12">
        <f>IF(K53=0,0,M53/K53)</f>
        <v/>
      </c>
      <c r="O53" s="10" t="n">
        <v>424.6796399999996</v>
      </c>
      <c r="P53" s="12" t="n"/>
      <c r="Q53" s="10" t="n">
        <v>0</v>
      </c>
      <c r="R53" s="12" t="n">
        <v>25</v>
      </c>
      <c r="S53" s="10" t="n">
        <v>649</v>
      </c>
      <c r="T53" s="12" t="n">
        <v>14</v>
      </c>
      <c r="U53" s="10" t="n">
        <v>52688.416</v>
      </c>
      <c r="V53" s="12" t="n">
        <v>23</v>
      </c>
      <c r="W53" s="10" t="n">
        <v>597.08</v>
      </c>
      <c r="X53" s="10" t="n">
        <v>60668.52</v>
      </c>
      <c r="Y53" s="12" t="n">
        <v>13.5</v>
      </c>
      <c r="Z53" s="10" t="n">
        <v>52478.26979999999</v>
      </c>
      <c r="AA53" s="10" t="n">
        <v>210.1462000000029</v>
      </c>
      <c r="AB53" s="12" t="n">
        <v>5</v>
      </c>
      <c r="AC53" s="10" t="n">
        <v>129.8</v>
      </c>
      <c r="AD53" s="10" t="n">
        <v>0</v>
      </c>
      <c r="AE53" s="2" t="n"/>
      <c r="AF53" s="2" t="inlineStr">
        <is>
          <t>我们配票（经俊兴）</t>
        </is>
      </c>
      <c r="AG53" s="10" t="n">
        <v>60668.52</v>
      </c>
      <c r="AH53" s="2" t="inlineStr">
        <is>
          <t>按状态视为已完成(历史)</t>
        </is>
      </c>
      <c r="AI53" s="2" t="inlineStr">
        <is>
          <t>按状态视为已完成(历史)</t>
        </is>
      </c>
      <c r="AJ53" s="2" t="inlineStr">
        <is>
          <t>待登记</t>
        </is>
      </c>
      <c r="AK53" s="2" t="inlineStr">
        <is>
          <t>未开始(前一环节未完成)</t>
        </is>
      </c>
      <c r="AL53" s="2" t="inlineStr">
        <is>
          <t>未开始(前一环节未完成)</t>
        </is>
      </c>
      <c r="AM53" s="10" t="n">
        <v>0</v>
      </c>
      <c r="AN53" s="8" t="n">
        <v>46266</v>
      </c>
      <c r="AO53" s="2" t="inlineStr">
        <is>
          <t>2026-09</t>
        </is>
      </c>
      <c r="AP53" s="9" t="n">
        <v>0.3</v>
      </c>
      <c r="AQ53" s="2" t="inlineStr">
        <is>
          <t>台账历史数据-已出结算单（具体单号未录入）</t>
        </is>
      </c>
      <c r="AR53" s="2" t="inlineStr">
        <is>
          <t>华西特钢</t>
        </is>
      </c>
      <c r="AS53" s="2" t="inlineStr">
        <is>
          <t>华西-欧冶户头</t>
        </is>
      </c>
      <c r="AT53" s="2" t="n"/>
      <c r="AU53" s="2" t="inlineStr">
        <is>
          <t>由台账 Excel 历史数据自动导入（8.19付款明细-欧冶物宝1.xlsx 第72行），日期为过磅日期近似值 [原货主:林凯]</t>
        </is>
      </c>
    </row>
    <row r="54">
      <c r="A54" s="2" t="n">
        <v>52</v>
      </c>
      <c r="B54" s="8" t="n">
        <v>46266</v>
      </c>
      <c r="C54" s="2" t="inlineStr">
        <is>
          <t>苏DBX137</t>
        </is>
      </c>
      <c r="D54" s="2" t="inlineStr">
        <is>
          <t>车</t>
        </is>
      </c>
      <c r="E54" s="2" t="inlineStr">
        <is>
          <t>配票/反向</t>
        </is>
      </c>
      <c r="F54" s="2" t="inlineStr">
        <is>
          <t>配票</t>
        </is>
      </c>
      <c r="G54" s="2" t="inlineStr">
        <is>
          <t>林凯</t>
        </is>
      </c>
      <c r="H54" s="2" t="inlineStr">
        <is>
          <t>林凯车队</t>
        </is>
      </c>
      <c r="I54" s="2" t="inlineStr">
        <is>
          <t>益周</t>
        </is>
      </c>
      <c r="J54" s="2" t="inlineStr">
        <is>
          <t>已开票</t>
        </is>
      </c>
      <c r="K54" s="9" t="n">
        <v>47.51</v>
      </c>
      <c r="L54" s="10" t="n">
        <v>110793.32</v>
      </c>
      <c r="M54" s="11">
        <f>Q54+S54-AA54-AC54-AD54</f>
        <v/>
      </c>
      <c r="N54" s="12">
        <f>IF(K54=0,0,M54/K54)</f>
        <v/>
      </c>
      <c r="O54" s="10" t="n">
        <v>767.9041299999993</v>
      </c>
      <c r="P54" s="12" t="n"/>
      <c r="Q54" s="10" t="n">
        <v>0</v>
      </c>
      <c r="R54" s="12" t="n">
        <v>25</v>
      </c>
      <c r="S54" s="10" t="n">
        <v>1187.75</v>
      </c>
      <c r="T54" s="12" t="n">
        <v>14</v>
      </c>
      <c r="U54" s="10" t="n">
        <v>95282.2552</v>
      </c>
      <c r="V54" s="12" t="n">
        <v>23</v>
      </c>
      <c r="W54" s="10" t="n">
        <v>1092.73</v>
      </c>
      <c r="X54" s="10" t="n">
        <v>109700.59</v>
      </c>
      <c r="Y54" s="12" t="n">
        <v>13.5</v>
      </c>
      <c r="Z54" s="10" t="n">
        <v>94891.01035000001</v>
      </c>
      <c r="AA54" s="10" t="n">
        <v>391.2448499999882</v>
      </c>
      <c r="AB54" s="12" t="n">
        <v>5</v>
      </c>
      <c r="AC54" s="10" t="n">
        <v>237.55</v>
      </c>
      <c r="AD54" s="10" t="n">
        <v>0</v>
      </c>
      <c r="AE54" s="2" t="n"/>
      <c r="AF54" s="2" t="inlineStr">
        <is>
          <t>我们配票（经俊兴）</t>
        </is>
      </c>
      <c r="AG54" s="10" t="n">
        <v>109700.59</v>
      </c>
      <c r="AH54" s="2" t="inlineStr">
        <is>
          <t>按状态视为已完成(历史)</t>
        </is>
      </c>
      <c r="AI54" s="2" t="inlineStr">
        <is>
          <t>按状态视为已完成(历史)</t>
        </is>
      </c>
      <c r="AJ54" s="2" t="inlineStr">
        <is>
          <t>待登记</t>
        </is>
      </c>
      <c r="AK54" s="2" t="inlineStr">
        <is>
          <t>未开始(前一环节未完成)</t>
        </is>
      </c>
      <c r="AL54" s="2" t="inlineStr">
        <is>
          <t>未开始(前一环节未完成)</t>
        </is>
      </c>
      <c r="AM54" s="10" t="n">
        <v>0</v>
      </c>
      <c r="AN54" s="8" t="n">
        <v>46266</v>
      </c>
      <c r="AO54" s="2" t="inlineStr">
        <is>
          <t>2026-09</t>
        </is>
      </c>
      <c r="AP54" s="9" t="n">
        <v>0.35</v>
      </c>
      <c r="AQ54" s="2" t="inlineStr">
        <is>
          <t>台账历史数据-已出结算单（具体单号未录入）</t>
        </is>
      </c>
      <c r="AR54" s="2" t="inlineStr">
        <is>
          <t>华西特钢</t>
        </is>
      </c>
      <c r="AS54" s="2" t="inlineStr">
        <is>
          <t>华西-欧冶户头</t>
        </is>
      </c>
      <c r="AT54" s="2" t="n"/>
      <c r="AU54" s="2" t="inlineStr">
        <is>
          <t>由台账 Excel 历史数据自动导入（8.19付款明细-欧冶物宝1.xlsx 第74行），日期为过磅日期近似值 [原货主:林凯]</t>
        </is>
      </c>
    </row>
    <row r="55">
      <c r="A55" s="2" t="n">
        <v>53</v>
      </c>
      <c r="B55" s="8" t="n">
        <v>46266</v>
      </c>
      <c r="C55" s="2" t="inlineStr">
        <is>
          <t>苏DBB772</t>
        </is>
      </c>
      <c r="D55" s="2" t="inlineStr">
        <is>
          <t>车</t>
        </is>
      </c>
      <c r="E55" s="2" t="inlineStr">
        <is>
          <t>配票/反向</t>
        </is>
      </c>
      <c r="F55" s="2" t="inlineStr">
        <is>
          <t>配票</t>
        </is>
      </c>
      <c r="G55" s="2" t="inlineStr">
        <is>
          <t>林凯</t>
        </is>
      </c>
      <c r="H55" s="2" t="inlineStr">
        <is>
          <t>林凯车队</t>
        </is>
      </c>
      <c r="I55" s="2" t="inlineStr">
        <is>
          <t>益周</t>
        </is>
      </c>
      <c r="J55" s="2" t="inlineStr">
        <is>
          <t>已开票</t>
        </is>
      </c>
      <c r="K55" s="9" t="n">
        <v>70.76000000000001</v>
      </c>
      <c r="L55" s="10" t="n">
        <v>158502.4</v>
      </c>
      <c r="M55" s="11">
        <f>Q55+S55-AA55-AC55-AD55</f>
        <v/>
      </c>
      <c r="N55" s="12">
        <f>IF(K55=0,0,M55/K55)</f>
        <v/>
      </c>
      <c r="O55" s="10" t="n">
        <v>1098.124439999999</v>
      </c>
      <c r="P55" s="12" t="n"/>
      <c r="Q55" s="10" t="n">
        <v>0</v>
      </c>
      <c r="R55" s="12" t="n">
        <v>25</v>
      </c>
      <c r="S55" s="10" t="n">
        <v>1769</v>
      </c>
      <c r="T55" s="12" t="n">
        <v>14</v>
      </c>
      <c r="U55" s="10" t="n">
        <v>136312.064</v>
      </c>
      <c r="V55" s="12" t="n">
        <v>23</v>
      </c>
      <c r="W55" s="10" t="n">
        <v>1627.48</v>
      </c>
      <c r="X55" s="10" t="n">
        <v>156874.92</v>
      </c>
      <c r="Y55" s="12" t="n">
        <v>13.5</v>
      </c>
      <c r="Z55" s="10" t="n">
        <v>135696.8058</v>
      </c>
      <c r="AA55" s="10" t="n">
        <v>615.2582000000111</v>
      </c>
      <c r="AB55" s="12" t="n">
        <v>5</v>
      </c>
      <c r="AC55" s="10" t="n">
        <v>353.8</v>
      </c>
      <c r="AD55" s="10" t="n">
        <v>0</v>
      </c>
      <c r="AE55" s="2" t="n"/>
      <c r="AF55" s="2" t="inlineStr">
        <is>
          <t>我们配票（经俊兴）</t>
        </is>
      </c>
      <c r="AG55" s="10" t="n">
        <v>156874.92</v>
      </c>
      <c r="AH55" s="2" t="inlineStr">
        <is>
          <t>按状态视为已完成(历史)</t>
        </is>
      </c>
      <c r="AI55" s="2" t="inlineStr">
        <is>
          <t>按状态视为已完成(历史)</t>
        </is>
      </c>
      <c r="AJ55" s="2" t="inlineStr">
        <is>
          <t>待登记</t>
        </is>
      </c>
      <c r="AK55" s="2" t="inlineStr">
        <is>
          <t>未开始(前一环节未完成)</t>
        </is>
      </c>
      <c r="AL55" s="2" t="inlineStr">
        <is>
          <t>未开始(前一环节未完成)</t>
        </is>
      </c>
      <c r="AM55" s="10" t="n">
        <v>0</v>
      </c>
      <c r="AN55" s="8" t="n">
        <v>46266</v>
      </c>
      <c r="AO55" s="2" t="inlineStr">
        <is>
          <t>2026-09</t>
        </is>
      </c>
      <c r="AP55" s="9" t="n">
        <v>1.4</v>
      </c>
      <c r="AQ55" s="2" t="inlineStr">
        <is>
          <t>台账历史数据-已出结算单（具体单号未录入）</t>
        </is>
      </c>
      <c r="AR55" s="2" t="inlineStr">
        <is>
          <t>华西特钢</t>
        </is>
      </c>
      <c r="AS55" s="2" t="inlineStr">
        <is>
          <t>华西-欧冶户头</t>
        </is>
      </c>
      <c r="AT55" s="2" t="n"/>
      <c r="AU55" s="2" t="inlineStr">
        <is>
          <t>由台账 Excel 历史数据自动导入（8.19付款明细-欧冶物宝1.xlsx 第76行），日期为过磅日期近似值 [原货主:林凯]</t>
        </is>
      </c>
    </row>
    <row r="56">
      <c r="A56" s="2" t="n">
        <v>54</v>
      </c>
      <c r="B56" s="8" t="n">
        <v>46266</v>
      </c>
      <c r="C56" s="2" t="inlineStr">
        <is>
          <t>通海机9998</t>
        </is>
      </c>
      <c r="D56" s="2" t="inlineStr">
        <is>
          <t>船</t>
        </is>
      </c>
      <c r="E56" s="2" t="inlineStr">
        <is>
          <t>配票/反向</t>
        </is>
      </c>
      <c r="F56" s="2" t="inlineStr">
        <is>
          <t>配票</t>
        </is>
      </c>
      <c r="G56" s="2" t="n"/>
      <c r="H56" s="2" t="inlineStr">
        <is>
          <t>俊兴</t>
        </is>
      </c>
      <c r="I56" s="2" t="inlineStr">
        <is>
          <t>俊兴</t>
        </is>
      </c>
      <c r="J56" s="2" t="inlineStr">
        <is>
          <t>已开票</t>
        </is>
      </c>
      <c r="K56" s="9" t="n">
        <v>481.77</v>
      </c>
      <c r="L56" s="10" t="n">
        <v>1181813.6</v>
      </c>
      <c r="M56" s="11">
        <f>Q56+S56-AA56-AC56-AD56</f>
        <v/>
      </c>
      <c r="N56" s="12">
        <f>IF(K56=0,0,M56/K56)</f>
        <v/>
      </c>
      <c r="O56" s="10" t="n">
        <v>0</v>
      </c>
      <c r="P56" s="12" t="n"/>
      <c r="Q56" s="10" t="n">
        <v>0</v>
      </c>
      <c r="R56" s="12" t="n">
        <v>25</v>
      </c>
      <c r="S56" s="10" t="n">
        <v>12044.25</v>
      </c>
      <c r="T56" s="12" t="n">
        <v>14</v>
      </c>
      <c r="U56" s="10" t="n">
        <v>1016359.696</v>
      </c>
      <c r="V56" s="12" t="n">
        <v>23</v>
      </c>
      <c r="W56" s="10" t="n">
        <v>11080.71</v>
      </c>
      <c r="X56" s="10" t="n">
        <v>1170732.89</v>
      </c>
      <c r="Y56" s="12" t="n">
        <v>13.5</v>
      </c>
      <c r="Z56" s="10" t="n">
        <v>1012683.94985</v>
      </c>
      <c r="AA56" s="10" t="n">
        <v>3675.746150000021</v>
      </c>
      <c r="AB56" s="12" t="n">
        <v>0</v>
      </c>
      <c r="AC56" s="10" t="n">
        <v>0</v>
      </c>
      <c r="AD56" s="10" t="n">
        <v>0</v>
      </c>
      <c r="AE56" s="2" t="n"/>
      <c r="AF56" s="2" t="inlineStr">
        <is>
          <t>我们配票（经俊兴）</t>
        </is>
      </c>
      <c r="AG56" s="10" t="n">
        <v>1170732.89</v>
      </c>
      <c r="AH56" s="2" t="inlineStr">
        <is>
          <t>—</t>
        </is>
      </c>
      <c r="AI56" s="2" t="inlineStr">
        <is>
          <t>按状态视为已完成(历史)</t>
        </is>
      </c>
      <c r="AJ56" s="2" t="inlineStr">
        <is>
          <t>待登记</t>
        </is>
      </c>
      <c r="AK56" s="2" t="inlineStr">
        <is>
          <t>—</t>
        </is>
      </c>
      <c r="AL56" s="2" t="inlineStr">
        <is>
          <t>未开始(前一环节未完成)</t>
        </is>
      </c>
      <c r="AM56" s="10" t="n">
        <v>0</v>
      </c>
      <c r="AN56" s="8" t="n">
        <v>46266</v>
      </c>
      <c r="AO56" s="2" t="inlineStr">
        <is>
          <t>2026-09</t>
        </is>
      </c>
      <c r="AP56" s="9" t="n">
        <v>0</v>
      </c>
      <c r="AQ56" s="2" t="inlineStr">
        <is>
          <t>台账历史数据-已出结算单（具体单号未录入）</t>
        </is>
      </c>
      <c r="AR56" s="2" t="inlineStr">
        <is>
          <t>华西特钢</t>
        </is>
      </c>
      <c r="AS56" s="2" t="inlineStr">
        <is>
          <t>华西-欧冶户头</t>
        </is>
      </c>
      <c r="AT56" s="2" t="n"/>
      <c r="AU56" s="2" t="inlineStr">
        <is>
          <t>由台账 Excel 历史数据自动导入（8.19付款明细-欧冶物宝1.xlsx 第77行），日期为过磅日期近似值</t>
        </is>
      </c>
    </row>
    <row r="57">
      <c r="A57" s="2" t="n">
        <v>55</v>
      </c>
      <c r="B57" s="8" t="n">
        <v>46267</v>
      </c>
      <c r="C57" s="2" t="inlineStr">
        <is>
          <t>苏BXT103</t>
        </is>
      </c>
      <c r="D57" s="2" t="inlineStr">
        <is>
          <t>车</t>
        </is>
      </c>
      <c r="E57" s="2" t="inlineStr">
        <is>
          <t>配票/反向</t>
        </is>
      </c>
      <c r="F57" s="2" t="inlineStr">
        <is>
          <t>配票</t>
        </is>
      </c>
      <c r="G57" s="2" t="inlineStr">
        <is>
          <t>闫东朋</t>
        </is>
      </c>
      <c r="H57" s="2" t="inlineStr">
        <is>
          <t>闫东朋车队</t>
        </is>
      </c>
      <c r="I57" s="2" t="inlineStr">
        <is>
          <t>俊兴</t>
        </is>
      </c>
      <c r="J57" s="2" t="inlineStr">
        <is>
          <t>已开票</t>
        </is>
      </c>
      <c r="K57" s="9" t="n">
        <v>56.14</v>
      </c>
      <c r="L57" s="10" t="n">
        <v>132939.52</v>
      </c>
      <c r="M57" s="11">
        <f>Q57+S57-AA57-AC57-AD57</f>
        <v/>
      </c>
      <c r="N57" s="12">
        <f>IF(K57=0,0,M57/K57)</f>
        <v/>
      </c>
      <c r="O57" s="10" t="n">
        <v>0</v>
      </c>
      <c r="P57" s="12" t="n"/>
      <c r="Q57" s="10" t="n">
        <v>0</v>
      </c>
      <c r="R57" s="12" t="n">
        <v>25</v>
      </c>
      <c r="S57" s="10" t="n">
        <v>1403.5</v>
      </c>
      <c r="T57" s="12" t="n">
        <v>14</v>
      </c>
      <c r="U57" s="10" t="n">
        <v>114327.9872</v>
      </c>
      <c r="V57" s="12" t="n">
        <v>23</v>
      </c>
      <c r="W57" s="10" t="n">
        <v>1291.22</v>
      </c>
      <c r="X57" s="10" t="n">
        <v>131648.3</v>
      </c>
      <c r="Y57" s="12" t="n">
        <v>13.5</v>
      </c>
      <c r="Z57" s="10" t="n">
        <v>113875.7795</v>
      </c>
      <c r="AA57" s="10" t="n">
        <v>452.207699999999</v>
      </c>
      <c r="AB57" s="12" t="n">
        <v>0</v>
      </c>
      <c r="AC57" s="10" t="n">
        <v>0</v>
      </c>
      <c r="AD57" s="10" t="n">
        <v>0</v>
      </c>
      <c r="AE57" s="2" t="n"/>
      <c r="AF57" s="2" t="inlineStr">
        <is>
          <t>我们配票（经俊兴）</t>
        </is>
      </c>
      <c r="AG57" s="10" t="n">
        <v>131648.3</v>
      </c>
      <c r="AH57" s="2" t="inlineStr">
        <is>
          <t>—</t>
        </is>
      </c>
      <c r="AI57" s="2" t="inlineStr">
        <is>
          <t>按状态视为已完成(历史)</t>
        </is>
      </c>
      <c r="AJ57" s="2" t="inlineStr">
        <is>
          <t>待登记</t>
        </is>
      </c>
      <c r="AK57" s="2" t="inlineStr">
        <is>
          <t>—</t>
        </is>
      </c>
      <c r="AL57" s="2" t="inlineStr">
        <is>
          <t>未开始(前一环节未完成)</t>
        </is>
      </c>
      <c r="AM57" s="10" t="n">
        <v>0</v>
      </c>
      <c r="AN57" s="8" t="n">
        <v>46267</v>
      </c>
      <c r="AO57" s="2" t="inlineStr">
        <is>
          <t>2026-09</t>
        </is>
      </c>
      <c r="AP57" s="9" t="n">
        <v>0.5</v>
      </c>
      <c r="AQ57" s="2" t="inlineStr">
        <is>
          <t>台账历史数据-已出结算单（具体单号未录入）</t>
        </is>
      </c>
      <c r="AR57" s="2" t="inlineStr">
        <is>
          <t>华西特钢</t>
        </is>
      </c>
      <c r="AS57" s="2" t="inlineStr">
        <is>
          <t>华西-欧冶户头</t>
        </is>
      </c>
      <c r="AT57" s="2" t="n"/>
      <c r="AU57" s="2" t="inlineStr">
        <is>
          <t>由台账 Excel 历史数据自动导入（8.19付款明细-欧冶物宝1.xlsx 第78行），日期为过磅日期近似值 [原货主:闫东鹏，识别为调货人闫东朋(同音疑似同一人，待用户确认)]</t>
        </is>
      </c>
    </row>
    <row r="58">
      <c r="A58" s="2" t="n">
        <v>56</v>
      </c>
      <c r="B58" s="8" t="n">
        <v>46268</v>
      </c>
      <c r="C58" s="2" t="inlineStr">
        <is>
          <t>苏NER821</t>
        </is>
      </c>
      <c r="D58" s="2" t="inlineStr">
        <is>
          <t>车</t>
        </is>
      </c>
      <c r="E58" s="2" t="inlineStr">
        <is>
          <t>配票/反向</t>
        </is>
      </c>
      <c r="F58" s="2" t="inlineStr">
        <is>
          <t>配票</t>
        </is>
      </c>
      <c r="G58" s="2" t="inlineStr">
        <is>
          <t>李涛</t>
        </is>
      </c>
      <c r="H58" s="2" t="inlineStr">
        <is>
          <t>李涛车队</t>
        </is>
      </c>
      <c r="I58" s="2" t="inlineStr">
        <is>
          <t>俊兴</t>
        </is>
      </c>
      <c r="J58" s="2" t="inlineStr">
        <is>
          <t>已开票</t>
        </is>
      </c>
      <c r="K58" s="9" t="n">
        <v>35.72</v>
      </c>
      <c r="L58" s="10" t="n">
        <v>86442.39999999999</v>
      </c>
      <c r="M58" s="11">
        <f>Q58+S58-AA58-AC58-AD58</f>
        <v/>
      </c>
      <c r="N58" s="12">
        <f>IF(K58=0,0,M58/K58)</f>
        <v/>
      </c>
      <c r="O58" s="10" t="n">
        <v>0</v>
      </c>
      <c r="P58" s="12" t="n"/>
      <c r="Q58" s="10" t="n">
        <v>0</v>
      </c>
      <c r="R58" s="12" t="n">
        <v>25</v>
      </c>
      <c r="S58" s="10" t="n">
        <v>893</v>
      </c>
      <c r="T58" s="12" t="n">
        <v>14</v>
      </c>
      <c r="U58" s="10" t="n">
        <v>74340.46399999999</v>
      </c>
      <c r="V58" s="12" t="n">
        <v>23</v>
      </c>
      <c r="W58" s="10" t="n">
        <v>821.5599999999999</v>
      </c>
      <c r="X58" s="10" t="n">
        <v>85620.84</v>
      </c>
      <c r="Y58" s="12" t="n">
        <v>13.5</v>
      </c>
      <c r="Z58" s="10" t="n">
        <v>74062.0266</v>
      </c>
      <c r="AA58" s="10" t="n">
        <v>278.4373999999953</v>
      </c>
      <c r="AB58" s="12" t="n">
        <v>0</v>
      </c>
      <c r="AC58" s="10" t="n">
        <v>0</v>
      </c>
      <c r="AD58" s="10" t="n">
        <v>0</v>
      </c>
      <c r="AE58" s="2" t="n"/>
      <c r="AF58" s="2" t="inlineStr">
        <is>
          <t>我们配票（经俊兴）</t>
        </is>
      </c>
      <c r="AG58" s="10" t="n">
        <v>85620.84</v>
      </c>
      <c r="AH58" s="2" t="inlineStr">
        <is>
          <t>—</t>
        </is>
      </c>
      <c r="AI58" s="2" t="inlineStr">
        <is>
          <t>按状态视为已完成(历史)</t>
        </is>
      </c>
      <c r="AJ58" s="2" t="inlineStr">
        <is>
          <t>待登记</t>
        </is>
      </c>
      <c r="AK58" s="2" t="inlineStr">
        <is>
          <t>—</t>
        </is>
      </c>
      <c r="AL58" s="2" t="inlineStr">
        <is>
          <t>未开始(前一环节未完成)</t>
        </is>
      </c>
      <c r="AM58" s="10" t="n">
        <v>0</v>
      </c>
      <c r="AN58" s="8" t="n">
        <v>46268</v>
      </c>
      <c r="AO58" s="2" t="inlineStr">
        <is>
          <t>2026-09</t>
        </is>
      </c>
      <c r="AP58" s="9" t="n">
        <v>0.3</v>
      </c>
      <c r="AQ58" s="2" t="inlineStr">
        <is>
          <t>台账历史数据-已出结算单（具体单号未录入）</t>
        </is>
      </c>
      <c r="AR58" s="2" t="inlineStr">
        <is>
          <t>华西特钢</t>
        </is>
      </c>
      <c r="AS58" s="2" t="inlineStr">
        <is>
          <t>华西-欧冶户头</t>
        </is>
      </c>
      <c r="AT58" s="2" t="n"/>
      <c r="AU58" s="2" t="inlineStr">
        <is>
          <t>由台账 Excel 历史数据自动导入（8.19付款明细-欧冶物宝1.xlsx 第80行），日期为过磅日期近似值 [原货主:李涛]</t>
        </is>
      </c>
    </row>
    <row r="59">
      <c r="A59" s="2" t="n">
        <v>57</v>
      </c>
      <c r="B59" s="8" t="n">
        <v>46268</v>
      </c>
      <c r="C59" s="2" t="inlineStr">
        <is>
          <t>苏兴达货8566</t>
        </is>
      </c>
      <c r="D59" s="2" t="inlineStr">
        <is>
          <t>船</t>
        </is>
      </c>
      <c r="E59" s="2" t="inlineStr">
        <is>
          <t>配票/反向</t>
        </is>
      </c>
      <c r="F59" s="2" t="inlineStr">
        <is>
          <t>配票</t>
        </is>
      </c>
      <c r="G59" s="2" t="n"/>
      <c r="H59" s="2" t="inlineStr">
        <is>
          <t>俊兴</t>
        </is>
      </c>
      <c r="I59" s="2" t="inlineStr">
        <is>
          <t>煌烽</t>
        </is>
      </c>
      <c r="J59" s="2" t="inlineStr">
        <is>
          <t>已开票</t>
        </is>
      </c>
      <c r="K59" s="9" t="n">
        <v>560.21</v>
      </c>
      <c r="L59" s="10" t="n">
        <v>1381864.15</v>
      </c>
      <c r="M59" s="11">
        <f>Q59+S59-AA59-AC59-AD59</f>
        <v/>
      </c>
      <c r="N59" s="12">
        <f>IF(K59=0,0,M59/K59)</f>
        <v/>
      </c>
      <c r="O59" s="10" t="n">
        <v>0</v>
      </c>
      <c r="P59" s="12" t="n"/>
      <c r="Q59" s="10" t="n">
        <v>0</v>
      </c>
      <c r="R59" s="12" t="n">
        <v>25</v>
      </c>
      <c r="S59" s="10" t="n">
        <v>14005.25</v>
      </c>
      <c r="T59" s="12" t="n">
        <v>14</v>
      </c>
      <c r="U59" s="10" t="n">
        <v>1188403.169</v>
      </c>
      <c r="V59" s="12" t="n">
        <v>23</v>
      </c>
      <c r="W59" s="10" t="n">
        <v>12884.83</v>
      </c>
      <c r="X59" s="10" t="n">
        <v>1368979.32</v>
      </c>
      <c r="Y59" s="12" t="n">
        <v>13.2</v>
      </c>
      <c r="Z59" s="10" t="n">
        <v>1188274.04976</v>
      </c>
      <c r="AA59" s="10" t="n">
        <v>129.1192400001455</v>
      </c>
      <c r="AB59" s="12" t="n">
        <v>0</v>
      </c>
      <c r="AC59" s="10" t="n">
        <v>0</v>
      </c>
      <c r="AD59" s="10" t="n">
        <v>0</v>
      </c>
      <c r="AE59" s="2" t="n"/>
      <c r="AF59" s="2" t="inlineStr">
        <is>
          <t>我们配票（经俊兴）</t>
        </is>
      </c>
      <c r="AG59" s="10" t="n">
        <v>1368979.32</v>
      </c>
      <c r="AH59" s="2" t="inlineStr">
        <is>
          <t>按状态视为已完成(历史)</t>
        </is>
      </c>
      <c r="AI59" s="2" t="inlineStr">
        <is>
          <t>按状态视为已完成(历史)</t>
        </is>
      </c>
      <c r="AJ59" s="2" t="inlineStr">
        <is>
          <t>待登记</t>
        </is>
      </c>
      <c r="AK59" s="2" t="inlineStr">
        <is>
          <t>未开始(前一环节未完成)</t>
        </is>
      </c>
      <c r="AL59" s="2" t="inlineStr">
        <is>
          <t>未开始(前一环节未完成)</t>
        </is>
      </c>
      <c r="AM59" s="10" t="n">
        <v>0</v>
      </c>
      <c r="AN59" s="8" t="n">
        <v>46268</v>
      </c>
      <c r="AO59" s="2" t="inlineStr">
        <is>
          <t>2026-09</t>
        </is>
      </c>
      <c r="AP59" s="9" t="n">
        <v>0</v>
      </c>
      <c r="AQ59" s="2" t="inlineStr">
        <is>
          <t>台账历史数据-已出结算单（具体单号未录入）</t>
        </is>
      </c>
      <c r="AR59" s="2" t="inlineStr">
        <is>
          <t>华西特钢</t>
        </is>
      </c>
      <c r="AS59" s="2" t="inlineStr">
        <is>
          <t>华西-欧冶户头</t>
        </is>
      </c>
      <c r="AT59" s="2" t="n"/>
      <c r="AU59" s="2" t="inlineStr">
        <is>
          <t>由台账 Excel 历史数据自动导入（8.19付款明细-欧冶物宝1.xlsx 第81行），日期为过磅日期近似值</t>
        </is>
      </c>
    </row>
    <row r="60">
      <c r="A60" s="2" t="n">
        <v>58</v>
      </c>
      <c r="B60" s="8" t="n">
        <v>46269</v>
      </c>
      <c r="C60" s="2" t="inlineStr">
        <is>
          <t>皖SG1123</t>
        </is>
      </c>
      <c r="D60" s="2" t="inlineStr">
        <is>
          <t>车</t>
        </is>
      </c>
      <c r="E60" s="2" t="inlineStr">
        <is>
          <t>配票/反向</t>
        </is>
      </c>
      <c r="F60" s="2" t="inlineStr">
        <is>
          <t>配票</t>
        </is>
      </c>
      <c r="G60" s="2" t="inlineStr">
        <is>
          <t>李涛</t>
        </is>
      </c>
      <c r="H60" s="2" t="inlineStr">
        <is>
          <t>李涛车队</t>
        </is>
      </c>
      <c r="I60" s="2" t="inlineStr">
        <is>
          <t>益周</t>
        </is>
      </c>
      <c r="J60" s="2" t="inlineStr">
        <is>
          <t>已开票</t>
        </is>
      </c>
      <c r="K60" s="9" t="n">
        <v>38.07</v>
      </c>
      <c r="L60" s="10" t="n">
        <v>91748.7</v>
      </c>
      <c r="M60" s="11">
        <f>Q60+S60-AA60-AC60-AD60</f>
        <v/>
      </c>
      <c r="N60" s="12">
        <f>IF(K60=0,0,M60/K60)</f>
        <v/>
      </c>
      <c r="O60" s="10" t="n">
        <v>636.1116299999993</v>
      </c>
      <c r="P60" s="12" t="n"/>
      <c r="Q60" s="10" t="n">
        <v>0</v>
      </c>
      <c r="R60" s="12" t="n">
        <v>25</v>
      </c>
      <c r="S60" s="10" t="n">
        <v>951.75</v>
      </c>
      <c r="T60" s="12" t="n">
        <v>14</v>
      </c>
      <c r="U60" s="10" t="n">
        <v>78903.882</v>
      </c>
      <c r="V60" s="12" t="n">
        <v>23</v>
      </c>
      <c r="W60" s="10" t="n">
        <v>875.61</v>
      </c>
      <c r="X60" s="10" t="n">
        <v>90873.09</v>
      </c>
      <c r="Y60" s="12" t="n">
        <v>13.5</v>
      </c>
      <c r="Z60" s="10" t="n">
        <v>78605.22284999999</v>
      </c>
      <c r="AA60" s="10" t="n">
        <v>298.6591500000068</v>
      </c>
      <c r="AB60" s="12" t="n">
        <v>0</v>
      </c>
      <c r="AC60" s="10" t="n">
        <v>0</v>
      </c>
      <c r="AD60" s="10" t="n">
        <v>0</v>
      </c>
      <c r="AE60" s="2" t="n"/>
      <c r="AF60" s="2" t="inlineStr">
        <is>
          <t>我们配票（经俊兴）</t>
        </is>
      </c>
      <c r="AG60" s="10" t="n">
        <v>90873.09</v>
      </c>
      <c r="AH60" s="2" t="inlineStr">
        <is>
          <t>按状态视为已完成(历史)</t>
        </is>
      </c>
      <c r="AI60" s="2" t="inlineStr">
        <is>
          <t>按状态视为已完成(历史)</t>
        </is>
      </c>
      <c r="AJ60" s="2" t="inlineStr">
        <is>
          <t>待登记</t>
        </is>
      </c>
      <c r="AK60" s="2" t="inlineStr">
        <is>
          <t>未开始(前一环节未完成)</t>
        </is>
      </c>
      <c r="AL60" s="2" t="inlineStr">
        <is>
          <t>未开始(前一环节未完成)</t>
        </is>
      </c>
      <c r="AM60" s="10" t="n">
        <v>0</v>
      </c>
      <c r="AN60" s="8" t="n">
        <v>46269</v>
      </c>
      <c r="AO60" s="2" t="inlineStr">
        <is>
          <t>2026-09</t>
        </is>
      </c>
      <c r="AP60" s="9" t="n">
        <v>0.35</v>
      </c>
      <c r="AQ60" s="2" t="inlineStr">
        <is>
          <t>台账历史数据-已出结算单（具体单号未录入）</t>
        </is>
      </c>
      <c r="AR60" s="2" t="inlineStr">
        <is>
          <t>华西特钢</t>
        </is>
      </c>
      <c r="AS60" s="2" t="inlineStr">
        <is>
          <t>华西-欧冶户头</t>
        </is>
      </c>
      <c r="AT60" s="2" t="n"/>
      <c r="AU60" s="2" t="inlineStr">
        <is>
          <t>由台账 Excel 历史数据自动导入（8.19付款明细-欧冶物宝1.xlsx 第82行），日期为过磅日期近似值 [原货主:李涛]</t>
        </is>
      </c>
    </row>
    <row r="61">
      <c r="A61" s="2" t="n">
        <v>59</v>
      </c>
      <c r="B61" s="8" t="n">
        <v>46269</v>
      </c>
      <c r="C61" s="2" t="inlineStr">
        <is>
          <t>皖LE9644</t>
        </is>
      </c>
      <c r="D61" s="2" t="inlineStr">
        <is>
          <t>车</t>
        </is>
      </c>
      <c r="E61" s="2" t="inlineStr">
        <is>
          <t>配票/反向</t>
        </is>
      </c>
      <c r="F61" s="2" t="inlineStr">
        <is>
          <t>配票</t>
        </is>
      </c>
      <c r="G61" s="2" t="inlineStr">
        <is>
          <t>李涛</t>
        </is>
      </c>
      <c r="H61" s="2" t="inlineStr">
        <is>
          <t>李涛车队</t>
        </is>
      </c>
      <c r="I61" s="2" t="inlineStr">
        <is>
          <t>益周</t>
        </is>
      </c>
      <c r="J61" s="2" t="inlineStr">
        <is>
          <t>已开票</t>
        </is>
      </c>
      <c r="K61" s="9" t="n">
        <v>35.28</v>
      </c>
      <c r="L61" s="10" t="n">
        <v>68714.8</v>
      </c>
      <c r="M61" s="11">
        <f>Q61+S61-AA61-AC61-AD61</f>
        <v/>
      </c>
      <c r="N61" s="12">
        <f>IF(K61=0,0,M61/K61)</f>
        <v/>
      </c>
      <c r="O61" s="10" t="n">
        <v>475.3235199999996</v>
      </c>
      <c r="P61" s="12" t="n"/>
      <c r="Q61" s="10" t="n">
        <v>0</v>
      </c>
      <c r="R61" s="12" t="n">
        <v>25</v>
      </c>
      <c r="S61" s="10" t="n">
        <v>882</v>
      </c>
      <c r="T61" s="12" t="n">
        <v>14</v>
      </c>
      <c r="U61" s="10" t="n">
        <v>59094.728</v>
      </c>
      <c r="V61" s="12" t="n">
        <v>23</v>
      </c>
      <c r="W61" s="10" t="n">
        <v>811.4400000000001</v>
      </c>
      <c r="X61" s="10" t="n">
        <v>67903.36</v>
      </c>
      <c r="Y61" s="12" t="n">
        <v>13.5</v>
      </c>
      <c r="Z61" s="10" t="n">
        <v>58736.4064</v>
      </c>
      <c r="AA61" s="10" t="n">
        <v>358.3216000000029</v>
      </c>
      <c r="AB61" s="12" t="n">
        <v>0</v>
      </c>
      <c r="AC61" s="10" t="n">
        <v>0</v>
      </c>
      <c r="AD61" s="10" t="n">
        <v>0</v>
      </c>
      <c r="AE61" s="2" t="n"/>
      <c r="AF61" s="2" t="inlineStr">
        <is>
          <t>我们配票（经俊兴）</t>
        </is>
      </c>
      <c r="AG61" s="10" t="n">
        <v>67903.36</v>
      </c>
      <c r="AH61" s="2" t="inlineStr">
        <is>
          <t>按状态视为已完成(历史)</t>
        </is>
      </c>
      <c r="AI61" s="2" t="inlineStr">
        <is>
          <t>按状态视为已完成(历史)</t>
        </is>
      </c>
      <c r="AJ61" s="2" t="inlineStr">
        <is>
          <t>待登记</t>
        </is>
      </c>
      <c r="AK61" s="2" t="inlineStr">
        <is>
          <t>未开始(前一环节未完成)</t>
        </is>
      </c>
      <c r="AL61" s="2" t="inlineStr">
        <is>
          <t>未开始(前一环节未完成)</t>
        </is>
      </c>
      <c r="AM61" s="10" t="n">
        <v>0</v>
      </c>
      <c r="AN61" s="8" t="n">
        <v>46269</v>
      </c>
      <c r="AO61" s="2" t="inlineStr">
        <is>
          <t>2026-09</t>
        </is>
      </c>
      <c r="AP61" s="9" t="n">
        <v>0.3</v>
      </c>
      <c r="AQ61" s="2" t="inlineStr">
        <is>
          <t>台账历史数据-已出结算单（具体单号未录入）</t>
        </is>
      </c>
      <c r="AR61" s="2" t="inlineStr">
        <is>
          <t>华西特钢</t>
        </is>
      </c>
      <c r="AS61" s="2" t="inlineStr">
        <is>
          <t>华西-欧冶户头</t>
        </is>
      </c>
      <c r="AT61" s="2" t="n"/>
      <c r="AU61" s="2" t="inlineStr">
        <is>
          <t>由台账 Excel 历史数据自动导入（8.19付款明细-欧冶物宝1.xlsx 第83行），日期为过磅日期近似值 [原货主:李涛]；【2026-09-17更正】原切割费16310元实为钢厂含税罚款，应由供应商/货主承担(转付时按不含税金额从供应商货款中扣除)，不计入本公司利润成本，已用other_cost=-16310冲抵</t>
        </is>
      </c>
    </row>
    <row r="62">
      <c r="A62" s="2" t="n">
        <v>60</v>
      </c>
      <c r="B62" s="8" t="n">
        <v>46269</v>
      </c>
      <c r="C62" s="2" t="inlineStr">
        <is>
          <t>苏K66529</t>
        </is>
      </c>
      <c r="D62" s="2" t="inlineStr">
        <is>
          <t>车</t>
        </is>
      </c>
      <c r="E62" s="2" t="inlineStr">
        <is>
          <t>配票/反向</t>
        </is>
      </c>
      <c r="F62" s="2" t="inlineStr">
        <is>
          <t>配票</t>
        </is>
      </c>
      <c r="G62" s="2" t="inlineStr">
        <is>
          <t>陈杰</t>
        </is>
      </c>
      <c r="H62" s="2" t="inlineStr">
        <is>
          <t>陈杰车队</t>
        </is>
      </c>
      <c r="I62" s="2" t="inlineStr">
        <is>
          <t>益周</t>
        </is>
      </c>
      <c r="J62" s="2" t="inlineStr">
        <is>
          <t>已开票</t>
        </is>
      </c>
      <c r="K62" s="9" t="n">
        <v>39.12</v>
      </c>
      <c r="L62" s="10" t="n">
        <v>89584.8</v>
      </c>
      <c r="M62" s="11">
        <f>Q62+S62-AA62-AC62-AD62</f>
        <v/>
      </c>
      <c r="N62" s="12">
        <f>IF(K62=0,0,M62/K62)</f>
        <v/>
      </c>
      <c r="O62" s="10" t="n">
        <v>620.7952799999994</v>
      </c>
      <c r="P62" s="12" t="n"/>
      <c r="Q62" s="10" t="n">
        <v>0</v>
      </c>
      <c r="R62" s="12" t="n">
        <v>25</v>
      </c>
      <c r="S62" s="10" t="n">
        <v>977.9999999999999</v>
      </c>
      <c r="T62" s="12" t="n">
        <v>14</v>
      </c>
      <c r="U62" s="10" t="n">
        <v>77042.928</v>
      </c>
      <c r="V62" s="12" t="n">
        <v>23</v>
      </c>
      <c r="W62" s="10" t="n">
        <v>899.76</v>
      </c>
      <c r="X62" s="10" t="n">
        <v>88685.04000000001</v>
      </c>
      <c r="Y62" s="12" t="n">
        <v>13.5</v>
      </c>
      <c r="Z62" s="10" t="n">
        <v>76712.55960000001</v>
      </c>
      <c r="AA62" s="10" t="n">
        <v>330.3683999999921</v>
      </c>
      <c r="AB62" s="12" t="n">
        <v>0</v>
      </c>
      <c r="AC62" s="10" t="n">
        <v>0</v>
      </c>
      <c r="AD62" s="10" t="n">
        <v>0</v>
      </c>
      <c r="AE62" s="2" t="n"/>
      <c r="AF62" s="2" t="inlineStr">
        <is>
          <t>我们配票（经俊兴）</t>
        </is>
      </c>
      <c r="AG62" s="10" t="n">
        <v>88685.03999999999</v>
      </c>
      <c r="AH62" s="2" t="inlineStr">
        <is>
          <t>按状态视为已完成(历史)</t>
        </is>
      </c>
      <c r="AI62" s="2" t="inlineStr">
        <is>
          <t>按状态视为已完成(历史)</t>
        </is>
      </c>
      <c r="AJ62" s="2" t="inlineStr">
        <is>
          <t>待登记</t>
        </is>
      </c>
      <c r="AK62" s="2" t="inlineStr">
        <is>
          <t>未开始(前一环节未完成)</t>
        </is>
      </c>
      <c r="AL62" s="2" t="inlineStr">
        <is>
          <t>未开始(前一环节未完成)</t>
        </is>
      </c>
      <c r="AM62" s="10" t="n">
        <v>0</v>
      </c>
      <c r="AN62" s="8" t="n">
        <v>46269</v>
      </c>
      <c r="AO62" s="2" t="inlineStr">
        <is>
          <t>2026-09</t>
        </is>
      </c>
      <c r="AP62" s="9" t="n">
        <v>1</v>
      </c>
      <c r="AQ62" s="2" t="inlineStr">
        <is>
          <t>台账历史数据-已出结算单（具体单号未录入）</t>
        </is>
      </c>
      <c r="AR62" s="2" t="inlineStr">
        <is>
          <t>华西特钢</t>
        </is>
      </c>
      <c r="AS62" s="2" t="inlineStr">
        <is>
          <t>华西-欧冶户头</t>
        </is>
      </c>
      <c r="AT62" s="2" t="n"/>
      <c r="AU62" s="2" t="inlineStr">
        <is>
          <t>由台账 Excel 历史数据自动导入（8.19付款明细-欧冶物宝1.xlsx 第84行），日期为过磅日期近似值 [原货主:陈杰]</t>
        </is>
      </c>
    </row>
    <row r="63">
      <c r="A63" s="2" t="n">
        <v>61</v>
      </c>
      <c r="B63" s="8" t="n">
        <v>46270</v>
      </c>
      <c r="C63" s="2" t="inlineStr">
        <is>
          <t>皖城兴货688</t>
        </is>
      </c>
      <c r="D63" s="2" t="inlineStr">
        <is>
          <t>船</t>
        </is>
      </c>
      <c r="E63" s="2" t="inlineStr">
        <is>
          <t>配票/反向</t>
        </is>
      </c>
      <c r="F63" s="2" t="inlineStr">
        <is>
          <t>配票</t>
        </is>
      </c>
      <c r="G63" s="2" t="inlineStr">
        <is>
          <t>林凯</t>
        </is>
      </c>
      <c r="H63" s="2" t="inlineStr">
        <is>
          <t>林凯车队</t>
        </is>
      </c>
      <c r="I63" s="2" t="inlineStr">
        <is>
          <t>益周</t>
        </is>
      </c>
      <c r="J63" s="2" t="inlineStr">
        <is>
          <t>已开票</t>
        </is>
      </c>
      <c r="K63" s="9" t="n">
        <v>719.14</v>
      </c>
      <c r="L63" s="10" t="n">
        <v>1823625.4</v>
      </c>
      <c r="M63" s="11">
        <f>Q63+S63-AA63-AC63-AD63</f>
        <v/>
      </c>
      <c r="N63" s="12">
        <f>IF(K63=0,0,M63/K63)</f>
        <v/>
      </c>
      <c r="O63" s="10" t="n">
        <v>12649.59625999999</v>
      </c>
      <c r="P63" s="12" t="n"/>
      <c r="Q63" s="10" t="n">
        <v>0</v>
      </c>
      <c r="R63" s="12" t="n">
        <v>25</v>
      </c>
      <c r="S63" s="10" t="n">
        <v>17978.5</v>
      </c>
      <c r="T63" s="12" t="n">
        <v>14</v>
      </c>
      <c r="U63" s="10" t="n">
        <v>1568317.844</v>
      </c>
      <c r="V63" s="12" t="n">
        <v>23</v>
      </c>
      <c r="W63" s="10" t="n">
        <v>16540.22</v>
      </c>
      <c r="X63" s="10" t="n">
        <v>1807085.18</v>
      </c>
      <c r="Y63" s="12" t="n">
        <v>13.5</v>
      </c>
      <c r="Z63" s="10" t="n">
        <v>1563128.6807</v>
      </c>
      <c r="AA63" s="10" t="n">
        <v>5189.163299999898</v>
      </c>
      <c r="AB63" s="12" t="n">
        <v>0</v>
      </c>
      <c r="AC63" s="10" t="n">
        <v>0</v>
      </c>
      <c r="AD63" s="10" t="n">
        <v>0</v>
      </c>
      <c r="AE63" s="2" t="n"/>
      <c r="AF63" s="2" t="inlineStr">
        <is>
          <t>我们配票（经俊兴）</t>
        </is>
      </c>
      <c r="AG63" s="10" t="n">
        <v>1807085.18</v>
      </c>
      <c r="AH63" s="2" t="inlineStr">
        <is>
          <t>按状态视为已完成(历史)</t>
        </is>
      </c>
      <c r="AI63" s="2" t="inlineStr">
        <is>
          <t>按状态视为已完成(历史)</t>
        </is>
      </c>
      <c r="AJ63" s="2" t="inlineStr">
        <is>
          <t>待登记</t>
        </is>
      </c>
      <c r="AK63" s="2" t="inlineStr">
        <is>
          <t>未开始(前一环节未完成)</t>
        </is>
      </c>
      <c r="AL63" s="2" t="inlineStr">
        <is>
          <t>未开始(前一环节未完成)</t>
        </is>
      </c>
      <c r="AM63" s="10" t="n">
        <v>0</v>
      </c>
      <c r="AN63" s="8" t="n">
        <v>46270</v>
      </c>
      <c r="AO63" s="2" t="inlineStr">
        <is>
          <t>2026-09</t>
        </is>
      </c>
      <c r="AP63" s="9" t="n">
        <v>0</v>
      </c>
      <c r="AQ63" s="2" t="inlineStr">
        <is>
          <t>台账历史数据-已出结算单（具体单号未录入）</t>
        </is>
      </c>
      <c r="AR63" s="2" t="inlineStr">
        <is>
          <t>华西特钢</t>
        </is>
      </c>
      <c r="AS63" s="2" t="inlineStr">
        <is>
          <t>华西-欧冶户头</t>
        </is>
      </c>
      <c r="AT63" s="2" t="n"/>
      <c r="AU63" s="2" t="inlineStr">
        <is>
          <t>由台账 Excel 历史数据自动导入（8.19付款明细-欧冶物宝1.xlsx 第85行），日期为过磅日期近似值 [原货主:林凯]</t>
        </is>
      </c>
    </row>
    <row r="64">
      <c r="A64" s="2" t="n">
        <v>62</v>
      </c>
      <c r="B64" s="8" t="n">
        <v>46272</v>
      </c>
      <c r="C64" s="2" t="inlineStr">
        <is>
          <t>鲁济宁货1567</t>
        </is>
      </c>
      <c r="D64" s="2" t="inlineStr">
        <is>
          <t>船</t>
        </is>
      </c>
      <c r="E64" s="2" t="inlineStr">
        <is>
          <t>配票/反向</t>
        </is>
      </c>
      <c r="F64" s="2" t="inlineStr">
        <is>
          <t>配票</t>
        </is>
      </c>
      <c r="G64" s="2" t="inlineStr">
        <is>
          <t>林凯</t>
        </is>
      </c>
      <c r="H64" s="2" t="inlineStr">
        <is>
          <t>林凯车队</t>
        </is>
      </c>
      <c r="I64" s="2" t="inlineStr">
        <is>
          <t>煌烽</t>
        </is>
      </c>
      <c r="J64" s="2" t="inlineStr">
        <is>
          <t>已结算</t>
        </is>
      </c>
      <c r="K64" s="9" t="n">
        <v>613.8</v>
      </c>
      <c r="L64" s="10" t="n">
        <v>1467823.1</v>
      </c>
      <c r="M64" s="11">
        <f>Q64+S64-AA64-AC64-AD64</f>
        <v/>
      </c>
      <c r="N64" s="12">
        <f>IF(K64=0,0,M64/K64)</f>
        <v/>
      </c>
      <c r="O64" s="10" t="n">
        <v>0</v>
      </c>
      <c r="P64" s="12" t="n"/>
      <c r="Q64" s="10" t="n">
        <v>0</v>
      </c>
      <c r="R64" s="12" t="n">
        <v>25</v>
      </c>
      <c r="S64" s="10" t="n">
        <v>15345</v>
      </c>
      <c r="T64" s="12" t="n">
        <v>14</v>
      </c>
      <c r="U64" s="10" t="n">
        <v>1262327.866</v>
      </c>
      <c r="V64" s="12" t="n">
        <v>23</v>
      </c>
      <c r="W64" s="10" t="n">
        <v>14117.4</v>
      </c>
      <c r="X64" s="10" t="n">
        <v>1453705.7</v>
      </c>
      <c r="Y64" s="12" t="n">
        <v>13.2</v>
      </c>
      <c r="Z64" s="10" t="n">
        <v>1261816.5476</v>
      </c>
      <c r="AA64" s="10" t="n">
        <v>511.3183999999892</v>
      </c>
      <c r="AB64" s="12" t="n">
        <v>0</v>
      </c>
      <c r="AC64" s="10" t="n">
        <v>0</v>
      </c>
      <c r="AD64" s="10" t="n">
        <v>0</v>
      </c>
      <c r="AE64" s="2" t="n"/>
      <c r="AF64" s="2" t="inlineStr">
        <is>
          <t>我们配票（经俊兴）</t>
        </is>
      </c>
      <c r="AG64" s="10" t="n">
        <v>1453705.7</v>
      </c>
      <c r="AH64" s="2" t="inlineStr">
        <is>
          <t>待登记</t>
        </is>
      </c>
      <c r="AI64" s="2" t="inlineStr">
        <is>
          <t>待登记</t>
        </is>
      </c>
      <c r="AJ64" s="2" t="inlineStr">
        <is>
          <t>未开始(前一环节未完成)</t>
        </is>
      </c>
      <c r="AK64" s="2" t="inlineStr">
        <is>
          <t>未开始(前一环节未完成)</t>
        </is>
      </c>
      <c r="AL64" s="2" t="inlineStr">
        <is>
          <t>未开始(前一环节未完成)</t>
        </is>
      </c>
      <c r="AM64" s="10" t="n">
        <v>0</v>
      </c>
      <c r="AN64" s="8" t="n">
        <v>46272</v>
      </c>
      <c r="AO64" s="2" t="inlineStr">
        <is>
          <t>2026-09</t>
        </is>
      </c>
      <c r="AP64" s="9" t="n">
        <v>0</v>
      </c>
      <c r="AQ64" s="2" t="inlineStr">
        <is>
          <t>台账历史数据-已出结算单（具体单号未录入）</t>
        </is>
      </c>
      <c r="AR64" s="2" t="inlineStr">
        <is>
          <t>华西特钢</t>
        </is>
      </c>
      <c r="AS64" s="2" t="inlineStr">
        <is>
          <t>华西-欧冶户头</t>
        </is>
      </c>
      <c r="AT64" s="2" t="n"/>
      <c r="AU64" s="2" t="inlineStr">
        <is>
          <t>由台账 Excel 历史数据自动导入（8.19付款明细-欧冶物宝1.xlsx 第86行），日期为过磅日期近似值 [原货主:林凯]</t>
        </is>
      </c>
    </row>
    <row r="65">
      <c r="A65" s="2" t="n">
        <v>63</v>
      </c>
      <c r="B65" s="8" t="n">
        <v>46275</v>
      </c>
      <c r="C65" s="2" t="inlineStr">
        <is>
          <t>苏DBE075</t>
        </is>
      </c>
      <c r="D65" s="2" t="inlineStr">
        <is>
          <t>车</t>
        </is>
      </c>
      <c r="E65" s="2" t="inlineStr">
        <is>
          <t>带票带货</t>
        </is>
      </c>
      <c r="F65" s="2" t="inlineStr">
        <is>
          <t>户头通道</t>
        </is>
      </c>
      <c r="G65" s="2" t="inlineStr">
        <is>
          <t>林凯</t>
        </is>
      </c>
      <c r="H65" s="2" t="inlineStr">
        <is>
          <t>君盛</t>
        </is>
      </c>
      <c r="I65" s="2" t="inlineStr">
        <is>
          <t>俊兴</t>
        </is>
      </c>
      <c r="J65" s="2" t="inlineStr">
        <is>
          <t>已结算</t>
        </is>
      </c>
      <c r="K65" s="9" t="n">
        <v>82.26000000000001</v>
      </c>
      <c r="L65" s="10" t="n">
        <v>208117.8</v>
      </c>
      <c r="M65" s="11">
        <f>Q65+S65-AA65-AC65-AD65</f>
        <v/>
      </c>
      <c r="N65" s="12">
        <f>IF(K65=0,0,M65/K65)</f>
        <v/>
      </c>
      <c r="O65" s="10" t="n">
        <v>0</v>
      </c>
      <c r="P65" s="12" t="n">
        <v>40</v>
      </c>
      <c r="Q65" s="10" t="n">
        <v>3290.4</v>
      </c>
      <c r="R65" s="12" t="n">
        <v>25</v>
      </c>
      <c r="S65" s="10" t="n">
        <v>2056.5</v>
      </c>
      <c r="T65" s="12" t="n"/>
      <c r="U65" s="10" t="n"/>
      <c r="V65" s="12" t="n">
        <v>23</v>
      </c>
      <c r="W65" s="10" t="n">
        <v>1891.98</v>
      </c>
      <c r="X65" s="10" t="n"/>
      <c r="Y65" s="12" t="n"/>
      <c r="Z65" s="10" t="n"/>
      <c r="AA65" s="10" t="n">
        <v>1891.98</v>
      </c>
      <c r="AB65" s="12" t="n">
        <v>15</v>
      </c>
      <c r="AC65" s="10" t="n">
        <v>1233.9</v>
      </c>
      <c r="AD65" s="10" t="n">
        <v>0</v>
      </c>
      <c r="AE65" s="2" t="n"/>
      <c r="AF65" s="2" t="inlineStr">
        <is>
          <t>我们配票（经俊兴）</t>
        </is>
      </c>
      <c r="AG65" s="10" t="n">
        <v>206225.82</v>
      </c>
      <c r="AH65" s="2" t="inlineStr">
        <is>
          <t>—</t>
        </is>
      </c>
      <c r="AI65" s="2" t="inlineStr">
        <is>
          <t>待登记</t>
        </is>
      </c>
      <c r="AJ65" s="2" t="inlineStr">
        <is>
          <t>未开始(前一环节未完成)</t>
        </is>
      </c>
      <c r="AK65" s="2" t="inlineStr">
        <is>
          <t>—</t>
        </is>
      </c>
      <c r="AL65" s="2" t="inlineStr">
        <is>
          <t>未开始(前一环节未完成)</t>
        </is>
      </c>
      <c r="AM65" s="10" t="n">
        <v>0</v>
      </c>
      <c r="AN65" s="8" t="n">
        <v>46275</v>
      </c>
      <c r="AO65" s="2" t="inlineStr">
        <is>
          <t>2026-09</t>
        </is>
      </c>
      <c r="AP65" s="9" t="n">
        <v>0.3</v>
      </c>
      <c r="AQ65" s="2" t="inlineStr">
        <is>
          <t>台账历史数据-已出结算单（具体单号未录入）</t>
        </is>
      </c>
      <c r="AR65" s="2" t="inlineStr">
        <is>
          <t>华西特钢</t>
        </is>
      </c>
      <c r="AS65" s="2" t="inlineStr">
        <is>
          <t>华西-欧冶户头</t>
        </is>
      </c>
      <c r="AT65" s="2" t="n"/>
      <c r="AU65" s="2" t="inlineStr">
        <is>
          <t>由台账 Excel 历史数据自动导入（8.19付款明细-欧冶物宝1.xlsx 第87行），日期为过磅日期近似值 [原货主:林凯]</t>
        </is>
      </c>
    </row>
    <row r="66">
      <c r="A66" s="2" t="n">
        <v>64</v>
      </c>
      <c r="B66" s="8" t="n">
        <v>46276</v>
      </c>
      <c r="C66" s="2" t="inlineStr">
        <is>
          <t>苏DBB772</t>
        </is>
      </c>
      <c r="D66" s="2" t="inlineStr">
        <is>
          <t>车</t>
        </is>
      </c>
      <c r="E66" s="2" t="inlineStr">
        <is>
          <t>带票带货</t>
        </is>
      </c>
      <c r="F66" s="2" t="inlineStr">
        <is>
          <t>户头通道</t>
        </is>
      </c>
      <c r="G66" s="2" t="inlineStr">
        <is>
          <t>林凯</t>
        </is>
      </c>
      <c r="H66" s="2" t="inlineStr">
        <is>
          <t>君盛</t>
        </is>
      </c>
      <c r="I66" s="2" t="inlineStr">
        <is>
          <t>俊兴</t>
        </is>
      </c>
      <c r="J66" s="2" t="inlineStr">
        <is>
          <t>已结算</t>
        </is>
      </c>
      <c r="K66" s="9" t="n">
        <v>82.2</v>
      </c>
      <c r="L66" s="10" t="n">
        <v>207966</v>
      </c>
      <c r="M66" s="11">
        <f>Q66+S66-AA66-AC66-AD66</f>
        <v/>
      </c>
      <c r="N66" s="12">
        <f>IF(K66=0,0,M66/K66)</f>
        <v/>
      </c>
      <c r="O66" s="10" t="n">
        <v>0</v>
      </c>
      <c r="P66" s="12" t="n">
        <v>40</v>
      </c>
      <c r="Q66" s="10" t="n">
        <v>3288</v>
      </c>
      <c r="R66" s="12" t="n">
        <v>25</v>
      </c>
      <c r="S66" s="10" t="n">
        <v>2055</v>
      </c>
      <c r="T66" s="12" t="n"/>
      <c r="U66" s="10" t="n"/>
      <c r="V66" s="12" t="n">
        <v>23</v>
      </c>
      <c r="W66" s="10" t="n">
        <v>1890.6</v>
      </c>
      <c r="X66" s="10" t="n"/>
      <c r="Y66" s="12" t="n"/>
      <c r="Z66" s="10" t="n"/>
      <c r="AA66" s="10" t="n">
        <v>1890.6</v>
      </c>
      <c r="AB66" s="12" t="n">
        <v>15</v>
      </c>
      <c r="AC66" s="10" t="n">
        <v>1233</v>
      </c>
      <c r="AD66" s="10" t="n">
        <v>0</v>
      </c>
      <c r="AE66" s="2" t="n"/>
      <c r="AF66" s="2" t="inlineStr">
        <is>
          <t>我们配票（经俊兴）</t>
        </is>
      </c>
      <c r="AG66" s="10" t="n">
        <v>206075.4</v>
      </c>
      <c r="AH66" s="2" t="inlineStr">
        <is>
          <t>—</t>
        </is>
      </c>
      <c r="AI66" s="2" t="inlineStr">
        <is>
          <t>待登记</t>
        </is>
      </c>
      <c r="AJ66" s="2" t="inlineStr">
        <is>
          <t>未开始(前一环节未完成)</t>
        </is>
      </c>
      <c r="AK66" s="2" t="inlineStr">
        <is>
          <t>—</t>
        </is>
      </c>
      <c r="AL66" s="2" t="inlineStr">
        <is>
          <t>未开始(前一环节未完成)</t>
        </is>
      </c>
      <c r="AM66" s="10" t="n">
        <v>0</v>
      </c>
      <c r="AN66" s="8" t="n">
        <v>46276</v>
      </c>
      <c r="AO66" s="2" t="inlineStr">
        <is>
          <t>2026-09</t>
        </is>
      </c>
      <c r="AP66" s="9" t="n">
        <v>0.4</v>
      </c>
      <c r="AQ66" s="2" t="inlineStr">
        <is>
          <t>台账历史数据-已出结算单（具体单号未录入）</t>
        </is>
      </c>
      <c r="AR66" s="2" t="inlineStr">
        <is>
          <t>华西特钢</t>
        </is>
      </c>
      <c r="AS66" s="2" t="inlineStr">
        <is>
          <t>华西-欧冶户头</t>
        </is>
      </c>
      <c r="AT66" s="2" t="n"/>
      <c r="AU66" s="2" t="inlineStr">
        <is>
          <t>由台账 Excel 历史数据自动导入（8.19付款明细-欧冶物宝1.xlsx 第88行），日期为过磅日期近似值 [原货主:林凯]</t>
        </is>
      </c>
    </row>
    <row r="67">
      <c r="A67" s="2" t="n">
        <v>65</v>
      </c>
      <c r="B67" s="8" t="n">
        <v>46277</v>
      </c>
      <c r="C67" s="2" t="inlineStr">
        <is>
          <t>苏DBE961</t>
        </is>
      </c>
      <c r="D67" s="2" t="inlineStr">
        <is>
          <t>车</t>
        </is>
      </c>
      <c r="E67" s="2" t="inlineStr">
        <is>
          <t>带票带货</t>
        </is>
      </c>
      <c r="F67" s="2" t="inlineStr">
        <is>
          <t>户头通道</t>
        </is>
      </c>
      <c r="G67" s="2" t="inlineStr">
        <is>
          <t>林凯</t>
        </is>
      </c>
      <c r="H67" s="2" t="inlineStr">
        <is>
          <t>力拓</t>
        </is>
      </c>
      <c r="I67" s="2" t="inlineStr">
        <is>
          <t>俊兴</t>
        </is>
      </c>
      <c r="J67" s="2" t="inlineStr">
        <is>
          <t>已结算</t>
        </is>
      </c>
      <c r="K67" s="9" t="n">
        <v>79.76000000000001</v>
      </c>
      <c r="L67" s="10" t="n">
        <v>181852.8</v>
      </c>
      <c r="M67" s="11">
        <f>Q67+S67-AA67-AC67-AD67</f>
        <v/>
      </c>
      <c r="N67" s="12">
        <f>IF(K67=0,0,M67/K67)</f>
        <v/>
      </c>
      <c r="O67" s="10" t="n">
        <v>0</v>
      </c>
      <c r="P67" s="12" t="n">
        <v>40</v>
      </c>
      <c r="Q67" s="10" t="n">
        <v>3190.4</v>
      </c>
      <c r="R67" s="12" t="n">
        <v>25</v>
      </c>
      <c r="S67" s="10" t="n">
        <v>1994</v>
      </c>
      <c r="T67" s="12" t="n"/>
      <c r="U67" s="10" t="n"/>
      <c r="V67" s="12" t="n">
        <v>23</v>
      </c>
      <c r="W67" s="10" t="n">
        <v>1834.48</v>
      </c>
      <c r="X67" s="10" t="n"/>
      <c r="Y67" s="12" t="n"/>
      <c r="Z67" s="10" t="n"/>
      <c r="AA67" s="10" t="n">
        <v>1834.48</v>
      </c>
      <c r="AB67" s="12" t="n">
        <v>15</v>
      </c>
      <c r="AC67" s="10" t="n">
        <v>1196.4</v>
      </c>
      <c r="AD67" s="10" t="n">
        <v>0</v>
      </c>
      <c r="AE67" s="2" t="n"/>
      <c r="AF67" s="2" t="inlineStr">
        <is>
          <t>我们配票（经俊兴）</t>
        </is>
      </c>
      <c r="AG67" s="10" t="n">
        <v>180018.32</v>
      </c>
      <c r="AH67" s="2" t="inlineStr">
        <is>
          <t>—</t>
        </is>
      </c>
      <c r="AI67" s="2" t="inlineStr">
        <is>
          <t>待登记</t>
        </is>
      </c>
      <c r="AJ67" s="2" t="inlineStr">
        <is>
          <t>未开始(前一环节未完成)</t>
        </is>
      </c>
      <c r="AK67" s="2" t="inlineStr">
        <is>
          <t>—</t>
        </is>
      </c>
      <c r="AL67" s="2" t="inlineStr">
        <is>
          <t>未开始(前一环节未完成)</t>
        </is>
      </c>
      <c r="AM67" s="10" t="n">
        <v>0</v>
      </c>
      <c r="AN67" s="8" t="n">
        <v>46277</v>
      </c>
      <c r="AO67" s="2" t="inlineStr">
        <is>
          <t>2026-09</t>
        </is>
      </c>
      <c r="AP67" s="9" t="n">
        <v>2.1</v>
      </c>
      <c r="AQ67" s="2" t="inlineStr">
        <is>
          <t>台账历史数据-已出结算单（具体单号未录入）</t>
        </is>
      </c>
      <c r="AR67" s="2" t="inlineStr">
        <is>
          <t>华西特钢</t>
        </is>
      </c>
      <c r="AS67" s="2" t="inlineStr">
        <is>
          <t>华西-欧冶户头</t>
        </is>
      </c>
      <c r="AT67" s="2" t="n"/>
      <c r="AU67" s="2" t="inlineStr">
        <is>
          <t>由台账 Excel 历史数据自动导入（8.19付款明细-欧冶物宝1.xlsx 第89行），日期为过磅日期近似值 [原货主:林凯]</t>
        </is>
      </c>
    </row>
    <row r="68">
      <c r="A68" s="2" t="n">
        <v>66</v>
      </c>
      <c r="B68" s="8" t="n">
        <v>46277</v>
      </c>
      <c r="C68" s="2" t="inlineStr">
        <is>
          <t>苏DBE075</t>
        </is>
      </c>
      <c r="D68" s="2" t="inlineStr">
        <is>
          <t>车</t>
        </is>
      </c>
      <c r="E68" s="2" t="inlineStr">
        <is>
          <t>带票带货</t>
        </is>
      </c>
      <c r="F68" s="2" t="inlineStr">
        <is>
          <t>户头通道</t>
        </is>
      </c>
      <c r="G68" s="2" t="inlineStr">
        <is>
          <t>林凯</t>
        </is>
      </c>
      <c r="H68" s="2" t="inlineStr">
        <is>
          <t>𠓾景通</t>
        </is>
      </c>
      <c r="I68" s="2" t="inlineStr">
        <is>
          <t>俊兴</t>
        </is>
      </c>
      <c r="J68" s="2" t="inlineStr">
        <is>
          <t>已结算</t>
        </is>
      </c>
      <c r="K68" s="9" t="n">
        <v>78.04000000000001</v>
      </c>
      <c r="L68" s="10" t="n">
        <v>200062.8</v>
      </c>
      <c r="M68" s="11">
        <f>Q68+S68-AA68-AC68-AD68</f>
        <v/>
      </c>
      <c r="N68" s="12">
        <f>IF(K68=0,0,M68/K68)</f>
        <v/>
      </c>
      <c r="O68" s="10" t="n">
        <v>0</v>
      </c>
      <c r="P68" s="12" t="n">
        <v>40</v>
      </c>
      <c r="Q68" s="10" t="n">
        <v>3121.6</v>
      </c>
      <c r="R68" s="12" t="n">
        <v>25</v>
      </c>
      <c r="S68" s="10" t="n">
        <v>1951</v>
      </c>
      <c r="T68" s="12" t="n"/>
      <c r="U68" s="10" t="n"/>
      <c r="V68" s="12" t="n">
        <v>23</v>
      </c>
      <c r="W68" s="10" t="n">
        <v>1794.92</v>
      </c>
      <c r="X68" s="10" t="n"/>
      <c r="Y68" s="12" t="n"/>
      <c r="Z68" s="10" t="n"/>
      <c r="AA68" s="10" t="n">
        <v>1794.92</v>
      </c>
      <c r="AB68" s="12" t="n">
        <v>15</v>
      </c>
      <c r="AC68" s="10" t="n">
        <v>1170.6</v>
      </c>
      <c r="AD68" s="10" t="n">
        <v>500</v>
      </c>
      <c r="AE68" s="2" t="n"/>
      <c r="AF68" s="2" t="inlineStr">
        <is>
          <t>我们配票（经俊兴）</t>
        </is>
      </c>
      <c r="AG68" s="10" t="n">
        <v>198267.88</v>
      </c>
      <c r="AH68" s="2" t="inlineStr">
        <is>
          <t>—</t>
        </is>
      </c>
      <c r="AI68" s="2" t="inlineStr">
        <is>
          <t>待登记</t>
        </is>
      </c>
      <c r="AJ68" s="2" t="inlineStr">
        <is>
          <t>未开始(前一环节未完成)</t>
        </is>
      </c>
      <c r="AK68" s="2" t="inlineStr">
        <is>
          <t>—</t>
        </is>
      </c>
      <c r="AL68" s="2" t="inlineStr">
        <is>
          <t>未开始(前一环节未完成)</t>
        </is>
      </c>
      <c r="AM68" s="10" t="n">
        <v>0</v>
      </c>
      <c r="AN68" s="8" t="n">
        <v>46277</v>
      </c>
      <c r="AO68" s="2" t="inlineStr">
        <is>
          <t>2026-09</t>
        </is>
      </c>
      <c r="AP68" s="9" t="n">
        <v>0.6</v>
      </c>
      <c r="AQ68" s="2" t="inlineStr">
        <is>
          <t>台账历史数据-已出结算单（具体单号未录入）</t>
        </is>
      </c>
      <c r="AR68" s="2" t="inlineStr">
        <is>
          <t>华西特钢</t>
        </is>
      </c>
      <c r="AS68" s="2" t="inlineStr">
        <is>
          <t>华西-欧冶户头</t>
        </is>
      </c>
      <c r="AT68" s="2" t="n"/>
      <c r="AU68" s="2" t="inlineStr">
        <is>
          <t>由台账 Excel 历史数据自动导入（8.19付款明细-欧冶物宝1.xlsx 第90行），日期为过磅日期近似值 [原货主:林凯]</t>
        </is>
      </c>
    </row>
    <row r="69">
      <c r="A69" s="2" t="n">
        <v>67</v>
      </c>
      <c r="B69" s="8" t="n">
        <v>46277</v>
      </c>
      <c r="C69" s="2" t="inlineStr">
        <is>
          <t>皖F30399</t>
        </is>
      </c>
      <c r="D69" s="2" t="inlineStr">
        <is>
          <t>车</t>
        </is>
      </c>
      <c r="E69" s="2" t="inlineStr">
        <is>
          <t>配票/反向</t>
        </is>
      </c>
      <c r="F69" s="2" t="inlineStr">
        <is>
          <t>配票</t>
        </is>
      </c>
      <c r="G69" s="2" t="inlineStr">
        <is>
          <t>邓晶焱</t>
        </is>
      </c>
      <c r="H69" s="2" t="inlineStr">
        <is>
          <t>邓晶焱车队</t>
        </is>
      </c>
      <c r="I69" s="2" t="inlineStr">
        <is>
          <t>俊兴</t>
        </is>
      </c>
      <c r="J69" s="2" t="inlineStr">
        <is>
          <t>已结算</t>
        </is>
      </c>
      <c r="K69" s="9" t="n">
        <v>39.17</v>
      </c>
      <c r="L69" s="10" t="n">
        <v>94008</v>
      </c>
      <c r="M69" s="11">
        <f>Q69+S69-AA69-AC69-AD69</f>
        <v/>
      </c>
      <c r="N69" s="12">
        <f>IF(K69=0,0,M69/K69)</f>
        <v/>
      </c>
      <c r="O69" s="10" t="n">
        <v>0</v>
      </c>
      <c r="P69" s="12" t="n"/>
      <c r="Q69" s="10" t="n">
        <v>0</v>
      </c>
      <c r="R69" s="12" t="n">
        <v>25</v>
      </c>
      <c r="S69" s="10" t="n">
        <v>979.25</v>
      </c>
      <c r="T69" s="12" t="n">
        <v>14</v>
      </c>
      <c r="U69" s="10" t="n">
        <v>80846.88</v>
      </c>
      <c r="V69" s="12" t="n">
        <v>23</v>
      </c>
      <c r="W69" s="10" t="n">
        <v>900.9100000000001</v>
      </c>
      <c r="X69" s="10" t="n">
        <v>93107.09</v>
      </c>
      <c r="Y69" s="12" t="n">
        <v>13.5</v>
      </c>
      <c r="Z69" s="10" t="n">
        <v>80537.63284999999</v>
      </c>
      <c r="AA69" s="10" t="n">
        <v>309.2471500000102</v>
      </c>
      <c r="AB69" s="12" t="n">
        <v>0</v>
      </c>
      <c r="AC69" s="10" t="n">
        <v>0</v>
      </c>
      <c r="AD69" s="10" t="n">
        <v>0</v>
      </c>
      <c r="AE69" s="2" t="n"/>
      <c r="AF69" s="2" t="inlineStr">
        <is>
          <t>我们配票（经俊兴）</t>
        </is>
      </c>
      <c r="AG69" s="10" t="n">
        <v>93107.09</v>
      </c>
      <c r="AH69" s="2" t="inlineStr">
        <is>
          <t>—</t>
        </is>
      </c>
      <c r="AI69" s="2" t="inlineStr">
        <is>
          <t>待登记</t>
        </is>
      </c>
      <c r="AJ69" s="2" t="inlineStr">
        <is>
          <t>未开始(前一环节未完成)</t>
        </is>
      </c>
      <c r="AK69" s="2" t="inlineStr">
        <is>
          <t>—</t>
        </is>
      </c>
      <c r="AL69" s="2" t="inlineStr">
        <is>
          <t>未开始(前一环节未完成)</t>
        </is>
      </c>
      <c r="AM69" s="10" t="n">
        <v>0</v>
      </c>
      <c r="AN69" s="8" t="n">
        <v>46277</v>
      </c>
      <c r="AO69" s="2" t="inlineStr">
        <is>
          <t>2026-09</t>
        </is>
      </c>
      <c r="AP69" s="9" t="n">
        <v>0.55</v>
      </c>
      <c r="AQ69" s="2" t="inlineStr">
        <is>
          <t>台账历史数据-已出结算单（具体单号未录入）</t>
        </is>
      </c>
      <c r="AR69" s="2" t="inlineStr">
        <is>
          <t>华西特钢</t>
        </is>
      </c>
      <c r="AS69" s="2" t="inlineStr">
        <is>
          <t>华西-欧冶户头</t>
        </is>
      </c>
      <c r="AT69" s="2" t="n"/>
      <c r="AU69" s="2" t="inlineStr">
        <is>
          <t>由台账 Excel 历史数据自动导入（8.19付款明细-欧冶物宝1.xlsx 第91行），日期为过磅日期近似值 [原货主:邓晶焱]</t>
        </is>
      </c>
    </row>
    <row r="70">
      <c r="A70" s="2" t="n">
        <v>68</v>
      </c>
      <c r="B70" s="8" t="n">
        <v>46277</v>
      </c>
      <c r="C70" s="2" t="inlineStr">
        <is>
          <t>苏DBE075</t>
        </is>
      </c>
      <c r="D70" s="2" t="inlineStr">
        <is>
          <t>车</t>
        </is>
      </c>
      <c r="E70" s="2" t="inlineStr">
        <is>
          <t>带票带货</t>
        </is>
      </c>
      <c r="F70" s="2" t="inlineStr">
        <is>
          <t>户头通道</t>
        </is>
      </c>
      <c r="G70" s="2" t="inlineStr">
        <is>
          <t>林凯</t>
        </is>
      </c>
      <c r="H70" s="2" t="inlineStr">
        <is>
          <t>君盛</t>
        </is>
      </c>
      <c r="I70" s="2" t="inlineStr">
        <is>
          <t>俊兴</t>
        </is>
      </c>
      <c r="J70" s="2" t="inlineStr">
        <is>
          <t>已结算</t>
        </is>
      </c>
      <c r="K70" s="9" t="n">
        <v>65.44</v>
      </c>
      <c r="L70" s="10" t="n">
        <v>147240</v>
      </c>
      <c r="M70" s="11">
        <f>Q70+S70-AA70-AC70-AD70</f>
        <v/>
      </c>
      <c r="N70" s="12">
        <f>IF(K70=0,0,M70/K70)</f>
        <v/>
      </c>
      <c r="O70" s="10" t="n">
        <v>0</v>
      </c>
      <c r="P70" s="12" t="n">
        <v>40</v>
      </c>
      <c r="Q70" s="10" t="n">
        <v>2617.6</v>
      </c>
      <c r="R70" s="12" t="n">
        <v>25</v>
      </c>
      <c r="S70" s="10" t="n">
        <v>1636</v>
      </c>
      <c r="T70" s="12" t="n"/>
      <c r="U70" s="10" t="n"/>
      <c r="V70" s="12" t="n">
        <v>23</v>
      </c>
      <c r="W70" s="10" t="n">
        <v>1505.12</v>
      </c>
      <c r="X70" s="10" t="n"/>
      <c r="Y70" s="12" t="n"/>
      <c r="Z70" s="10" t="n"/>
      <c r="AA70" s="10" t="n">
        <v>1505.12</v>
      </c>
      <c r="AB70" s="12" t="n">
        <v>15</v>
      </c>
      <c r="AC70" s="10" t="n">
        <v>981.5999999999999</v>
      </c>
      <c r="AD70" s="10" t="n">
        <v>0</v>
      </c>
      <c r="AE70" s="2" t="n"/>
      <c r="AF70" s="2" t="inlineStr">
        <is>
          <t>我们配票（经俊兴）</t>
        </is>
      </c>
      <c r="AG70" s="10" t="n">
        <v>145734.88</v>
      </c>
      <c r="AH70" s="2" t="inlineStr">
        <is>
          <t>—</t>
        </is>
      </c>
      <c r="AI70" s="2" t="inlineStr">
        <is>
          <t>待登记</t>
        </is>
      </c>
      <c r="AJ70" s="2" t="inlineStr">
        <is>
          <t>未开始(前一环节未完成)</t>
        </is>
      </c>
      <c r="AK70" s="2" t="inlineStr">
        <is>
          <t>—</t>
        </is>
      </c>
      <c r="AL70" s="2" t="inlineStr">
        <is>
          <t>未开始(前一环节未完成)</t>
        </is>
      </c>
      <c r="AM70" s="10" t="n">
        <v>0</v>
      </c>
      <c r="AN70" s="8" t="n">
        <v>46277</v>
      </c>
      <c r="AO70" s="2" t="inlineStr">
        <is>
          <t>2026-09</t>
        </is>
      </c>
      <c r="AP70" s="9" t="n">
        <v>2</v>
      </c>
      <c r="AQ70" s="2" t="inlineStr">
        <is>
          <t>台账历史数据-已出结算单（具体单号未录入）</t>
        </is>
      </c>
      <c r="AR70" s="2" t="inlineStr">
        <is>
          <t>华西特钢</t>
        </is>
      </c>
      <c r="AS70" s="2" t="inlineStr">
        <is>
          <t>华西-欧冶户头</t>
        </is>
      </c>
      <c r="AT70" s="2" t="n"/>
      <c r="AU70" s="2" t="inlineStr">
        <is>
          <t>由台账 Excel 历史数据自动导入（8.19付款明细-欧冶物宝1.xlsx 第92行），日期为过磅日期近似值 [原货主:林凯]</t>
        </is>
      </c>
    </row>
    <row r="71">
      <c r="A71" s="2" t="n">
        <v>69</v>
      </c>
      <c r="B71" s="8" t="n">
        <v>46279</v>
      </c>
      <c r="C71" s="2" t="inlineStr">
        <is>
          <t>苏DBB772</t>
        </is>
      </c>
      <c r="D71" s="2" t="inlineStr">
        <is>
          <t>车</t>
        </is>
      </c>
      <c r="E71" s="2" t="inlineStr">
        <is>
          <t>配票/反向</t>
        </is>
      </c>
      <c r="F71" s="2" t="inlineStr">
        <is>
          <t>配票</t>
        </is>
      </c>
      <c r="G71" s="2" t="inlineStr">
        <is>
          <t>林凯</t>
        </is>
      </c>
      <c r="H71" s="2" t="inlineStr">
        <is>
          <t>林凯车队</t>
        </is>
      </c>
      <c r="I71" s="2" t="inlineStr">
        <is>
          <t>俊兴</t>
        </is>
      </c>
      <c r="J71" s="2" t="inlineStr">
        <is>
          <t>已结算</t>
        </is>
      </c>
      <c r="K71" s="9" t="n">
        <v>60.9</v>
      </c>
      <c r="L71" s="10" t="n">
        <v>137025</v>
      </c>
      <c r="M71" s="11">
        <f>Q71+S71-AA71-AC71-AD71</f>
        <v/>
      </c>
      <c r="N71" s="12">
        <f>IF(K71=0,0,M71/K71)</f>
        <v/>
      </c>
      <c r="O71" s="10" t="n">
        <v>0</v>
      </c>
      <c r="P71" s="12" t="n"/>
      <c r="Q71" s="10" t="n">
        <v>0</v>
      </c>
      <c r="R71" s="12" t="n">
        <v>25</v>
      </c>
      <c r="S71" s="10" t="n">
        <v>1522.5</v>
      </c>
      <c r="T71" s="12" t="n">
        <v>14</v>
      </c>
      <c r="U71" s="10" t="n">
        <v>117841.5</v>
      </c>
      <c r="V71" s="12" t="n">
        <v>23</v>
      </c>
      <c r="W71" s="10" t="n">
        <v>1400.7</v>
      </c>
      <c r="X71" s="10" t="n">
        <v>135624.3</v>
      </c>
      <c r="Y71" s="12" t="n">
        <v>13.5</v>
      </c>
      <c r="Z71" s="10" t="n">
        <v>117315.0195</v>
      </c>
      <c r="AA71" s="10" t="n">
        <v>526.4805000000051</v>
      </c>
      <c r="AB71" s="12" t="n">
        <v>0</v>
      </c>
      <c r="AC71" s="10" t="n">
        <v>0</v>
      </c>
      <c r="AD71" s="10" t="n">
        <v>0</v>
      </c>
      <c r="AE71" s="2" t="n"/>
      <c r="AF71" s="2" t="inlineStr">
        <is>
          <t>我们配票（经俊兴）</t>
        </is>
      </c>
      <c r="AG71" s="10" t="n">
        <v>135624.3</v>
      </c>
      <c r="AH71" s="2" t="inlineStr">
        <is>
          <t>—</t>
        </is>
      </c>
      <c r="AI71" s="2" t="inlineStr">
        <is>
          <t>待登记</t>
        </is>
      </c>
      <c r="AJ71" s="2" t="inlineStr">
        <is>
          <t>未开始(前一环节未完成)</t>
        </is>
      </c>
      <c r="AK71" s="2" t="inlineStr">
        <is>
          <t>—</t>
        </is>
      </c>
      <c r="AL71" s="2" t="inlineStr">
        <is>
          <t>未开始(前一环节未完成)</t>
        </is>
      </c>
      <c r="AM71" s="10" t="n">
        <v>0</v>
      </c>
      <c r="AN71" s="8" t="n">
        <v>46279</v>
      </c>
      <c r="AO71" s="2" t="inlineStr">
        <is>
          <t>2026-09</t>
        </is>
      </c>
      <c r="AP71" s="9" t="n">
        <v>1.7</v>
      </c>
      <c r="AQ71" s="2" t="inlineStr">
        <is>
          <t>台账历史数据-已出结算单（具体单号未录入）</t>
        </is>
      </c>
      <c r="AR71" s="2" t="inlineStr">
        <is>
          <t>华西特钢</t>
        </is>
      </c>
      <c r="AS71" s="2" t="inlineStr">
        <is>
          <t>华西-欧冶户头</t>
        </is>
      </c>
      <c r="AT71" s="2" t="n"/>
      <c r="AU71" s="2" t="inlineStr">
        <is>
          <t>由台账 Excel 历史数据自动导入（8.19付款明细-欧冶物宝1.xlsx 第93行），日期为过磅日期近似值 [原货主:林凯]</t>
        </is>
      </c>
    </row>
    <row r="72">
      <c r="A72" s="2" t="n">
        <v>70</v>
      </c>
      <c r="B72" s="8" t="n">
        <v>46279</v>
      </c>
      <c r="C72" s="2" t="inlineStr">
        <is>
          <t>苏DBE961</t>
        </is>
      </c>
      <c r="D72" s="2" t="inlineStr">
        <is>
          <t>车</t>
        </is>
      </c>
      <c r="E72" s="2" t="inlineStr">
        <is>
          <t>带票带货</t>
        </is>
      </c>
      <c r="F72" s="2" t="inlineStr">
        <is>
          <t>户头通道</t>
        </is>
      </c>
      <c r="G72" s="2" t="inlineStr">
        <is>
          <t>林凯</t>
        </is>
      </c>
      <c r="H72" s="2" t="inlineStr">
        <is>
          <t>力拓</t>
        </is>
      </c>
      <c r="I72" s="2" t="inlineStr">
        <is>
          <t>俊兴</t>
        </is>
      </c>
      <c r="J72" s="2" t="inlineStr">
        <is>
          <t>已结算</t>
        </is>
      </c>
      <c r="K72" s="9" t="n">
        <v>75.88</v>
      </c>
      <c r="L72" s="10" t="n">
        <v>191976.4</v>
      </c>
      <c r="M72" s="11">
        <f>Q72+S72-AA72-AC72-AD72</f>
        <v/>
      </c>
      <c r="N72" s="12">
        <f>IF(K72=0,0,M72/K72)</f>
        <v/>
      </c>
      <c r="O72" s="10" t="n">
        <v>0</v>
      </c>
      <c r="P72" s="12" t="n">
        <v>40</v>
      </c>
      <c r="Q72" s="10" t="n">
        <v>3035.2</v>
      </c>
      <c r="R72" s="12" t="n">
        <v>25</v>
      </c>
      <c r="S72" s="10" t="n">
        <v>1897</v>
      </c>
      <c r="T72" s="12" t="n"/>
      <c r="U72" s="10" t="n"/>
      <c r="V72" s="12" t="n">
        <v>23</v>
      </c>
      <c r="W72" s="10" t="n">
        <v>1745.24</v>
      </c>
      <c r="X72" s="10" t="n"/>
      <c r="Y72" s="12" t="n"/>
      <c r="Z72" s="10" t="n"/>
      <c r="AA72" s="10" t="n">
        <v>1745.24</v>
      </c>
      <c r="AB72" s="12" t="n">
        <v>15</v>
      </c>
      <c r="AC72" s="10" t="n">
        <v>1138.2</v>
      </c>
      <c r="AD72" s="10" t="n">
        <v>0</v>
      </c>
      <c r="AE72" s="2" t="n"/>
      <c r="AF72" s="2" t="inlineStr">
        <is>
          <t>我们配票（经俊兴）</t>
        </is>
      </c>
      <c r="AG72" s="10" t="n">
        <v>190231.16</v>
      </c>
      <c r="AH72" s="2" t="inlineStr">
        <is>
          <t>—</t>
        </is>
      </c>
      <c r="AI72" s="2" t="inlineStr">
        <is>
          <t>待登记</t>
        </is>
      </c>
      <c r="AJ72" s="2" t="inlineStr">
        <is>
          <t>未开始(前一环节未完成)</t>
        </is>
      </c>
      <c r="AK72" s="2" t="inlineStr">
        <is>
          <t>—</t>
        </is>
      </c>
      <c r="AL72" s="2" t="inlineStr">
        <is>
          <t>未开始(前一环节未完成)</t>
        </is>
      </c>
      <c r="AM72" s="10" t="n">
        <v>0</v>
      </c>
      <c r="AN72" s="8" t="n">
        <v>46279</v>
      </c>
      <c r="AO72" s="2" t="inlineStr">
        <is>
          <t>2026-09</t>
        </is>
      </c>
      <c r="AP72" s="9" t="n">
        <v>0.7</v>
      </c>
      <c r="AQ72" s="2" t="inlineStr">
        <is>
          <t>台账历史数据-已出结算单（具体单号未录入）</t>
        </is>
      </c>
      <c r="AR72" s="2" t="inlineStr">
        <is>
          <t>华西特钢</t>
        </is>
      </c>
      <c r="AS72" s="2" t="inlineStr">
        <is>
          <t>华西-欧冶户头</t>
        </is>
      </c>
      <c r="AT72" s="2" t="n"/>
      <c r="AU72" s="2" t="inlineStr">
        <is>
          <t>由台账 Excel 历史数据自动导入（8.19付款明细-欧冶物宝1.xlsx 第94行），日期为过磅日期近似值 [原货主:林凯]</t>
        </is>
      </c>
    </row>
    <row r="73">
      <c r="A73" s="2" t="n">
        <v>71</v>
      </c>
      <c r="B73" s="8" t="n">
        <v>46279</v>
      </c>
      <c r="C73" s="2" t="inlineStr">
        <is>
          <t>鲁DC6106</t>
        </is>
      </c>
      <c r="D73" s="2" t="inlineStr">
        <is>
          <t>车</t>
        </is>
      </c>
      <c r="E73" s="2" t="inlineStr">
        <is>
          <t>带票带货</t>
        </is>
      </c>
      <c r="F73" s="2" t="inlineStr">
        <is>
          <t>户头通道</t>
        </is>
      </c>
      <c r="G73" s="2" t="inlineStr">
        <is>
          <t>邓晶焱</t>
        </is>
      </c>
      <c r="H73" s="2" t="inlineStr">
        <is>
          <t>邓晶焱车队</t>
        </is>
      </c>
      <c r="I73" s="2" t="inlineStr">
        <is>
          <t>煌烽</t>
        </is>
      </c>
      <c r="J73" s="2" t="inlineStr">
        <is>
          <t>已结算</t>
        </is>
      </c>
      <c r="K73" s="9" t="n">
        <v>44.52</v>
      </c>
      <c r="L73" s="10" t="n">
        <v>103286.4</v>
      </c>
      <c r="M73" s="11">
        <f>Q73+S73-AA73-AC73-AD73</f>
        <v/>
      </c>
      <c r="N73" s="12">
        <f>IF(K73=0,0,M73/K73)</f>
        <v/>
      </c>
      <c r="O73" s="10" t="n">
        <v>0</v>
      </c>
      <c r="P73" s="12" t="n">
        <v>18.56000000000016</v>
      </c>
      <c r="Q73" s="10" t="n">
        <v>826.2912000000071</v>
      </c>
      <c r="R73" s="12" t="n">
        <v>25</v>
      </c>
      <c r="S73" s="10" t="n">
        <v>1113</v>
      </c>
      <c r="T73" s="12" t="n"/>
      <c r="U73" s="10" t="n"/>
      <c r="V73" s="12" t="n">
        <v>23</v>
      </c>
      <c r="W73" s="10" t="n">
        <v>1023.96</v>
      </c>
      <c r="X73" s="10" t="n"/>
      <c r="Y73" s="12" t="n"/>
      <c r="Z73" s="10" t="n"/>
      <c r="AA73" s="10" t="n">
        <v>1023.96</v>
      </c>
      <c r="AB73" s="12" t="n">
        <v>0</v>
      </c>
      <c r="AC73" s="10" t="n">
        <v>0</v>
      </c>
      <c r="AD73" s="10" t="n">
        <v>0</v>
      </c>
      <c r="AE73" s="2" t="n"/>
      <c r="AF73" s="2" t="inlineStr">
        <is>
          <t>票商/反向 → 供货厂 → 欧冶</t>
        </is>
      </c>
      <c r="AG73" s="10" t="n">
        <v>102262.44</v>
      </c>
      <c r="AH73" s="2" t="inlineStr">
        <is>
          <t>待登记</t>
        </is>
      </c>
      <c r="AI73" s="2" t="inlineStr">
        <is>
          <t>待登记</t>
        </is>
      </c>
      <c r="AJ73" s="2" t="inlineStr">
        <is>
          <t>未开始(前一环节未完成)</t>
        </is>
      </c>
      <c r="AK73" s="2" t="inlineStr">
        <is>
          <t>未开始(前一环节未完成)</t>
        </is>
      </c>
      <c r="AL73" s="2" t="inlineStr">
        <is>
          <t>—</t>
        </is>
      </c>
      <c r="AM73" s="10" t="n">
        <v>0</v>
      </c>
      <c r="AN73" s="8" t="n">
        <v>46279</v>
      </c>
      <c r="AO73" s="2" t="inlineStr">
        <is>
          <t>2026-09</t>
        </is>
      </c>
      <c r="AP73" s="9" t="n">
        <v>0.9</v>
      </c>
      <c r="AQ73" s="2" t="inlineStr">
        <is>
          <t>台账历史数据-已出结算单（具体单号未录入）</t>
        </is>
      </c>
      <c r="AR73" s="2" t="inlineStr">
        <is>
          <t>华西特钢</t>
        </is>
      </c>
      <c r="AS73" s="2" t="inlineStr">
        <is>
          <t>华西-欧冶户头</t>
        </is>
      </c>
      <c r="AT73" s="2" t="n"/>
      <c r="AU73" s="2" t="inlineStr">
        <is>
          <t>由台账 Excel 历史数据自动导入（8.19付款明细-欧冶物宝1.xlsx 第95行），日期为过磅日期近似值 [原货主:邓晶焱]</t>
        </is>
      </c>
    </row>
    <row r="74">
      <c r="A74" s="2" t="n">
        <v>72</v>
      </c>
      <c r="B74" s="8" t="n">
        <v>46279</v>
      </c>
      <c r="C74" s="2" t="inlineStr">
        <is>
          <t>苏J19371</t>
        </is>
      </c>
      <c r="D74" s="2" t="inlineStr">
        <is>
          <t>车</t>
        </is>
      </c>
      <c r="E74" s="2" t="inlineStr">
        <is>
          <t>带票带货</t>
        </is>
      </c>
      <c r="F74" s="2" t="inlineStr">
        <is>
          <t>户头通道</t>
        </is>
      </c>
      <c r="G74" s="2" t="inlineStr">
        <is>
          <t>闫东朋</t>
        </is>
      </c>
      <c r="H74" s="2" t="inlineStr">
        <is>
          <t>闫东朋车队</t>
        </is>
      </c>
      <c r="I74" s="2" t="inlineStr">
        <is>
          <t>反向-闫东朋</t>
        </is>
      </c>
      <c r="J74" s="2" t="inlineStr">
        <is>
          <t>已结算</t>
        </is>
      </c>
      <c r="K74" s="9" t="n">
        <v>78.36</v>
      </c>
      <c r="L74" s="10" t="n">
        <v>198250.8</v>
      </c>
      <c r="M74" s="11">
        <f>Q74+S74-AA74-AC74-AD74</f>
        <v/>
      </c>
      <c r="N74" s="12">
        <f>IF(K74=0,0,M74/K74)</f>
        <v/>
      </c>
      <c r="O74" s="10" t="n">
        <v>0</v>
      </c>
      <c r="P74" s="12" t="n">
        <v>28.06</v>
      </c>
      <c r="Q74" s="10" t="n">
        <v>2198.7816</v>
      </c>
      <c r="R74" s="12" t="n">
        <v>25</v>
      </c>
      <c r="S74" s="10" t="n">
        <v>1959</v>
      </c>
      <c r="T74" s="12" t="n"/>
      <c r="U74" s="10" t="n"/>
      <c r="V74" s="12" t="n">
        <v>23</v>
      </c>
      <c r="W74" s="10" t="n">
        <v>1802.28</v>
      </c>
      <c r="X74" s="10" t="n"/>
      <c r="Y74" s="12" t="n"/>
      <c r="Z74" s="10" t="n"/>
      <c r="AA74" s="10" t="n">
        <v>1802.28</v>
      </c>
      <c r="AB74" s="12" t="n">
        <v>0</v>
      </c>
      <c r="AC74" s="10" t="n">
        <v>0</v>
      </c>
      <c r="AD74" s="10" t="n">
        <v>0</v>
      </c>
      <c r="AE74" s="2" t="n"/>
      <c r="AF74" s="2" t="inlineStr">
        <is>
          <t>票商/反向 → 供货厂 → 欧冶</t>
        </is>
      </c>
      <c r="AG74" s="10" t="n">
        <v>196448.52</v>
      </c>
      <c r="AH74" s="2" t="inlineStr">
        <is>
          <t>待登记</t>
        </is>
      </c>
      <c r="AI74" s="2" t="inlineStr">
        <is>
          <t>待登记</t>
        </is>
      </c>
      <c r="AJ74" s="2" t="inlineStr">
        <is>
          <t>未开始(前一环节未完成)</t>
        </is>
      </c>
      <c r="AK74" s="2" t="inlineStr">
        <is>
          <t>未开始(前一环节未完成)</t>
        </is>
      </c>
      <c r="AL74" s="2" t="inlineStr">
        <is>
          <t>—</t>
        </is>
      </c>
      <c r="AM74" s="10" t="n">
        <v>0</v>
      </c>
      <c r="AN74" s="8" t="n">
        <v>46279</v>
      </c>
      <c r="AO74" s="2" t="inlineStr">
        <is>
          <t>2026-09</t>
        </is>
      </c>
      <c r="AP74" s="9" t="n">
        <v>0.5</v>
      </c>
      <c r="AQ74" s="2" t="inlineStr">
        <is>
          <t>台账历史数据-已出结算单（具体单号未录入）</t>
        </is>
      </c>
      <c r="AR74" s="2" t="inlineStr">
        <is>
          <t>华西特钢</t>
        </is>
      </c>
      <c r="AS74" s="2" t="inlineStr">
        <is>
          <t>华西-欧冶户头</t>
        </is>
      </c>
      <c r="AT74" s="2" t="n"/>
      <c r="AU74" s="2" t="inlineStr">
        <is>
          <t>由台账 Excel 历史数据自动导入（8.19付款明细-欧冶物宝1.xlsx 第96行），日期为过磅日期近似值 [原货主:闫东朋]</t>
        </is>
      </c>
    </row>
    <row r="75">
      <c r="A75" s="2" t="n">
        <v>73</v>
      </c>
      <c r="B75" s="8" t="n">
        <v>46280</v>
      </c>
      <c r="C75" s="2" t="inlineStr">
        <is>
          <t>苏ELU629</t>
        </is>
      </c>
      <c r="D75" s="2" t="inlineStr">
        <is>
          <t>车</t>
        </is>
      </c>
      <c r="E75" s="2" t="inlineStr">
        <is>
          <t>配票/反向</t>
        </is>
      </c>
      <c r="F75" s="2" t="inlineStr">
        <is>
          <t>配票</t>
        </is>
      </c>
      <c r="G75" s="2" t="n"/>
      <c r="H75" s="2" t="inlineStr">
        <is>
          <t>未填供货厂</t>
        </is>
      </c>
      <c r="I75" s="2" t="inlineStr">
        <is>
          <t>煌烽</t>
        </is>
      </c>
      <c r="J75" s="2" t="inlineStr">
        <is>
          <t>已结算</t>
        </is>
      </c>
      <c r="K75" s="9" t="n">
        <v>34.42</v>
      </c>
      <c r="L75" s="10" t="n">
        <v>82263.8</v>
      </c>
      <c r="M75" s="11">
        <f>Q75+S75-AA75-AC75-AD75</f>
        <v/>
      </c>
      <c r="N75" s="12">
        <f>IF(K75=0,0,M75/K75)</f>
        <v/>
      </c>
      <c r="O75" s="10" t="n">
        <v>0</v>
      </c>
      <c r="P75" s="12" t="n"/>
      <c r="Q75" s="10" t="n">
        <v>0</v>
      </c>
      <c r="R75" s="12" t="n">
        <v>25</v>
      </c>
      <c r="S75" s="10" t="n">
        <v>860.5</v>
      </c>
      <c r="T75" s="12" t="n">
        <v>14</v>
      </c>
      <c r="U75" s="10" t="n">
        <v>70746.868</v>
      </c>
      <c r="V75" s="12" t="n">
        <v>23</v>
      </c>
      <c r="W75" s="10" t="n">
        <v>791.6600000000001</v>
      </c>
      <c r="X75" s="10" t="n">
        <v>81472.14</v>
      </c>
      <c r="Y75" s="12" t="n">
        <v>13.2</v>
      </c>
      <c r="Z75" s="10" t="n">
        <v>70717.81752</v>
      </c>
      <c r="AA75" s="10" t="n">
        <v>29.05048000000534</v>
      </c>
      <c r="AB75" s="12" t="n">
        <v>0</v>
      </c>
      <c r="AC75" s="10" t="n">
        <v>0</v>
      </c>
      <c r="AD75" s="10" t="n">
        <v>0</v>
      </c>
      <c r="AE75" s="2" t="n"/>
      <c r="AF75" s="2" t="inlineStr">
        <is>
          <t>我们配票（经俊兴）</t>
        </is>
      </c>
      <c r="AG75" s="10" t="n">
        <v>81472.14</v>
      </c>
      <c r="AH75" s="2" t="inlineStr">
        <is>
          <t>待登记</t>
        </is>
      </c>
      <c r="AI75" s="2" t="inlineStr">
        <is>
          <t>待登记</t>
        </is>
      </c>
      <c r="AJ75" s="2" t="inlineStr">
        <is>
          <t>未开始(前一环节未完成)</t>
        </is>
      </c>
      <c r="AK75" s="2" t="inlineStr">
        <is>
          <t>未开始(前一环节未完成)</t>
        </is>
      </c>
      <c r="AL75" s="2" t="inlineStr">
        <is>
          <t>未开始(前一环节未完成)</t>
        </is>
      </c>
      <c r="AM75" s="10" t="n">
        <v>0</v>
      </c>
      <c r="AN75" s="8" t="n">
        <v>46280</v>
      </c>
      <c r="AO75" s="2" t="inlineStr">
        <is>
          <t>2026-09</t>
        </is>
      </c>
      <c r="AP75" s="9" t="n">
        <v>0.3</v>
      </c>
      <c r="AQ75" s="2" t="n"/>
      <c r="AR75" s="2" t="inlineStr">
        <is>
          <t>华西特钢</t>
        </is>
      </c>
      <c r="AS75" s="2" t="inlineStr">
        <is>
          <t>华西-欧冶户头</t>
        </is>
      </c>
      <c r="AT75" s="2" t="n"/>
      <c r="AU75" s="2" t="inlineStr">
        <is>
          <t>2026-09-18由用户提供的台账数据人工核对后录入（Claude协助整理，用户逐项确认结算模式/供货厂/票源方后导入）</t>
        </is>
      </c>
    </row>
    <row r="76">
      <c r="A76" s="2" t="n">
        <v>74</v>
      </c>
      <c r="B76" s="8" t="n">
        <v>46280</v>
      </c>
      <c r="C76" s="2" t="inlineStr">
        <is>
          <t>苏DBE075</t>
        </is>
      </c>
      <c r="D76" s="2" t="inlineStr">
        <is>
          <t>车</t>
        </is>
      </c>
      <c r="E76" s="2" t="inlineStr">
        <is>
          <t>带票带货</t>
        </is>
      </c>
      <c r="F76" s="2" t="inlineStr">
        <is>
          <t>直签带票</t>
        </is>
      </c>
      <c r="G76" s="2" t="inlineStr">
        <is>
          <t>林凯</t>
        </is>
      </c>
      <c r="H76" s="2" t="inlineStr">
        <is>
          <t>君盛</t>
        </is>
      </c>
      <c r="I76" s="2" t="n"/>
      <c r="J76" s="2" t="inlineStr">
        <is>
          <t>已结算</t>
        </is>
      </c>
      <c r="K76" s="9" t="n">
        <v>31.46</v>
      </c>
      <c r="L76" s="10" t="n">
        <v>70785</v>
      </c>
      <c r="M76" s="11">
        <f>Q76+S76-AA76-AC76-AD76</f>
        <v/>
      </c>
      <c r="N76" s="12">
        <f>IF(K76=0,0,M76/K76)</f>
        <v/>
      </c>
      <c r="O76" s="10" t="n">
        <v>0</v>
      </c>
      <c r="P76" s="12" t="n">
        <v>40</v>
      </c>
      <c r="Q76" s="10" t="n">
        <v>1258.4</v>
      </c>
      <c r="R76" s="12" t="n">
        <v>25</v>
      </c>
      <c r="S76" s="10" t="n">
        <v>786.5</v>
      </c>
      <c r="T76" s="12" t="n"/>
      <c r="U76" s="10" t="n"/>
      <c r="V76" s="12" t="n">
        <v>23</v>
      </c>
      <c r="W76" s="10" t="n">
        <v>723.58</v>
      </c>
      <c r="X76" s="10" t="n"/>
      <c r="Y76" s="12" t="n"/>
      <c r="Z76" s="10" t="n"/>
      <c r="AA76" s="10" t="n">
        <v>723.58</v>
      </c>
      <c r="AB76" s="12" t="n">
        <v>15</v>
      </c>
      <c r="AC76" s="10" t="n">
        <v>471.9</v>
      </c>
      <c r="AD76" s="10" t="n">
        <v>0</v>
      </c>
      <c r="AE76" s="2" t="n"/>
      <c r="AF76" s="2" t="inlineStr">
        <is>
          <t>供货厂自带票（带票带货）</t>
        </is>
      </c>
      <c r="AG76" s="10" t="n">
        <v>70061.42</v>
      </c>
      <c r="AH76" s="2" t="inlineStr">
        <is>
          <t>—</t>
        </is>
      </c>
      <c r="AI76" s="2" t="inlineStr">
        <is>
          <t>待登记</t>
        </is>
      </c>
      <c r="AJ76" s="2" t="inlineStr">
        <is>
          <t>未开始(前一环节未完成)</t>
        </is>
      </c>
      <c r="AK76" s="2" t="inlineStr">
        <is>
          <t>—</t>
        </is>
      </c>
      <c r="AL76" s="2" t="inlineStr">
        <is>
          <t>—</t>
        </is>
      </c>
      <c r="AM76" s="10" t="n">
        <v>0</v>
      </c>
      <c r="AN76" s="8" t="n">
        <v>46280</v>
      </c>
      <c r="AO76" s="2" t="inlineStr">
        <is>
          <t>2026-09</t>
        </is>
      </c>
      <c r="AP76" s="9" t="n">
        <v>0.3</v>
      </c>
      <c r="AQ76" s="2" t="n"/>
      <c r="AR76" s="2" t="inlineStr">
        <is>
          <t>华西特钢</t>
        </is>
      </c>
      <c r="AS76" s="2" t="inlineStr">
        <is>
          <t>华西-欧冶户头</t>
        </is>
      </c>
      <c r="AT76" s="2" t="n"/>
      <c r="AU76" s="2" t="inlineStr">
        <is>
          <t>2026-09-18由用户提供的台账数据人工核对后录入（Claude协助整理，用户逐项确认结算模式/供货厂/票源方后导入）</t>
        </is>
      </c>
    </row>
    <row r="77">
      <c r="A77" s="2" t="n">
        <v>75</v>
      </c>
      <c r="B77" s="8" t="n">
        <v>46280</v>
      </c>
      <c r="C77" s="2" t="inlineStr">
        <is>
          <t>苏L80153</t>
        </is>
      </c>
      <c r="D77" s="2" t="inlineStr">
        <is>
          <t>车</t>
        </is>
      </c>
      <c r="E77" s="2" t="inlineStr">
        <is>
          <t>配票/反向</t>
        </is>
      </c>
      <c r="F77" s="2" t="inlineStr">
        <is>
          <t>反向</t>
        </is>
      </c>
      <c r="G77" s="2" t="inlineStr">
        <is>
          <t>闫东朋</t>
        </is>
      </c>
      <c r="H77" s="2" t="inlineStr">
        <is>
          <t>闫东朋车队</t>
        </is>
      </c>
      <c r="I77" s="2" t="inlineStr">
        <is>
          <t>反向-闫东朋</t>
        </is>
      </c>
      <c r="J77" s="2" t="inlineStr">
        <is>
          <t>已结算</t>
        </is>
      </c>
      <c r="K77" s="9" t="n">
        <v>47.98</v>
      </c>
      <c r="L77" s="10" t="n">
        <v>123308.6</v>
      </c>
      <c r="M77" s="11">
        <f>Q77+S77-AA77-AC77-AD77</f>
        <v/>
      </c>
      <c r="N77" s="12">
        <f>IF(K77=0,0,M77/K77)</f>
        <v/>
      </c>
      <c r="O77" s="10" t="n">
        <v>0</v>
      </c>
      <c r="P77" s="12" t="n"/>
      <c r="Q77" s="10" t="n">
        <v>0</v>
      </c>
      <c r="R77" s="12" t="n">
        <v>25</v>
      </c>
      <c r="S77" s="10" t="n">
        <v>1199.5</v>
      </c>
      <c r="T77" s="12" t="n">
        <v>14</v>
      </c>
      <c r="U77" s="10" t="n">
        <v>106045.396</v>
      </c>
      <c r="V77" s="12" t="n">
        <v>0</v>
      </c>
      <c r="W77" s="10" t="n">
        <v>0</v>
      </c>
      <c r="X77" s="10" t="n">
        <v>123308.6</v>
      </c>
      <c r="Y77" s="12" t="n">
        <v>13.8</v>
      </c>
      <c r="Z77" s="10" t="n">
        <v>106292.0132</v>
      </c>
      <c r="AA77" s="10" t="n">
        <v>-246.6171999999933</v>
      </c>
      <c r="AB77" s="12" t="n">
        <v>0</v>
      </c>
      <c r="AC77" s="10" t="n">
        <v>0</v>
      </c>
      <c r="AD77" s="10" t="n">
        <v>0</v>
      </c>
      <c r="AE77" s="2" t="n"/>
      <c r="AF77" s="2" t="inlineStr">
        <is>
          <t>票商/反向 → 供货厂 → 欧冶</t>
        </is>
      </c>
      <c r="AG77" s="10" t="n">
        <v>123308.6</v>
      </c>
      <c r="AH77" s="2" t="inlineStr">
        <is>
          <t>待登记</t>
        </is>
      </c>
      <c r="AI77" s="2" t="inlineStr">
        <is>
          <t>待登记</t>
        </is>
      </c>
      <c r="AJ77" s="2" t="inlineStr">
        <is>
          <t>未开始(前一环节未完成)</t>
        </is>
      </c>
      <c r="AK77" s="2" t="inlineStr">
        <is>
          <t>未开始(前一环节未完成)</t>
        </is>
      </c>
      <c r="AL77" s="2" t="inlineStr">
        <is>
          <t>—</t>
        </is>
      </c>
      <c r="AM77" s="10" t="n">
        <v>0</v>
      </c>
      <c r="AN77" s="8" t="n">
        <v>46280</v>
      </c>
      <c r="AO77" s="2" t="inlineStr">
        <is>
          <t>2026-09</t>
        </is>
      </c>
      <c r="AP77" s="9" t="n">
        <v>0.2</v>
      </c>
      <c r="AQ77" s="2" t="n"/>
      <c r="AR77" s="2" t="inlineStr">
        <is>
          <t>华西特钢</t>
        </is>
      </c>
      <c r="AS77" s="2" t="inlineStr">
        <is>
          <t>华西-欧冶户头</t>
        </is>
      </c>
      <c r="AT77" s="2" t="n"/>
      <c r="AU77" s="2" t="inlineStr">
        <is>
          <t>2026-09-18由用户提供的台账数据人工核对后录入（Claude协助整理，用户逐项确认结算模式/供货厂/票源方后导入）</t>
        </is>
      </c>
    </row>
    <row r="78">
      <c r="A78" s="2" t="n">
        <v>76</v>
      </c>
      <c r="B78" s="8" t="n">
        <v>46280</v>
      </c>
      <c r="C78" s="2" t="inlineStr">
        <is>
          <t>苏J19371</t>
        </is>
      </c>
      <c r="D78" s="2" t="inlineStr">
        <is>
          <t>车</t>
        </is>
      </c>
      <c r="E78" s="2" t="inlineStr">
        <is>
          <t>配票/反向</t>
        </is>
      </c>
      <c r="F78" s="2" t="inlineStr">
        <is>
          <t>反向</t>
        </is>
      </c>
      <c r="G78" s="2" t="inlineStr">
        <is>
          <t>闫东朋</t>
        </is>
      </c>
      <c r="H78" s="2" t="inlineStr">
        <is>
          <t>闫东朋车队</t>
        </is>
      </c>
      <c r="I78" s="2" t="inlineStr">
        <is>
          <t>反向-闫东朋</t>
        </is>
      </c>
      <c r="J78" s="2" t="inlineStr">
        <is>
          <t>已结算</t>
        </is>
      </c>
      <c r="K78" s="9" t="n">
        <v>79.58</v>
      </c>
      <c r="L78" s="10" t="n">
        <v>199745.8</v>
      </c>
      <c r="M78" s="11">
        <f>Q78+S78-AA78-AC78-AD78</f>
        <v/>
      </c>
      <c r="N78" s="12">
        <f>IF(K78=0,0,M78/K78)</f>
        <v/>
      </c>
      <c r="O78" s="10" t="n">
        <v>0</v>
      </c>
      <c r="P78" s="12" t="n"/>
      <c r="Q78" s="10" t="n">
        <v>0</v>
      </c>
      <c r="R78" s="12" t="n">
        <v>25</v>
      </c>
      <c r="S78" s="10" t="n">
        <v>1989.5</v>
      </c>
      <c r="T78" s="12" t="n">
        <v>14</v>
      </c>
      <c r="U78" s="10" t="n">
        <v>171781.388</v>
      </c>
      <c r="V78" s="12" t="n">
        <v>0</v>
      </c>
      <c r="W78" s="10" t="n">
        <v>0</v>
      </c>
      <c r="X78" s="10" t="n">
        <v>199745.8</v>
      </c>
      <c r="Y78" s="12" t="n">
        <v>13.8</v>
      </c>
      <c r="Z78" s="10" t="n">
        <v>172180.8796</v>
      </c>
      <c r="AA78" s="10" t="n">
        <v>-399.4916000000085</v>
      </c>
      <c r="AB78" s="12" t="n">
        <v>0</v>
      </c>
      <c r="AC78" s="10" t="n">
        <v>0</v>
      </c>
      <c r="AD78" s="10" t="n">
        <v>0</v>
      </c>
      <c r="AE78" s="2" t="n"/>
      <c r="AF78" s="2" t="inlineStr">
        <is>
          <t>票商/反向 → 供货厂 → 欧冶</t>
        </is>
      </c>
      <c r="AG78" s="10" t="n">
        <v>199745.8</v>
      </c>
      <c r="AH78" s="2" t="inlineStr">
        <is>
          <t>待登记</t>
        </is>
      </c>
      <c r="AI78" s="2" t="inlineStr">
        <is>
          <t>待登记</t>
        </is>
      </c>
      <c r="AJ78" s="2" t="inlineStr">
        <is>
          <t>未开始(前一环节未完成)</t>
        </is>
      </c>
      <c r="AK78" s="2" t="inlineStr">
        <is>
          <t>未开始(前一环节未完成)</t>
        </is>
      </c>
      <c r="AL78" s="2" t="inlineStr">
        <is>
          <t>—</t>
        </is>
      </c>
      <c r="AM78" s="10" t="n">
        <v>0</v>
      </c>
      <c r="AN78" s="8" t="n">
        <v>46280</v>
      </c>
      <c r="AO78" s="2" t="inlineStr">
        <is>
          <t>2026-09</t>
        </is>
      </c>
      <c r="AP78" s="9" t="n">
        <v>0.4</v>
      </c>
      <c r="AQ78" s="2" t="n"/>
      <c r="AR78" s="2" t="inlineStr">
        <is>
          <t>华西特钢</t>
        </is>
      </c>
      <c r="AS78" s="2" t="inlineStr">
        <is>
          <t>华西-欧冶户头</t>
        </is>
      </c>
      <c r="AT78" s="2" t="n"/>
      <c r="AU78" s="2" t="inlineStr">
        <is>
          <t>2026-09-18由用户提供的台账数据人工核对后录入（Claude协助整理，用户逐项确认结算模式/供货厂/票源方后导入）</t>
        </is>
      </c>
    </row>
    <row r="79">
      <c r="A79" s="2" t="n">
        <v>77</v>
      </c>
      <c r="B79" s="8" t="n">
        <v>46280</v>
      </c>
      <c r="C79" s="2" t="inlineStr">
        <is>
          <t>苏CLK667</t>
        </is>
      </c>
      <c r="D79" s="2" t="inlineStr">
        <is>
          <t>车</t>
        </is>
      </c>
      <c r="E79" s="2" t="inlineStr">
        <is>
          <t>配票/反向</t>
        </is>
      </c>
      <c r="F79" s="2" t="inlineStr">
        <is>
          <t>配票</t>
        </is>
      </c>
      <c r="G79" s="2" t="n"/>
      <c r="H79" s="2" t="inlineStr">
        <is>
          <t>未填供货厂</t>
        </is>
      </c>
      <c r="I79" s="2" t="inlineStr">
        <is>
          <t>煌烽</t>
        </is>
      </c>
      <c r="J79" s="2" t="inlineStr">
        <is>
          <t>已结算</t>
        </is>
      </c>
      <c r="K79" s="9" t="n">
        <v>33.02</v>
      </c>
      <c r="L79" s="10" t="n">
        <v>76606.39999999999</v>
      </c>
      <c r="M79" s="11">
        <f>Q79+S79-AA79-AC79-AD79</f>
        <v/>
      </c>
      <c r="N79" s="12">
        <f>IF(K79=0,0,M79/K79)</f>
        <v/>
      </c>
      <c r="O79" s="10" t="n">
        <v>0</v>
      </c>
      <c r="P79" s="12" t="n"/>
      <c r="Q79" s="10" t="n">
        <v>0</v>
      </c>
      <c r="R79" s="12" t="n">
        <v>25</v>
      </c>
      <c r="S79" s="10" t="n">
        <v>825.5000000000001</v>
      </c>
      <c r="T79" s="12" t="n">
        <v>14</v>
      </c>
      <c r="U79" s="10" t="n">
        <v>65881.504</v>
      </c>
      <c r="V79" s="12" t="n">
        <v>23</v>
      </c>
      <c r="W79" s="10" t="n">
        <v>759.46</v>
      </c>
      <c r="X79" s="10" t="n">
        <v>75846.93999999999</v>
      </c>
      <c r="Y79" s="12" t="n">
        <v>13.2</v>
      </c>
      <c r="Z79" s="10" t="n">
        <v>65835.14391999999</v>
      </c>
      <c r="AA79" s="10" t="n">
        <v>46.36008000001311</v>
      </c>
      <c r="AB79" s="12" t="n">
        <v>0</v>
      </c>
      <c r="AC79" s="10" t="n">
        <v>0</v>
      </c>
      <c r="AD79" s="10" t="n">
        <v>0</v>
      </c>
      <c r="AE79" s="2" t="n"/>
      <c r="AF79" s="2" t="inlineStr">
        <is>
          <t>我们配票（经俊兴）</t>
        </is>
      </c>
      <c r="AG79" s="10" t="n">
        <v>75846.94</v>
      </c>
      <c r="AH79" s="2" t="inlineStr">
        <is>
          <t>待登记</t>
        </is>
      </c>
      <c r="AI79" s="2" t="inlineStr">
        <is>
          <t>待登记</t>
        </is>
      </c>
      <c r="AJ79" s="2" t="inlineStr">
        <is>
          <t>未开始(前一环节未完成)</t>
        </is>
      </c>
      <c r="AK79" s="2" t="inlineStr">
        <is>
          <t>未开始(前一环节未完成)</t>
        </is>
      </c>
      <c r="AL79" s="2" t="inlineStr">
        <is>
          <t>未开始(前一环节未完成)</t>
        </is>
      </c>
      <c r="AM79" s="10" t="n">
        <v>0</v>
      </c>
      <c r="AN79" s="8" t="n">
        <v>46280</v>
      </c>
      <c r="AO79" s="2" t="inlineStr">
        <is>
          <t>2026-09</t>
        </is>
      </c>
      <c r="AP79" s="9" t="n">
        <v>0.5</v>
      </c>
      <c r="AQ79" s="2" t="n"/>
      <c r="AR79" s="2" t="inlineStr">
        <is>
          <t>华西特钢</t>
        </is>
      </c>
      <c r="AS79" s="2" t="inlineStr">
        <is>
          <t>华西-欧冶户头</t>
        </is>
      </c>
      <c r="AT79" s="2" t="n"/>
      <c r="AU79" s="2" t="inlineStr">
        <is>
          <t>2026-09-18由用户提供的台账数据人工核对后录入（Claude协助整理，用户逐项确认结算模式/供货厂/票源方后导入）</t>
        </is>
      </c>
    </row>
    <row r="80">
      <c r="A80" s="2" t="n">
        <v>78</v>
      </c>
      <c r="B80" s="8" t="n">
        <v>46280</v>
      </c>
      <c r="C80" s="2" t="inlineStr">
        <is>
          <t>苏DBB772</t>
        </is>
      </c>
      <c r="D80" s="2" t="inlineStr">
        <is>
          <t>车</t>
        </is>
      </c>
      <c r="E80" s="2" t="inlineStr">
        <is>
          <t>带票带货</t>
        </is>
      </c>
      <c r="F80" s="2" t="inlineStr">
        <is>
          <t>直签带票</t>
        </is>
      </c>
      <c r="G80" s="2" t="inlineStr">
        <is>
          <t>林凯</t>
        </is>
      </c>
      <c r="H80" s="2" t="inlineStr">
        <is>
          <t>𠓾景通</t>
        </is>
      </c>
      <c r="I80" s="2" t="n"/>
      <c r="J80" s="2" t="inlineStr">
        <is>
          <t>已结算</t>
        </is>
      </c>
      <c r="K80" s="9" t="n">
        <v>71.5</v>
      </c>
      <c r="L80" s="10" t="n">
        <v>169455</v>
      </c>
      <c r="M80" s="11">
        <f>Q80+S80-AA80-AC80-AD80</f>
        <v/>
      </c>
      <c r="N80" s="12">
        <f>IF(K80=0,0,M80/K80)</f>
        <v/>
      </c>
      <c r="O80" s="10" t="n">
        <v>0</v>
      </c>
      <c r="P80" s="12" t="n">
        <v>40</v>
      </c>
      <c r="Q80" s="10" t="n">
        <v>2860</v>
      </c>
      <c r="R80" s="12" t="n">
        <v>25</v>
      </c>
      <c r="S80" s="10" t="n">
        <v>1787.5</v>
      </c>
      <c r="T80" s="12" t="n"/>
      <c r="U80" s="10" t="n"/>
      <c r="V80" s="12" t="n">
        <v>23</v>
      </c>
      <c r="W80" s="10" t="n">
        <v>1644.5</v>
      </c>
      <c r="X80" s="10" t="n"/>
      <c r="Y80" s="12" t="n"/>
      <c r="Z80" s="10" t="n"/>
      <c r="AA80" s="10" t="n">
        <v>1644.5</v>
      </c>
      <c r="AB80" s="12" t="n">
        <v>15</v>
      </c>
      <c r="AC80" s="10" t="n">
        <v>1072.5</v>
      </c>
      <c r="AD80" s="10" t="n">
        <v>0</v>
      </c>
      <c r="AE80" s="2" t="n"/>
      <c r="AF80" s="2" t="inlineStr">
        <is>
          <t>供货厂自带票（带票带货）</t>
        </is>
      </c>
      <c r="AG80" s="10" t="n">
        <v>167810.5</v>
      </c>
      <c r="AH80" s="2" t="inlineStr">
        <is>
          <t>—</t>
        </is>
      </c>
      <c r="AI80" s="2" t="inlineStr">
        <is>
          <t>待登记</t>
        </is>
      </c>
      <c r="AJ80" s="2" t="inlineStr">
        <is>
          <t>未开始(前一环节未完成)</t>
        </is>
      </c>
      <c r="AK80" s="2" t="inlineStr">
        <is>
          <t>—</t>
        </is>
      </c>
      <c r="AL80" s="2" t="inlineStr">
        <is>
          <t>—</t>
        </is>
      </c>
      <c r="AM80" s="10" t="n">
        <v>0</v>
      </c>
      <c r="AN80" s="8" t="n">
        <v>46280</v>
      </c>
      <c r="AO80" s="2" t="inlineStr">
        <is>
          <t>2026-09</t>
        </is>
      </c>
      <c r="AP80" s="9" t="n">
        <v>0.7</v>
      </c>
      <c r="AQ80" s="2" t="n"/>
      <c r="AR80" s="2" t="inlineStr">
        <is>
          <t>华西特钢</t>
        </is>
      </c>
      <c r="AS80" s="2" t="inlineStr">
        <is>
          <t>华西-欧冶户头</t>
        </is>
      </c>
      <c r="AT80" s="2" t="n"/>
      <c r="AU80" s="2" t="inlineStr">
        <is>
          <t>2026-09-18由用户提供的台账数据人工核对后录入（Claude协助整理，用户逐项确认结算模式/供货厂/票源方后导入）</t>
        </is>
      </c>
    </row>
    <row r="81">
      <c r="A81" s="2" t="n">
        <v>79</v>
      </c>
      <c r="B81" s="8" t="n">
        <v>46280</v>
      </c>
      <c r="C81" s="2" t="inlineStr">
        <is>
          <t>苏DBE961</t>
        </is>
      </c>
      <c r="D81" s="2" t="inlineStr">
        <is>
          <t>车</t>
        </is>
      </c>
      <c r="E81" s="2" t="inlineStr">
        <is>
          <t>带票带货</t>
        </is>
      </c>
      <c r="F81" s="2" t="inlineStr">
        <is>
          <t>直签带票</t>
        </is>
      </c>
      <c r="G81" s="2" t="inlineStr">
        <is>
          <t>林凯</t>
        </is>
      </c>
      <c r="H81" s="2" t="inlineStr">
        <is>
          <t>君盛</t>
        </is>
      </c>
      <c r="I81" s="2" t="n"/>
      <c r="J81" s="2" t="inlineStr">
        <is>
          <t>已结算</t>
        </is>
      </c>
      <c r="K81" s="9" t="n">
        <v>31.38</v>
      </c>
      <c r="L81" s="10" t="n">
        <v>70605</v>
      </c>
      <c r="M81" s="11">
        <f>Q81+S81-AA81-AC81-AD81</f>
        <v/>
      </c>
      <c r="N81" s="12">
        <f>IF(K81=0,0,M81/K81)</f>
        <v/>
      </c>
      <c r="O81" s="10" t="n">
        <v>0</v>
      </c>
      <c r="P81" s="12" t="n">
        <v>40</v>
      </c>
      <c r="Q81" s="10" t="n">
        <v>1255.2</v>
      </c>
      <c r="R81" s="12" t="n">
        <v>25</v>
      </c>
      <c r="S81" s="10" t="n">
        <v>784.5</v>
      </c>
      <c r="T81" s="12" t="n"/>
      <c r="U81" s="10" t="n"/>
      <c r="V81" s="12" t="n">
        <v>23</v>
      </c>
      <c r="W81" s="10" t="n">
        <v>721.74</v>
      </c>
      <c r="X81" s="10" t="n"/>
      <c r="Y81" s="12" t="n"/>
      <c r="Z81" s="10" t="n"/>
      <c r="AA81" s="10" t="n">
        <v>721.74</v>
      </c>
      <c r="AB81" s="12" t="n">
        <v>15</v>
      </c>
      <c r="AC81" s="10" t="n">
        <v>470.7</v>
      </c>
      <c r="AD81" s="10" t="n">
        <v>0</v>
      </c>
      <c r="AE81" s="2" t="n"/>
      <c r="AF81" s="2" t="inlineStr">
        <is>
          <t>供货厂自带票（带票带货）</t>
        </is>
      </c>
      <c r="AG81" s="10" t="n">
        <v>69883.25999999999</v>
      </c>
      <c r="AH81" s="2" t="inlineStr">
        <is>
          <t>—</t>
        </is>
      </c>
      <c r="AI81" s="2" t="inlineStr">
        <is>
          <t>待登记</t>
        </is>
      </c>
      <c r="AJ81" s="2" t="inlineStr">
        <is>
          <t>未开始(前一环节未完成)</t>
        </is>
      </c>
      <c r="AK81" s="2" t="inlineStr">
        <is>
          <t>—</t>
        </is>
      </c>
      <c r="AL81" s="2" t="inlineStr">
        <is>
          <t>—</t>
        </is>
      </c>
      <c r="AM81" s="10" t="n">
        <v>0</v>
      </c>
      <c r="AN81" s="8" t="n">
        <v>46280</v>
      </c>
      <c r="AO81" s="2" t="inlineStr">
        <is>
          <t>2026-09</t>
        </is>
      </c>
      <c r="AP81" s="9" t="n">
        <v>0.8</v>
      </c>
      <c r="AQ81" s="2" t="n"/>
      <c r="AR81" s="2" t="inlineStr">
        <is>
          <t>华西特钢</t>
        </is>
      </c>
      <c r="AS81" s="2" t="inlineStr">
        <is>
          <t>华西-欧冶户头</t>
        </is>
      </c>
      <c r="AT81" s="2" t="n"/>
      <c r="AU81" s="2" t="inlineStr">
        <is>
          <t>2026-09-18由用户提供的台账数据人工核对后录入（Claude协助整理，用户逐项确认结算模式/供货厂/票源方后导入）</t>
        </is>
      </c>
    </row>
    <row r="82">
      <c r="A82" s="2" t="n">
        <v>80</v>
      </c>
      <c r="B82" s="8" t="n">
        <v>46280</v>
      </c>
      <c r="C82" s="2" t="inlineStr">
        <is>
          <t>皖四航6058</t>
        </is>
      </c>
      <c r="D82" s="2" t="inlineStr">
        <is>
          <t>车</t>
        </is>
      </c>
      <c r="E82" s="2" t="inlineStr">
        <is>
          <t>配票/反向</t>
        </is>
      </c>
      <c r="F82" s="2" t="inlineStr">
        <is>
          <t>配票</t>
        </is>
      </c>
      <c r="G82" s="2" t="n"/>
      <c r="H82" s="2" t="inlineStr">
        <is>
          <t>尹鹏飞</t>
        </is>
      </c>
      <c r="I82" s="2" t="inlineStr">
        <is>
          <t>煌烽</t>
        </is>
      </c>
      <c r="J82" s="2" t="inlineStr">
        <is>
          <t>已结算</t>
        </is>
      </c>
      <c r="K82" s="9" t="n">
        <v>589.24</v>
      </c>
      <c r="L82" s="10" t="n">
        <v>1444596.08</v>
      </c>
      <c r="M82" s="11">
        <f>Q82+S82-AA82-AC82-AD82</f>
        <v/>
      </c>
      <c r="N82" s="12">
        <f>IF(K82=0,0,M82/K82)</f>
        <v/>
      </c>
      <c r="O82" s="10" t="n">
        <v>0</v>
      </c>
      <c r="P82" s="12" t="n"/>
      <c r="Q82" s="10" t="n">
        <v>0</v>
      </c>
      <c r="R82" s="12" t="n">
        <v>25</v>
      </c>
      <c r="S82" s="10" t="n">
        <v>14731</v>
      </c>
      <c r="T82" s="12" t="n">
        <v>14</v>
      </c>
      <c r="U82" s="10" t="n">
        <v>1242352.6288</v>
      </c>
      <c r="V82" s="12" t="n">
        <v>23</v>
      </c>
      <c r="W82" s="10" t="n">
        <v>13552.52</v>
      </c>
      <c r="X82" s="10" t="n">
        <v>1431043.56</v>
      </c>
      <c r="Y82" s="12" t="n">
        <v>13.2</v>
      </c>
      <c r="Z82" s="10" t="n">
        <v>1242145.81008</v>
      </c>
      <c r="AA82" s="10" t="n">
        <v>206.8187200000975</v>
      </c>
      <c r="AB82" s="12" t="n">
        <v>0</v>
      </c>
      <c r="AC82" s="10" t="n">
        <v>0</v>
      </c>
      <c r="AD82" s="10" t="n">
        <v>0</v>
      </c>
      <c r="AE82" s="2" t="n"/>
      <c r="AF82" s="2" t="inlineStr">
        <is>
          <t>我们配票（经俊兴）</t>
        </is>
      </c>
      <c r="AG82" s="10" t="n">
        <v>1431043.56</v>
      </c>
      <c r="AH82" s="2" t="inlineStr">
        <is>
          <t>待登记</t>
        </is>
      </c>
      <c r="AI82" s="2" t="inlineStr">
        <is>
          <t>待登记</t>
        </is>
      </c>
      <c r="AJ82" s="2" t="inlineStr">
        <is>
          <t>未开始(前一环节未完成)</t>
        </is>
      </c>
      <c r="AK82" s="2" t="inlineStr">
        <is>
          <t>未开始(前一环节未完成)</t>
        </is>
      </c>
      <c r="AL82" s="2" t="inlineStr">
        <is>
          <t>未开始(前一环节未完成)</t>
        </is>
      </c>
      <c r="AM82" s="10" t="n">
        <v>0</v>
      </c>
      <c r="AN82" s="8" t="n">
        <v>46280</v>
      </c>
      <c r="AO82" s="2" t="inlineStr">
        <is>
          <t>2026-09</t>
        </is>
      </c>
      <c r="AP82" s="9" t="n">
        <v>6.92</v>
      </c>
      <c r="AQ82" s="2" t="n"/>
      <c r="AR82" s="2" t="inlineStr">
        <is>
          <t>华西特钢</t>
        </is>
      </c>
      <c r="AS82" s="2" t="inlineStr">
        <is>
          <t>华西-欧冶户头</t>
        </is>
      </c>
      <c r="AT82" s="2" t="n"/>
      <c r="AU82" s="2" t="inlineStr">
        <is>
          <t>2026-09-18由用户提供的台账数据人工核对后录入（Claude协助整理，用户逐项确认结算模式/供货厂/票源方后导入）</t>
        </is>
      </c>
    </row>
    <row r="83">
      <c r="A83" s="2" t="n">
        <v>81</v>
      </c>
      <c r="B83" s="8" t="n">
        <v>46281</v>
      </c>
      <c r="C83" s="2" t="inlineStr">
        <is>
          <t>皖SC6167</t>
        </is>
      </c>
      <c r="D83" s="2" t="inlineStr">
        <is>
          <t>车</t>
        </is>
      </c>
      <c r="E83" s="2" t="inlineStr">
        <is>
          <t>配票/反向</t>
        </is>
      </c>
      <c r="F83" s="2" t="inlineStr">
        <is>
          <t>反向</t>
        </is>
      </c>
      <c r="G83" s="2" t="inlineStr">
        <is>
          <t>闫东朋</t>
        </is>
      </c>
      <c r="H83" s="2" t="inlineStr">
        <is>
          <t>闫东朋车队</t>
        </is>
      </c>
      <c r="I83" s="2" t="inlineStr">
        <is>
          <t>反向-闫东朋</t>
        </is>
      </c>
      <c r="J83" s="2" t="inlineStr">
        <is>
          <t>已结算</t>
        </is>
      </c>
      <c r="K83" s="9" t="n">
        <v>50.72</v>
      </c>
      <c r="L83" s="10" t="n">
        <v>128017.28</v>
      </c>
      <c r="M83" s="11">
        <f>Q83+S83-AA83-AC83-AD83</f>
        <v/>
      </c>
      <c r="N83" s="12">
        <f>IF(K83=0,0,M83/K83)</f>
        <v/>
      </c>
      <c r="O83" s="10" t="n">
        <v>0</v>
      </c>
      <c r="P83" s="12" t="n"/>
      <c r="Q83" s="10" t="n">
        <v>0</v>
      </c>
      <c r="R83" s="12" t="n">
        <v>25</v>
      </c>
      <c r="S83" s="10" t="n">
        <v>1268</v>
      </c>
      <c r="T83" s="12" t="n">
        <v>14</v>
      </c>
      <c r="U83" s="10" t="n">
        <v>110094.8608</v>
      </c>
      <c r="V83" s="12" t="n">
        <v>0</v>
      </c>
      <c r="W83" s="10" t="n">
        <v>0</v>
      </c>
      <c r="X83" s="10" t="n">
        <v>128017.28</v>
      </c>
      <c r="Y83" s="12" t="n">
        <v>13.8</v>
      </c>
      <c r="Z83" s="10" t="n">
        <v>110350.89536</v>
      </c>
      <c r="AA83" s="10" t="n">
        <v>-256.0345600000001</v>
      </c>
      <c r="AB83" s="12" t="n">
        <v>0</v>
      </c>
      <c r="AC83" s="10" t="n">
        <v>0</v>
      </c>
      <c r="AD83" s="10" t="n">
        <v>0</v>
      </c>
      <c r="AE83" s="2" t="n"/>
      <c r="AF83" s="2" t="inlineStr">
        <is>
          <t>票商/反向 → 供货厂 → 欧冶</t>
        </is>
      </c>
      <c r="AG83" s="10" t="n">
        <v>128017.28</v>
      </c>
      <c r="AH83" s="2" t="inlineStr">
        <is>
          <t>待登记</t>
        </is>
      </c>
      <c r="AI83" s="2" t="inlineStr">
        <is>
          <t>待登记</t>
        </is>
      </c>
      <c r="AJ83" s="2" t="inlineStr">
        <is>
          <t>未开始(前一环节未完成)</t>
        </is>
      </c>
      <c r="AK83" s="2" t="inlineStr">
        <is>
          <t>未开始(前一环节未完成)</t>
        </is>
      </c>
      <c r="AL83" s="2" t="inlineStr">
        <is>
          <t>—</t>
        </is>
      </c>
      <c r="AM83" s="10" t="n">
        <v>0</v>
      </c>
      <c r="AN83" s="8" t="n">
        <v>46281</v>
      </c>
      <c r="AO83" s="2" t="inlineStr">
        <is>
          <t>2026-09</t>
        </is>
      </c>
      <c r="AP83" s="9" t="n">
        <v>0.5</v>
      </c>
      <c r="AQ83" s="2" t="n"/>
      <c r="AR83" s="2" t="inlineStr">
        <is>
          <t>华西特钢</t>
        </is>
      </c>
      <c r="AS83" s="2" t="inlineStr">
        <is>
          <t>华西-欧冶户头</t>
        </is>
      </c>
      <c r="AT83" s="2" t="n"/>
      <c r="AU83" s="2" t="inlineStr">
        <is>
          <t>2026-09-18由用户提供的台账数据人工核对后录入（Claude协助整理，用户逐项确认结算模式/供货厂/票源方后导入）</t>
        </is>
      </c>
    </row>
    <row r="84">
      <c r="A84" s="2" t="n">
        <v>82</v>
      </c>
      <c r="B84" s="8" t="n">
        <v>46281</v>
      </c>
      <c r="C84" s="2" t="inlineStr">
        <is>
          <t>皖AK6033</t>
        </is>
      </c>
      <c r="D84" s="2" t="inlineStr">
        <is>
          <t>车</t>
        </is>
      </c>
      <c r="E84" s="2" t="inlineStr">
        <is>
          <t>配票/反向</t>
        </is>
      </c>
      <c r="F84" s="2" t="inlineStr">
        <is>
          <t>配票</t>
        </is>
      </c>
      <c r="G84" s="2" t="n"/>
      <c r="H84" s="2" t="inlineStr">
        <is>
          <t>未填供货厂</t>
        </is>
      </c>
      <c r="I84" s="2" t="inlineStr">
        <is>
          <t>煌烽</t>
        </is>
      </c>
      <c r="J84" s="2" t="inlineStr">
        <is>
          <t>已结算</t>
        </is>
      </c>
      <c r="K84" s="9" t="n">
        <v>41.42</v>
      </c>
      <c r="L84" s="10" t="n">
        <v>96094.39999999999</v>
      </c>
      <c r="M84" s="11">
        <f>Q84+S84-AA84-AC84-AD84</f>
        <v/>
      </c>
      <c r="N84" s="12">
        <f>IF(K84=0,0,M84/K84)</f>
        <v/>
      </c>
      <c r="O84" s="10" t="n">
        <v>0</v>
      </c>
      <c r="P84" s="12" t="n"/>
      <c r="Q84" s="10" t="n">
        <v>0</v>
      </c>
      <c r="R84" s="12" t="n">
        <v>25</v>
      </c>
      <c r="S84" s="10" t="n">
        <v>1035.5</v>
      </c>
      <c r="T84" s="12" t="n">
        <v>14</v>
      </c>
      <c r="U84" s="10" t="n">
        <v>82641.18399999999</v>
      </c>
      <c r="V84" s="12" t="n">
        <v>23</v>
      </c>
      <c r="W84" s="10" t="n">
        <v>952.6600000000001</v>
      </c>
      <c r="X84" s="10" t="n">
        <v>95141.73999999999</v>
      </c>
      <c r="Y84" s="12" t="n">
        <v>13.2</v>
      </c>
      <c r="Z84" s="10" t="n">
        <v>82583.03031999999</v>
      </c>
      <c r="AA84" s="10" t="n">
        <v>58.15368000000308</v>
      </c>
      <c r="AB84" s="12" t="n">
        <v>0</v>
      </c>
      <c r="AC84" s="10" t="n">
        <v>0</v>
      </c>
      <c r="AD84" s="10" t="n">
        <v>0</v>
      </c>
      <c r="AE84" s="2" t="n"/>
      <c r="AF84" s="2" t="inlineStr">
        <is>
          <t>我们配票（经俊兴）</t>
        </is>
      </c>
      <c r="AG84" s="10" t="n">
        <v>95141.74000000001</v>
      </c>
      <c r="AH84" s="2" t="inlineStr">
        <is>
          <t>待登记</t>
        </is>
      </c>
      <c r="AI84" s="2" t="inlineStr">
        <is>
          <t>待登记</t>
        </is>
      </c>
      <c r="AJ84" s="2" t="inlineStr">
        <is>
          <t>未开始(前一环节未完成)</t>
        </is>
      </c>
      <c r="AK84" s="2" t="inlineStr">
        <is>
          <t>未开始(前一环节未完成)</t>
        </is>
      </c>
      <c r="AL84" s="2" t="inlineStr">
        <is>
          <t>未开始(前一环节未完成)</t>
        </is>
      </c>
      <c r="AM84" s="10" t="n">
        <v>0</v>
      </c>
      <c r="AN84" s="8" t="n">
        <v>46281</v>
      </c>
      <c r="AO84" s="2" t="inlineStr">
        <is>
          <t>2026-09</t>
        </is>
      </c>
      <c r="AP84" s="9" t="n">
        <v>0.6</v>
      </c>
      <c r="AQ84" s="2" t="n"/>
      <c r="AR84" s="2" t="inlineStr">
        <is>
          <t>华西特钢</t>
        </is>
      </c>
      <c r="AS84" s="2" t="inlineStr">
        <is>
          <t>华西-欧冶户头</t>
        </is>
      </c>
      <c r="AT84" s="2" t="n"/>
      <c r="AU84" s="2" t="inlineStr">
        <is>
          <t>2026-09-18由用户提供的台账数据人工核对后录入（Claude协助整理，用户逐项确认结算模式/供货厂/票源方后导入）</t>
        </is>
      </c>
    </row>
    <row r="85">
      <c r="A85" s="2" t="n">
        <v>83</v>
      </c>
      <c r="B85" s="8" t="n">
        <v>46282</v>
      </c>
      <c r="C85" s="2" t="inlineStr">
        <is>
          <t>苏DBE075</t>
        </is>
      </c>
      <c r="D85" s="2" t="inlineStr">
        <is>
          <t>车</t>
        </is>
      </c>
      <c r="E85" s="2" t="inlineStr">
        <is>
          <t>带票带货</t>
        </is>
      </c>
      <c r="F85" s="2" t="inlineStr">
        <is>
          <t>直签带票</t>
        </is>
      </c>
      <c r="G85" s="2" t="inlineStr">
        <is>
          <t>林凯</t>
        </is>
      </c>
      <c r="H85" s="2" t="inlineStr">
        <is>
          <t>力拓</t>
        </is>
      </c>
      <c r="I85" s="2" t="n"/>
      <c r="J85" s="2" t="inlineStr">
        <is>
          <t>已结算</t>
        </is>
      </c>
      <c r="K85" s="9" t="n">
        <v>81.45999999999999</v>
      </c>
      <c r="L85" s="10" t="n">
        <v>206093.8</v>
      </c>
      <c r="M85" s="11">
        <f>Q85+S85-AA85-AC85-AD85</f>
        <v/>
      </c>
      <c r="N85" s="12">
        <f>IF(K85=0,0,M85/K85)</f>
        <v/>
      </c>
      <c r="O85" s="10" t="n">
        <v>0</v>
      </c>
      <c r="P85" s="12" t="n">
        <v>40</v>
      </c>
      <c r="Q85" s="10" t="n">
        <v>3258.4</v>
      </c>
      <c r="R85" s="12" t="n">
        <v>25</v>
      </c>
      <c r="S85" s="10" t="n">
        <v>2036.5</v>
      </c>
      <c r="T85" s="12" t="n"/>
      <c r="U85" s="10" t="n"/>
      <c r="V85" s="12" t="n">
        <v>23</v>
      </c>
      <c r="W85" s="10" t="n">
        <v>1873.58</v>
      </c>
      <c r="X85" s="10" t="n"/>
      <c r="Y85" s="12" t="n"/>
      <c r="Z85" s="10" t="n"/>
      <c r="AA85" s="10" t="n">
        <v>1873.58</v>
      </c>
      <c r="AB85" s="12" t="n">
        <v>15</v>
      </c>
      <c r="AC85" s="10" t="n">
        <v>1221.9</v>
      </c>
      <c r="AD85" s="10" t="n">
        <v>0</v>
      </c>
      <c r="AE85" s="2" t="n"/>
      <c r="AF85" s="2" t="inlineStr">
        <is>
          <t>供货厂自带票（带票带货）</t>
        </is>
      </c>
      <c r="AG85" s="10" t="n">
        <v>204220.22</v>
      </c>
      <c r="AH85" s="2" t="inlineStr">
        <is>
          <t>—</t>
        </is>
      </c>
      <c r="AI85" s="2" t="inlineStr">
        <is>
          <t>待登记</t>
        </is>
      </c>
      <c r="AJ85" s="2" t="inlineStr">
        <is>
          <t>未开始(前一环节未完成)</t>
        </is>
      </c>
      <c r="AK85" s="2" t="inlineStr">
        <is>
          <t>—</t>
        </is>
      </c>
      <c r="AL85" s="2" t="inlineStr">
        <is>
          <t>—</t>
        </is>
      </c>
      <c r="AM85" s="10" t="n">
        <v>0</v>
      </c>
      <c r="AN85" s="8" t="n">
        <v>46282</v>
      </c>
      <c r="AO85" s="2" t="inlineStr">
        <is>
          <t>2026-09</t>
        </is>
      </c>
      <c r="AP85" s="9" t="n">
        <v>0.4</v>
      </c>
      <c r="AQ85" s="2" t="n"/>
      <c r="AR85" s="2" t="inlineStr">
        <is>
          <t>华西特钢</t>
        </is>
      </c>
      <c r="AS85" s="2" t="inlineStr">
        <is>
          <t>华西-欧冶户头</t>
        </is>
      </c>
      <c r="AT85" s="2" t="n"/>
      <c r="AU85" s="2" t="inlineStr">
        <is>
          <t>2026-09-18由用户提供的台账数据人工核对后录入（Claude协助整理，用户逐项确认结算模式/供货厂/票源方后导入）</t>
        </is>
      </c>
    </row>
    <row r="86">
      <c r="A86" s="2" t="n">
        <v>84</v>
      </c>
      <c r="B86" s="8" t="n">
        <v>46282</v>
      </c>
      <c r="C86" s="2" t="inlineStr">
        <is>
          <t>皖AP1626</t>
        </is>
      </c>
      <c r="D86" s="2" t="inlineStr">
        <is>
          <t>车</t>
        </is>
      </c>
      <c r="E86" s="2" t="inlineStr">
        <is>
          <t>配票/反向</t>
        </is>
      </c>
      <c r="F86" s="2" t="inlineStr">
        <is>
          <t>反向</t>
        </is>
      </c>
      <c r="G86" s="2" t="inlineStr">
        <is>
          <t>闫东朋</t>
        </is>
      </c>
      <c r="H86" s="2" t="inlineStr">
        <is>
          <t>闫东朋车队</t>
        </is>
      </c>
      <c r="I86" s="2" t="inlineStr">
        <is>
          <t>反向-闫东朋</t>
        </is>
      </c>
      <c r="J86" s="2" t="inlineStr">
        <is>
          <t>已结算</t>
        </is>
      </c>
      <c r="K86" s="9" t="n">
        <v>52</v>
      </c>
      <c r="L86" s="10" t="n">
        <v>126308</v>
      </c>
      <c r="M86" s="11">
        <f>Q86+S86-AA86-AC86-AD86</f>
        <v/>
      </c>
      <c r="N86" s="12">
        <f>IF(K86=0,0,M86/K86)</f>
        <v/>
      </c>
      <c r="O86" s="10" t="n">
        <v>0</v>
      </c>
      <c r="P86" s="12" t="n"/>
      <c r="Q86" s="10" t="n">
        <v>0</v>
      </c>
      <c r="R86" s="12" t="n">
        <v>25</v>
      </c>
      <c r="S86" s="10" t="n">
        <v>1300</v>
      </c>
      <c r="T86" s="12" t="n">
        <v>14</v>
      </c>
      <c r="U86" s="10" t="n">
        <v>108624.88</v>
      </c>
      <c r="V86" s="12" t="n">
        <v>0</v>
      </c>
      <c r="W86" s="10" t="n">
        <v>0</v>
      </c>
      <c r="X86" s="10" t="n">
        <v>126308</v>
      </c>
      <c r="Y86" s="12" t="n">
        <v>13.8</v>
      </c>
      <c r="Z86" s="10" t="n">
        <v>108877.496</v>
      </c>
      <c r="AA86" s="10" t="n">
        <v>-252.6159999999945</v>
      </c>
      <c r="AB86" s="12" t="n">
        <v>0</v>
      </c>
      <c r="AC86" s="10" t="n">
        <v>0</v>
      </c>
      <c r="AD86" s="10" t="n">
        <v>0</v>
      </c>
      <c r="AE86" s="2" t="n"/>
      <c r="AF86" s="2" t="inlineStr">
        <is>
          <t>票商/反向 → 供货厂 → 欧冶</t>
        </is>
      </c>
      <c r="AG86" s="10" t="n">
        <v>126308</v>
      </c>
      <c r="AH86" s="2" t="inlineStr">
        <is>
          <t>待登记</t>
        </is>
      </c>
      <c r="AI86" s="2" t="inlineStr">
        <is>
          <t>待登记</t>
        </is>
      </c>
      <c r="AJ86" s="2" t="inlineStr">
        <is>
          <t>未开始(前一环节未完成)</t>
        </is>
      </c>
      <c r="AK86" s="2" t="inlineStr">
        <is>
          <t>未开始(前一环节未完成)</t>
        </is>
      </c>
      <c r="AL86" s="2" t="inlineStr">
        <is>
          <t>—</t>
        </is>
      </c>
      <c r="AM86" s="10" t="n">
        <v>0</v>
      </c>
      <c r="AN86" s="8" t="n">
        <v>46282</v>
      </c>
      <c r="AO86" s="2" t="inlineStr">
        <is>
          <t>2026-09</t>
        </is>
      </c>
      <c r="AP86" s="9" t="n">
        <v>0.9</v>
      </c>
      <c r="AQ86" s="2" t="inlineStr">
        <is>
          <t>台账历史数据-已出结算单（具体单号未录入）</t>
        </is>
      </c>
      <c r="AR86" s="2" t="inlineStr">
        <is>
          <t>华西特钢</t>
        </is>
      </c>
      <c r="AS86" s="2" t="inlineStr">
        <is>
          <t>华西-欧冶户头</t>
        </is>
      </c>
      <c r="AT86" s="2" t="n"/>
      <c r="AU86" s="2" t="inlineStr">
        <is>
          <t>2026-09-18由用户提供的台账数据人工核对后录入（Claude协助整理，用户逐项确认结算模式/供货厂/票源方后导入）</t>
        </is>
      </c>
    </row>
    <row r="87">
      <c r="A87" s="2" t="n">
        <v>85</v>
      </c>
      <c r="B87" s="8" t="n">
        <v>46282</v>
      </c>
      <c r="C87" s="2" t="inlineStr">
        <is>
          <t>苏J19371</t>
        </is>
      </c>
      <c r="D87" s="2" t="inlineStr">
        <is>
          <t>车</t>
        </is>
      </c>
      <c r="E87" s="2" t="inlineStr">
        <is>
          <t>配票/反向</t>
        </is>
      </c>
      <c r="F87" s="2" t="inlineStr">
        <is>
          <t>反向</t>
        </is>
      </c>
      <c r="G87" s="2" t="inlineStr">
        <is>
          <t>闫东朋</t>
        </is>
      </c>
      <c r="H87" s="2" t="inlineStr">
        <is>
          <t>闫东朋车队</t>
        </is>
      </c>
      <c r="I87" s="2" t="inlineStr">
        <is>
          <t>反向-闫东朋</t>
        </is>
      </c>
      <c r="J87" s="2" t="inlineStr">
        <is>
          <t>已结算</t>
        </is>
      </c>
      <c r="K87" s="9" t="n">
        <v>73.54000000000001</v>
      </c>
      <c r="L87" s="10" t="n">
        <v>186056.2</v>
      </c>
      <c r="M87" s="11">
        <f>Q87+S87-AA87-AC87-AD87</f>
        <v/>
      </c>
      <c r="N87" s="12">
        <f>IF(K87=0,0,M87/K87)</f>
        <v/>
      </c>
      <c r="O87" s="10" t="n">
        <v>0</v>
      </c>
      <c r="P87" s="12" t="n"/>
      <c r="Q87" s="10" t="n">
        <v>0</v>
      </c>
      <c r="R87" s="12" t="n">
        <v>25</v>
      </c>
      <c r="S87" s="10" t="n">
        <v>1838.5</v>
      </c>
      <c r="T87" s="12" t="n">
        <v>14</v>
      </c>
      <c r="U87" s="10" t="n">
        <v>160008.332</v>
      </c>
      <c r="V87" s="12" t="n">
        <v>0</v>
      </c>
      <c r="W87" s="10" t="n">
        <v>0</v>
      </c>
      <c r="X87" s="10" t="n">
        <v>186056.2</v>
      </c>
      <c r="Y87" s="12" t="n">
        <v>13.8</v>
      </c>
      <c r="Z87" s="10" t="n">
        <v>160380.4444</v>
      </c>
      <c r="AA87" s="10" t="n">
        <v>-372.1124000000127</v>
      </c>
      <c r="AB87" s="12" t="n">
        <v>0</v>
      </c>
      <c r="AC87" s="10" t="n">
        <v>0</v>
      </c>
      <c r="AD87" s="10" t="n">
        <v>0</v>
      </c>
      <c r="AE87" s="2" t="n"/>
      <c r="AF87" s="2" t="inlineStr">
        <is>
          <t>票商/反向 → 供货厂 → 欧冶</t>
        </is>
      </c>
      <c r="AG87" s="10" t="n">
        <v>186056.2</v>
      </c>
      <c r="AH87" s="2" t="inlineStr">
        <is>
          <t>待登记</t>
        </is>
      </c>
      <c r="AI87" s="2" t="inlineStr">
        <is>
          <t>待登记</t>
        </is>
      </c>
      <c r="AJ87" s="2" t="inlineStr">
        <is>
          <t>未开始(前一环节未完成)</t>
        </is>
      </c>
      <c r="AK87" s="2" t="inlineStr">
        <is>
          <t>未开始(前一环节未完成)</t>
        </is>
      </c>
      <c r="AL87" s="2" t="inlineStr">
        <is>
          <t>—</t>
        </is>
      </c>
      <c r="AM87" s="10" t="n">
        <v>0</v>
      </c>
      <c r="AN87" s="8" t="n">
        <v>46282</v>
      </c>
      <c r="AO87" s="2" t="inlineStr">
        <is>
          <t>2026-09</t>
        </is>
      </c>
      <c r="AP87" s="9" t="n">
        <v>0.5</v>
      </c>
      <c r="AQ87" s="2" t="n"/>
      <c r="AR87" s="2" t="inlineStr">
        <is>
          <t>华西特钢</t>
        </is>
      </c>
      <c r="AS87" s="2" t="inlineStr">
        <is>
          <t>华西-欧冶户头</t>
        </is>
      </c>
      <c r="AT87" s="2" t="n"/>
      <c r="AU87" s="2" t="inlineStr">
        <is>
          <t>2026-09-18由用户提供的台账数据人工核对后录入（Claude协助整理，用户逐项确认结算模式/供货厂/票源方后导入）</t>
        </is>
      </c>
    </row>
    <row r="88">
      <c r="A88" s="2" t="n">
        <v>86</v>
      </c>
      <c r="B88" s="8" t="n">
        <v>46282</v>
      </c>
      <c r="C88" s="2" t="inlineStr">
        <is>
          <t>苏DBE075</t>
        </is>
      </c>
      <c r="D88" s="2" t="inlineStr">
        <is>
          <t>车</t>
        </is>
      </c>
      <c r="E88" s="2" t="inlineStr">
        <is>
          <t>带票带货</t>
        </is>
      </c>
      <c r="F88" s="2" t="inlineStr">
        <is>
          <t>直签带票</t>
        </is>
      </c>
      <c r="G88" s="2" t="inlineStr">
        <is>
          <t>林凯</t>
        </is>
      </c>
      <c r="H88" s="2" t="inlineStr">
        <is>
          <t>君盛</t>
        </is>
      </c>
      <c r="I88" s="2" t="n"/>
      <c r="J88" s="2" t="inlineStr">
        <is>
          <t>已结算</t>
        </is>
      </c>
      <c r="K88" s="9" t="n">
        <v>29.79</v>
      </c>
      <c r="L88" s="10" t="n">
        <v>68576.58</v>
      </c>
      <c r="M88" s="11">
        <f>Q88+S88-AA88-AC88-AD88</f>
        <v/>
      </c>
      <c r="N88" s="12">
        <f>IF(K88=0,0,M88/K88)</f>
        <v/>
      </c>
      <c r="O88" s="10" t="n">
        <v>0</v>
      </c>
      <c r="P88" s="12" t="n">
        <v>40</v>
      </c>
      <c r="Q88" s="10" t="n">
        <v>1191.6</v>
      </c>
      <c r="R88" s="12" t="n">
        <v>25</v>
      </c>
      <c r="S88" s="10" t="n">
        <v>744.75</v>
      </c>
      <c r="T88" s="12" t="n"/>
      <c r="U88" s="10" t="n"/>
      <c r="V88" s="12" t="n">
        <v>23</v>
      </c>
      <c r="W88" s="10" t="n">
        <v>685.17</v>
      </c>
      <c r="X88" s="10" t="n"/>
      <c r="Y88" s="12" t="n"/>
      <c r="Z88" s="10" t="n"/>
      <c r="AA88" s="10" t="n">
        <v>685.17</v>
      </c>
      <c r="AB88" s="12" t="n">
        <v>15</v>
      </c>
      <c r="AC88" s="10" t="n">
        <v>446.85</v>
      </c>
      <c r="AD88" s="10" t="n">
        <v>0</v>
      </c>
      <c r="AE88" s="2" t="n"/>
      <c r="AF88" s="2" t="inlineStr">
        <is>
          <t>供货厂自带票（带票带货）</t>
        </is>
      </c>
      <c r="AG88" s="10" t="n">
        <v>67891.41</v>
      </c>
      <c r="AH88" s="2" t="inlineStr">
        <is>
          <t>—</t>
        </is>
      </c>
      <c r="AI88" s="2" t="inlineStr">
        <is>
          <t>待登记</t>
        </is>
      </c>
      <c r="AJ88" s="2" t="inlineStr">
        <is>
          <t>未开始(前一环节未完成)</t>
        </is>
      </c>
      <c r="AK88" s="2" t="inlineStr">
        <is>
          <t>—</t>
        </is>
      </c>
      <c r="AL88" s="2" t="inlineStr">
        <is>
          <t>—</t>
        </is>
      </c>
      <c r="AM88" s="10" t="n">
        <v>0</v>
      </c>
      <c r="AN88" s="8" t="n">
        <v>46282</v>
      </c>
      <c r="AO88" s="2" t="inlineStr">
        <is>
          <t>2026-09</t>
        </is>
      </c>
      <c r="AP88" s="9" t="n">
        <v>0.45</v>
      </c>
      <c r="AQ88" s="2" t="n"/>
      <c r="AR88" s="2" t="inlineStr">
        <is>
          <t>华西特钢</t>
        </is>
      </c>
      <c r="AS88" s="2" t="inlineStr">
        <is>
          <t>华西-欧冶户头</t>
        </is>
      </c>
      <c r="AT88" s="2" t="n"/>
      <c r="AU88" s="2" t="inlineStr">
        <is>
          <t>2026-09-18由用户提供的台账数据人工核对后录入（Claude协助整理，用户逐项确认结算模式/供货厂/票源方后导入）</t>
        </is>
      </c>
    </row>
    <row r="89">
      <c r="A89" s="2" t="n">
        <v>87</v>
      </c>
      <c r="B89" s="8" t="n">
        <v>46282</v>
      </c>
      <c r="C89" s="2" t="inlineStr">
        <is>
          <t>苏DBB772</t>
        </is>
      </c>
      <c r="D89" s="2" t="inlineStr">
        <is>
          <t>车</t>
        </is>
      </c>
      <c r="E89" s="2" t="inlineStr">
        <is>
          <t>带票带货</t>
        </is>
      </c>
      <c r="F89" s="2" t="inlineStr">
        <is>
          <t>直签带票</t>
        </is>
      </c>
      <c r="G89" s="2" t="inlineStr">
        <is>
          <t>林凯</t>
        </is>
      </c>
      <c r="H89" s="2" t="inlineStr">
        <is>
          <t>君盛</t>
        </is>
      </c>
      <c r="I89" s="2" t="n"/>
      <c r="J89" s="2" t="inlineStr">
        <is>
          <t>已结算</t>
        </is>
      </c>
      <c r="K89" s="9" t="n">
        <v>28.84</v>
      </c>
      <c r="L89" s="10" t="n">
        <v>66389.67999999999</v>
      </c>
      <c r="M89" s="11">
        <f>Q89+S89-AA89-AC89-AD89</f>
        <v/>
      </c>
      <c r="N89" s="12">
        <f>IF(K89=0,0,M89/K89)</f>
        <v/>
      </c>
      <c r="O89" s="10" t="n">
        <v>0</v>
      </c>
      <c r="P89" s="12" t="n">
        <v>40</v>
      </c>
      <c r="Q89" s="10" t="n">
        <v>1153.6</v>
      </c>
      <c r="R89" s="12" t="n">
        <v>25</v>
      </c>
      <c r="S89" s="10" t="n">
        <v>720.9999999999999</v>
      </c>
      <c r="T89" s="12" t="n"/>
      <c r="U89" s="10" t="n"/>
      <c r="V89" s="12" t="n">
        <v>23</v>
      </c>
      <c r="W89" s="10" t="n">
        <v>663.3199999999999</v>
      </c>
      <c r="X89" s="10" t="n"/>
      <c r="Y89" s="12" t="n"/>
      <c r="Z89" s="10" t="n"/>
      <c r="AA89" s="10" t="n">
        <v>663.3199999999999</v>
      </c>
      <c r="AB89" s="12" t="n">
        <v>15</v>
      </c>
      <c r="AC89" s="10" t="n">
        <v>432.6</v>
      </c>
      <c r="AD89" s="10" t="n">
        <v>0</v>
      </c>
      <c r="AE89" s="2" t="n"/>
      <c r="AF89" s="2" t="inlineStr">
        <is>
          <t>供货厂自带票（带票带货）</t>
        </is>
      </c>
      <c r="AG89" s="10" t="n">
        <v>65726.36</v>
      </c>
      <c r="AH89" s="2" t="inlineStr">
        <is>
          <t>—</t>
        </is>
      </c>
      <c r="AI89" s="2" t="inlineStr">
        <is>
          <t>待登记</t>
        </is>
      </c>
      <c r="AJ89" s="2" t="inlineStr">
        <is>
          <t>未开始(前一环节未完成)</t>
        </is>
      </c>
      <c r="AK89" s="2" t="inlineStr">
        <is>
          <t>—</t>
        </is>
      </c>
      <c r="AL89" s="2" t="inlineStr">
        <is>
          <t>—</t>
        </is>
      </c>
      <c r="AM89" s="10" t="n">
        <v>0</v>
      </c>
      <c r="AN89" s="8" t="n">
        <v>46282</v>
      </c>
      <c r="AO89" s="2" t="inlineStr">
        <is>
          <t>2026-09</t>
        </is>
      </c>
      <c r="AP89" s="9" t="n">
        <v>1.6</v>
      </c>
      <c r="AQ89" s="2" t="n"/>
      <c r="AR89" s="2" t="inlineStr">
        <is>
          <t>华西特钢</t>
        </is>
      </c>
      <c r="AS89" s="2" t="inlineStr">
        <is>
          <t>华西-欧冶户头</t>
        </is>
      </c>
      <c r="AT89" s="2" t="n"/>
      <c r="AU89" s="2" t="inlineStr">
        <is>
          <t>2026-09-18由用户提供的台账数据人工核对后录入（Claude协助整理，用户逐项确认结算模式/供货厂/票源方后导入）</t>
        </is>
      </c>
    </row>
    <row r="90">
      <c r="A90" s="2" t="n">
        <v>89</v>
      </c>
      <c r="B90" s="8" t="n">
        <v>46283</v>
      </c>
      <c r="C90" s="2" t="inlineStr">
        <is>
          <t>苏DBB772</t>
        </is>
      </c>
      <c r="D90" s="2" t="inlineStr">
        <is>
          <t>车</t>
        </is>
      </c>
      <c r="E90" s="2" t="inlineStr">
        <is>
          <t>带票带货</t>
        </is>
      </c>
      <c r="F90" s="2" t="inlineStr">
        <is>
          <t>直签带票</t>
        </is>
      </c>
      <c r="G90" s="2" t="inlineStr">
        <is>
          <t>林凯</t>
        </is>
      </c>
      <c r="H90" s="2" t="inlineStr">
        <is>
          <t>君盛</t>
        </is>
      </c>
      <c r="I90" s="2" t="n"/>
      <c r="J90" s="2" t="inlineStr">
        <is>
          <t>已结算</t>
        </is>
      </c>
      <c r="K90" s="9" t="n">
        <v>83.73999999999999</v>
      </c>
      <c r="L90" s="10" t="n">
        <v>202650.8</v>
      </c>
      <c r="M90" s="11">
        <f>Q90+S90-AA90-AC90-AD90</f>
        <v/>
      </c>
      <c r="N90" s="12">
        <f>IF(K90=0,0,M90/K90)</f>
        <v/>
      </c>
      <c r="O90" s="10" t="n">
        <v>0</v>
      </c>
      <c r="P90" s="12" t="n">
        <v>40</v>
      </c>
      <c r="Q90" s="10" t="n">
        <v>3349.6</v>
      </c>
      <c r="R90" s="12" t="n">
        <v>25</v>
      </c>
      <c r="S90" s="10" t="n">
        <v>2093.5</v>
      </c>
      <c r="T90" s="12" t="n"/>
      <c r="U90" s="10" t="n"/>
      <c r="V90" s="12" t="n">
        <v>23</v>
      </c>
      <c r="W90" s="10" t="n">
        <v>1926.02</v>
      </c>
      <c r="X90" s="10" t="n"/>
      <c r="Y90" s="12" t="n"/>
      <c r="Z90" s="10" t="n"/>
      <c r="AA90" s="10" t="n">
        <v>1926.02</v>
      </c>
      <c r="AB90" s="12" t="n">
        <v>15</v>
      </c>
      <c r="AC90" s="10" t="n">
        <v>1256.1</v>
      </c>
      <c r="AD90" s="10" t="n">
        <v>0</v>
      </c>
      <c r="AE90" s="2" t="n"/>
      <c r="AF90" s="2" t="inlineStr">
        <is>
          <t>供货厂自带票（带票带货）</t>
        </is>
      </c>
      <c r="AG90" s="10" t="n">
        <v>200724.78</v>
      </c>
      <c r="AH90" s="2" t="inlineStr">
        <is>
          <t>—</t>
        </is>
      </c>
      <c r="AI90" s="2" t="inlineStr">
        <is>
          <t>待登记</t>
        </is>
      </c>
      <c r="AJ90" s="2" t="inlineStr">
        <is>
          <t>未开始(前一环节未完成)</t>
        </is>
      </c>
      <c r="AK90" s="2" t="inlineStr">
        <is>
          <t>—</t>
        </is>
      </c>
      <c r="AL90" s="2" t="inlineStr">
        <is>
          <t>—</t>
        </is>
      </c>
      <c r="AM90" s="10" t="n">
        <v>0</v>
      </c>
      <c r="AN90" s="8" t="n">
        <v>46283</v>
      </c>
      <c r="AO90" s="2" t="inlineStr">
        <is>
          <t>2026-09</t>
        </is>
      </c>
      <c r="AP90" s="9" t="n">
        <v>0.8</v>
      </c>
      <c r="AQ90" s="2" t="n"/>
      <c r="AR90" s="2" t="inlineStr">
        <is>
          <t>华西特钢</t>
        </is>
      </c>
      <c r="AS90" s="2" t="inlineStr">
        <is>
          <t>华西-欧冶户头</t>
        </is>
      </c>
      <c r="AT90" s="2" t="n"/>
      <c r="AU90" s="2" t="inlineStr">
        <is>
          <t>2026-09-21由用户提供的台账数据整理后录入（9/18-9/20批次，Claude协助整理，用户确认）</t>
        </is>
      </c>
    </row>
    <row r="91">
      <c r="A91" s="2" t="n">
        <v>90</v>
      </c>
      <c r="B91" s="8" t="n">
        <v>46283</v>
      </c>
      <c r="C91" s="2" t="inlineStr">
        <is>
          <t>苏NEN536</t>
        </is>
      </c>
      <c r="D91" s="2" t="inlineStr">
        <is>
          <t>车</t>
        </is>
      </c>
      <c r="E91" s="2" t="inlineStr">
        <is>
          <t>配票/反向</t>
        </is>
      </c>
      <c r="F91" s="2" t="inlineStr">
        <is>
          <t>配票</t>
        </is>
      </c>
      <c r="G91" s="2" t="inlineStr">
        <is>
          <t>林凯</t>
        </is>
      </c>
      <c r="H91" s="2" t="inlineStr">
        <is>
          <t>林凯车队</t>
        </is>
      </c>
      <c r="I91" s="2" t="inlineStr">
        <is>
          <t>煌烽</t>
        </is>
      </c>
      <c r="J91" s="2" t="inlineStr">
        <is>
          <t>已结算</t>
        </is>
      </c>
      <c r="K91" s="9" t="n">
        <v>34.02</v>
      </c>
      <c r="L91" s="10" t="n">
        <v>79266.60000000001</v>
      </c>
      <c r="M91" s="11">
        <f>Q91+S91-AA91-AC91-AD91</f>
        <v/>
      </c>
      <c r="N91" s="12">
        <f>IF(K91=0,0,M91/K91)</f>
        <v/>
      </c>
      <c r="O91" s="10" t="n">
        <v>0</v>
      </c>
      <c r="P91" s="12" t="n"/>
      <c r="Q91" s="10" t="n">
        <v>0</v>
      </c>
      <c r="R91" s="12" t="n">
        <v>25</v>
      </c>
      <c r="S91" s="10" t="n">
        <v>850.5000000000001</v>
      </c>
      <c r="T91" s="12" t="n">
        <v>14</v>
      </c>
      <c r="U91" s="10" t="n">
        <v>68169.276</v>
      </c>
      <c r="V91" s="12" t="n">
        <v>23</v>
      </c>
      <c r="W91" s="10" t="n">
        <v>782.46</v>
      </c>
      <c r="X91" s="10" t="n">
        <v>78484.14</v>
      </c>
      <c r="Y91" s="12" t="n">
        <v>13.2</v>
      </c>
      <c r="Z91" s="10" t="n">
        <v>68124.23351999999</v>
      </c>
      <c r="AA91" s="10" t="n">
        <v>45.04248000000371</v>
      </c>
      <c r="AB91" s="12" t="n">
        <v>0</v>
      </c>
      <c r="AC91" s="10" t="n">
        <v>0</v>
      </c>
      <c r="AD91" s="10" t="n">
        <v>0</v>
      </c>
      <c r="AE91" s="2" t="n"/>
      <c r="AF91" s="2" t="inlineStr">
        <is>
          <t>我们配票（经俊兴）</t>
        </is>
      </c>
      <c r="AG91" s="10" t="n">
        <v>78484.14</v>
      </c>
      <c r="AH91" s="2" t="inlineStr">
        <is>
          <t>待登记</t>
        </is>
      </c>
      <c r="AI91" s="2" t="inlineStr">
        <is>
          <t>待登记</t>
        </is>
      </c>
      <c r="AJ91" s="2" t="inlineStr">
        <is>
          <t>未开始(前一环节未完成)</t>
        </is>
      </c>
      <c r="AK91" s="2" t="inlineStr">
        <is>
          <t>未开始(前一环节未完成)</t>
        </is>
      </c>
      <c r="AL91" s="2" t="inlineStr">
        <is>
          <t>未开始(前一环节未完成)</t>
        </is>
      </c>
      <c r="AM91" s="10" t="n">
        <v>0</v>
      </c>
      <c r="AN91" s="8" t="n">
        <v>46283</v>
      </c>
      <c r="AO91" s="2" t="inlineStr">
        <is>
          <t>2026-09</t>
        </is>
      </c>
      <c r="AP91" s="9" t="n">
        <v>0.5</v>
      </c>
      <c r="AQ91" s="2" t="n"/>
      <c r="AR91" s="2" t="inlineStr">
        <is>
          <t>华西特钢</t>
        </is>
      </c>
      <c r="AS91" s="2" t="inlineStr">
        <is>
          <t>华西-欧冶户头</t>
        </is>
      </c>
      <c r="AT91" s="2" t="n"/>
      <c r="AU91" s="2" t="inlineStr">
        <is>
          <t>2026-09-21由用户提供的台账数据整理后录入（9/18-9/20批次，Claude协助整理，用户确认）</t>
        </is>
      </c>
    </row>
    <row r="92">
      <c r="A92" s="2" t="n">
        <v>91</v>
      </c>
      <c r="B92" s="8" t="n">
        <v>46283</v>
      </c>
      <c r="C92" s="2" t="inlineStr">
        <is>
          <t>苏DBE075</t>
        </is>
      </c>
      <c r="D92" s="2" t="inlineStr">
        <is>
          <t>车</t>
        </is>
      </c>
      <c r="E92" s="2" t="inlineStr">
        <is>
          <t>带票带货</t>
        </is>
      </c>
      <c r="F92" s="2" t="inlineStr">
        <is>
          <t>直签带票</t>
        </is>
      </c>
      <c r="G92" s="2" t="inlineStr">
        <is>
          <t>林凯</t>
        </is>
      </c>
      <c r="H92" s="2" t="inlineStr">
        <is>
          <t>君盛</t>
        </is>
      </c>
      <c r="I92" s="2" t="n"/>
      <c r="J92" s="2" t="inlineStr">
        <is>
          <t>已结算</t>
        </is>
      </c>
      <c r="K92" s="9" t="n">
        <v>30.72</v>
      </c>
      <c r="L92" s="10" t="n">
        <v>70717.44</v>
      </c>
      <c r="M92" s="11">
        <f>Q92+S92-AA92-AC92-AD92</f>
        <v/>
      </c>
      <c r="N92" s="12">
        <f>IF(K92=0,0,M92/K92)</f>
        <v/>
      </c>
      <c r="O92" s="10" t="n">
        <v>0</v>
      </c>
      <c r="P92" s="12" t="n">
        <v>40</v>
      </c>
      <c r="Q92" s="10" t="n">
        <v>1228.8</v>
      </c>
      <c r="R92" s="12" t="n">
        <v>25</v>
      </c>
      <c r="S92" s="10" t="n">
        <v>768</v>
      </c>
      <c r="T92" s="12" t="n"/>
      <c r="U92" s="10" t="n"/>
      <c r="V92" s="12" t="n">
        <v>23</v>
      </c>
      <c r="W92" s="10" t="n">
        <v>706.5599999999999</v>
      </c>
      <c r="X92" s="10" t="n"/>
      <c r="Y92" s="12" t="n"/>
      <c r="Z92" s="10" t="n"/>
      <c r="AA92" s="10" t="n">
        <v>706.5599999999999</v>
      </c>
      <c r="AB92" s="12" t="n">
        <v>15</v>
      </c>
      <c r="AC92" s="10" t="n">
        <v>460.8</v>
      </c>
      <c r="AD92" s="10" t="n">
        <v>0</v>
      </c>
      <c r="AE92" s="2" t="n"/>
      <c r="AF92" s="2" t="inlineStr">
        <is>
          <t>供货厂自带票（带票带货）</t>
        </is>
      </c>
      <c r="AG92" s="10" t="n">
        <v>70010.88</v>
      </c>
      <c r="AH92" s="2" t="inlineStr">
        <is>
          <t>—</t>
        </is>
      </c>
      <c r="AI92" s="2" t="inlineStr">
        <is>
          <t>待登记</t>
        </is>
      </c>
      <c r="AJ92" s="2" t="inlineStr">
        <is>
          <t>未开始(前一环节未完成)</t>
        </is>
      </c>
      <c r="AK92" s="2" t="inlineStr">
        <is>
          <t>—</t>
        </is>
      </c>
      <c r="AL92" s="2" t="inlineStr">
        <is>
          <t>—</t>
        </is>
      </c>
      <c r="AM92" s="10" t="n">
        <v>0</v>
      </c>
      <c r="AN92" s="8" t="n">
        <v>46283</v>
      </c>
      <c r="AO92" s="2" t="inlineStr">
        <is>
          <t>2026-09</t>
        </is>
      </c>
      <c r="AP92" s="9" t="n">
        <v>0.6</v>
      </c>
      <c r="AQ92" s="2" t="n"/>
      <c r="AR92" s="2" t="inlineStr">
        <is>
          <t>华西特钢</t>
        </is>
      </c>
      <c r="AS92" s="2" t="inlineStr">
        <is>
          <t>华西-欧冶户头</t>
        </is>
      </c>
      <c r="AT92" s="2" t="n"/>
      <c r="AU92" s="2" t="inlineStr">
        <is>
          <t>2026-09-21由用户提供的台账数据整理后录入（9/18-9/20批次，Claude协助整理，用户确认）</t>
        </is>
      </c>
    </row>
    <row r="93">
      <c r="A93" s="2" t="n">
        <v>92</v>
      </c>
      <c r="B93" s="8" t="n">
        <v>46283</v>
      </c>
      <c r="C93" s="2" t="inlineStr">
        <is>
          <t>苏DBB772</t>
        </is>
      </c>
      <c r="D93" s="2" t="inlineStr">
        <is>
          <t>车</t>
        </is>
      </c>
      <c r="E93" s="2" t="inlineStr">
        <is>
          <t>带票带货</t>
        </is>
      </c>
      <c r="F93" s="2" t="inlineStr">
        <is>
          <t>直签带票</t>
        </is>
      </c>
      <c r="G93" s="2" t="inlineStr">
        <is>
          <t>林凯</t>
        </is>
      </c>
      <c r="H93" s="2" t="inlineStr">
        <is>
          <t>君盛</t>
        </is>
      </c>
      <c r="I93" s="2" t="n"/>
      <c r="J93" s="2" t="inlineStr">
        <is>
          <t>已结算</t>
        </is>
      </c>
      <c r="K93" s="9" t="n">
        <v>31.32</v>
      </c>
      <c r="L93" s="10" t="n">
        <v>72098.64</v>
      </c>
      <c r="M93" s="11">
        <f>Q93+S93-AA93-AC93-AD93</f>
        <v/>
      </c>
      <c r="N93" s="12">
        <f>IF(K93=0,0,M93/K93)</f>
        <v/>
      </c>
      <c r="O93" s="10" t="n">
        <v>0</v>
      </c>
      <c r="P93" s="12" t="n">
        <v>40</v>
      </c>
      <c r="Q93" s="10" t="n">
        <v>1252.8</v>
      </c>
      <c r="R93" s="12" t="n">
        <v>25</v>
      </c>
      <c r="S93" s="10" t="n">
        <v>783</v>
      </c>
      <c r="T93" s="12" t="n"/>
      <c r="U93" s="10" t="n"/>
      <c r="V93" s="12" t="n">
        <v>23</v>
      </c>
      <c r="W93" s="10" t="n">
        <v>720.36</v>
      </c>
      <c r="X93" s="10" t="n"/>
      <c r="Y93" s="12" t="n"/>
      <c r="Z93" s="10" t="n"/>
      <c r="AA93" s="10" t="n">
        <v>720.36</v>
      </c>
      <c r="AB93" s="12" t="n">
        <v>15</v>
      </c>
      <c r="AC93" s="10" t="n">
        <v>469.8</v>
      </c>
      <c r="AD93" s="10" t="n">
        <v>0</v>
      </c>
      <c r="AE93" s="2" t="n"/>
      <c r="AF93" s="2" t="inlineStr">
        <is>
          <t>供货厂自带票（带票带货）</t>
        </is>
      </c>
      <c r="AG93" s="10" t="n">
        <v>71378.28</v>
      </c>
      <c r="AH93" s="2" t="inlineStr">
        <is>
          <t>—</t>
        </is>
      </c>
      <c r="AI93" s="2" t="inlineStr">
        <is>
          <t>待登记</t>
        </is>
      </c>
      <c r="AJ93" s="2" t="inlineStr">
        <is>
          <t>未开始(前一环节未完成)</t>
        </is>
      </c>
      <c r="AK93" s="2" t="inlineStr">
        <is>
          <t>—</t>
        </is>
      </c>
      <c r="AL93" s="2" t="inlineStr">
        <is>
          <t>—</t>
        </is>
      </c>
      <c r="AM93" s="10" t="n">
        <v>0</v>
      </c>
      <c r="AN93" s="8" t="n">
        <v>46283</v>
      </c>
      <c r="AO93" s="2" t="inlineStr">
        <is>
          <t>2026-09</t>
        </is>
      </c>
      <c r="AP93" s="9" t="n">
        <v>0.6</v>
      </c>
      <c r="AQ93" s="2" t="n"/>
      <c r="AR93" s="2" t="inlineStr">
        <is>
          <t>华西特钢</t>
        </is>
      </c>
      <c r="AS93" s="2" t="inlineStr">
        <is>
          <t>华西-欧冶户头</t>
        </is>
      </c>
      <c r="AT93" s="2" t="n"/>
      <c r="AU93" s="2" t="inlineStr">
        <is>
          <t>2026-09-21由用户提供的台账数据整理后录入（9/18-9/20批次，Claude协助整理，用户确认）</t>
        </is>
      </c>
    </row>
    <row r="94">
      <c r="A94" s="2" t="n">
        <v>93</v>
      </c>
      <c r="B94" s="8" t="n">
        <v>46283</v>
      </c>
      <c r="C94" s="2" t="inlineStr">
        <is>
          <t>苏通源货6666</t>
        </is>
      </c>
      <c r="D94" s="2" t="inlineStr">
        <is>
          <t>船</t>
        </is>
      </c>
      <c r="E94" s="2" t="inlineStr">
        <is>
          <t>配票/反向</t>
        </is>
      </c>
      <c r="F94" s="2" t="inlineStr">
        <is>
          <t>反向</t>
        </is>
      </c>
      <c r="G94" s="2" t="n"/>
      <c r="H94" s="2" t="inlineStr">
        <is>
          <t>尹鹏飞</t>
        </is>
      </c>
      <c r="I94" s="2" t="inlineStr">
        <is>
          <t>反向-尹鹏飞</t>
        </is>
      </c>
      <c r="J94" s="2" t="inlineStr">
        <is>
          <t>已结算</t>
        </is>
      </c>
      <c r="K94" s="9" t="n">
        <v>646.85</v>
      </c>
      <c r="L94" s="10" t="n">
        <v>1563945.84</v>
      </c>
      <c r="M94" s="11">
        <f>Q94+S94-AA94-AC94-AD94</f>
        <v/>
      </c>
      <c r="N94" s="12">
        <f>IF(K94=0,0,M94/K94)</f>
        <v/>
      </c>
      <c r="O94" s="10" t="n">
        <v>0</v>
      </c>
      <c r="P94" s="12" t="n"/>
      <c r="Q94" s="10" t="n">
        <v>0</v>
      </c>
      <c r="R94" s="12" t="n">
        <v>25</v>
      </c>
      <c r="S94" s="10" t="n">
        <v>16171.25</v>
      </c>
      <c r="T94" s="12" t="n">
        <v>14</v>
      </c>
      <c r="U94" s="10" t="n">
        <v>1344993.4224</v>
      </c>
      <c r="V94" s="12" t="n">
        <v>0</v>
      </c>
      <c r="W94" s="10" t="n">
        <v>0</v>
      </c>
      <c r="X94" s="10" t="n">
        <v>1563945.84</v>
      </c>
      <c r="Y94" s="12" t="n">
        <v>13.8</v>
      </c>
      <c r="Z94" s="10" t="n">
        <v>1348121.31408</v>
      </c>
      <c r="AA94" s="10" t="n">
        <v>-3127.891680000117</v>
      </c>
      <c r="AB94" s="12" t="n">
        <v>0</v>
      </c>
      <c r="AC94" s="10" t="n">
        <v>0</v>
      </c>
      <c r="AD94" s="10" t="n">
        <v>0</v>
      </c>
      <c r="AE94" s="2" t="n"/>
      <c r="AF94" s="2" t="inlineStr">
        <is>
          <t>票商/反向 → 供货厂 → 欧冶</t>
        </is>
      </c>
      <c r="AG94" s="10" t="n">
        <v>1563945.84</v>
      </c>
      <c r="AH94" s="2" t="inlineStr">
        <is>
          <t>待登记</t>
        </is>
      </c>
      <c r="AI94" s="2" t="inlineStr">
        <is>
          <t>待登记</t>
        </is>
      </c>
      <c r="AJ94" s="2" t="inlineStr">
        <is>
          <t>未开始(前一环节未完成)</t>
        </is>
      </c>
      <c r="AK94" s="2" t="inlineStr">
        <is>
          <t>未开始(前一环节未完成)</t>
        </is>
      </c>
      <c r="AL94" s="2" t="inlineStr">
        <is>
          <t>—</t>
        </is>
      </c>
      <c r="AM94" s="10" t="n">
        <v>0</v>
      </c>
      <c r="AN94" s="8" t="n">
        <v>46283</v>
      </c>
      <c r="AO94" s="2" t="inlineStr">
        <is>
          <t>2026-09</t>
        </is>
      </c>
      <c r="AP94" s="9" t="n">
        <v>7.97</v>
      </c>
      <c r="AQ94" s="2" t="n"/>
      <c r="AR94" s="2" t="inlineStr">
        <is>
          <t>华西特钢</t>
        </is>
      </c>
      <c r="AS94" s="2" t="inlineStr">
        <is>
          <t>华西-欧冶户头</t>
        </is>
      </c>
      <c r="AT94" s="2" t="n"/>
      <c r="AU94" s="2" t="inlineStr">
        <is>
          <t>2026-09-21由用户提供的台账数据整理后录入（9/18-9/20批次，Claude协助整理，用户确认）</t>
        </is>
      </c>
    </row>
    <row r="95">
      <c r="A95" s="2" t="n">
        <v>94</v>
      </c>
      <c r="B95" s="8" t="n">
        <v>46284</v>
      </c>
      <c r="C95" s="2" t="inlineStr">
        <is>
          <t>皖AP7737</t>
        </is>
      </c>
      <c r="D95" s="2" t="inlineStr">
        <is>
          <t>车</t>
        </is>
      </c>
      <c r="E95" s="2" t="inlineStr">
        <is>
          <t>配票/反向</t>
        </is>
      </c>
      <c r="F95" s="2" t="inlineStr">
        <is>
          <t>反向</t>
        </is>
      </c>
      <c r="G95" s="2" t="inlineStr">
        <is>
          <t>闫东朋</t>
        </is>
      </c>
      <c r="H95" s="2" t="inlineStr">
        <is>
          <t>闫东朋车队</t>
        </is>
      </c>
      <c r="I95" s="2" t="inlineStr">
        <is>
          <t>反向-闫东朋</t>
        </is>
      </c>
      <c r="J95" s="2" t="inlineStr">
        <is>
          <t>已结算</t>
        </is>
      </c>
      <c r="K95" s="9" t="n">
        <v>30.22</v>
      </c>
      <c r="L95" s="10" t="n">
        <v>75852.2</v>
      </c>
      <c r="M95" s="11">
        <f>Q95+S95-AA95-AC95-AD95</f>
        <v/>
      </c>
      <c r="N95" s="12">
        <f>IF(K95=0,0,M95/K95)</f>
        <v/>
      </c>
      <c r="O95" s="10" t="n">
        <v>0</v>
      </c>
      <c r="P95" s="12" t="n"/>
      <c r="Q95" s="10" t="n">
        <v>0</v>
      </c>
      <c r="R95" s="12" t="n">
        <v>25</v>
      </c>
      <c r="S95" s="10" t="n">
        <v>755.5</v>
      </c>
      <c r="T95" s="12" t="n">
        <v>14</v>
      </c>
      <c r="U95" s="10" t="n">
        <v>65232.892</v>
      </c>
      <c r="V95" s="12" t="n">
        <v>0</v>
      </c>
      <c r="W95" s="10" t="n">
        <v>0</v>
      </c>
      <c r="X95" s="10" t="n">
        <v>75852.2</v>
      </c>
      <c r="Y95" s="12" t="n">
        <v>13.8</v>
      </c>
      <c r="Z95" s="10" t="n">
        <v>65384.59639999999</v>
      </c>
      <c r="AA95" s="10" t="n">
        <v>-151.7043999999951</v>
      </c>
      <c r="AB95" s="12" t="n">
        <v>0</v>
      </c>
      <c r="AC95" s="10" t="n">
        <v>0</v>
      </c>
      <c r="AD95" s="10" t="n">
        <v>0</v>
      </c>
      <c r="AE95" s="2" t="n"/>
      <c r="AF95" s="2" t="inlineStr">
        <is>
          <t>票商/反向 → 供货厂 → 欧冶</t>
        </is>
      </c>
      <c r="AG95" s="10" t="n">
        <v>75852.2</v>
      </c>
      <c r="AH95" s="2" t="inlineStr">
        <is>
          <t>待登记</t>
        </is>
      </c>
      <c r="AI95" s="2" t="inlineStr">
        <is>
          <t>待登记</t>
        </is>
      </c>
      <c r="AJ95" s="2" t="inlineStr">
        <is>
          <t>未开始(前一环节未完成)</t>
        </is>
      </c>
      <c r="AK95" s="2" t="inlineStr">
        <is>
          <t>未开始(前一环节未完成)</t>
        </is>
      </c>
      <c r="AL95" s="2" t="inlineStr">
        <is>
          <t>—</t>
        </is>
      </c>
      <c r="AM95" s="10" t="n">
        <v>0</v>
      </c>
      <c r="AN95" s="8" t="n">
        <v>46284</v>
      </c>
      <c r="AO95" s="2" t="inlineStr">
        <is>
          <t>2026-09</t>
        </is>
      </c>
      <c r="AP95" s="9" t="n">
        <v>0.3</v>
      </c>
      <c r="AQ95" s="2" t="n"/>
      <c r="AR95" s="2" t="inlineStr">
        <is>
          <t>华西特钢</t>
        </is>
      </c>
      <c r="AS95" s="2" t="inlineStr">
        <is>
          <t>华西-欧冶户头</t>
        </is>
      </c>
      <c r="AT95" s="2" t="n"/>
      <c r="AU95" s="2" t="inlineStr">
        <is>
          <t>2026-09-21由用户提供的台账数据整理后录入（9/18-9/20批次，Claude协助整理，用户确认）</t>
        </is>
      </c>
    </row>
    <row r="96">
      <c r="A96" s="2" t="n">
        <v>95</v>
      </c>
      <c r="B96" s="8" t="n">
        <v>46284</v>
      </c>
      <c r="C96" s="2" t="inlineStr">
        <is>
          <t>苏GE2356</t>
        </is>
      </c>
      <c r="D96" s="2" t="inlineStr">
        <is>
          <t>车</t>
        </is>
      </c>
      <c r="E96" s="2" t="inlineStr">
        <is>
          <t>配票/反向</t>
        </is>
      </c>
      <c r="F96" s="2" t="inlineStr">
        <is>
          <t>配票</t>
        </is>
      </c>
      <c r="G96" s="2" t="inlineStr">
        <is>
          <t>林凯</t>
        </is>
      </c>
      <c r="H96" s="2" t="inlineStr">
        <is>
          <t>林凯车队</t>
        </is>
      </c>
      <c r="I96" s="2" t="inlineStr">
        <is>
          <t>煌烽</t>
        </is>
      </c>
      <c r="J96" s="2" t="inlineStr">
        <is>
          <t>已结算</t>
        </is>
      </c>
      <c r="K96" s="9" t="n">
        <v>33.86</v>
      </c>
      <c r="L96" s="10" t="n">
        <v>78793.8</v>
      </c>
      <c r="M96" s="11">
        <f>Q96+S96-AA96-AC96-AD96</f>
        <v/>
      </c>
      <c r="N96" s="12">
        <f>IF(K96=0,0,M96/K96)</f>
        <v/>
      </c>
      <c r="O96" s="10" t="n">
        <v>0</v>
      </c>
      <c r="P96" s="12" t="n"/>
      <c r="Q96" s="10" t="n">
        <v>0</v>
      </c>
      <c r="R96" s="12" t="n">
        <v>25</v>
      </c>
      <c r="S96" s="10" t="n">
        <v>846.5</v>
      </c>
      <c r="T96" s="12" t="n">
        <v>14</v>
      </c>
      <c r="U96" s="10" t="n">
        <v>67762.66800000001</v>
      </c>
      <c r="V96" s="12" t="n">
        <v>23</v>
      </c>
      <c r="W96" s="10" t="n">
        <v>778.78</v>
      </c>
      <c r="X96" s="10" t="n">
        <v>78015.02</v>
      </c>
      <c r="Y96" s="12" t="n">
        <v>13.2</v>
      </c>
      <c r="Z96" s="10" t="n">
        <v>67717.03736</v>
      </c>
      <c r="AA96" s="10" t="n">
        <v>45.63064000000304</v>
      </c>
      <c r="AB96" s="12" t="n">
        <v>0</v>
      </c>
      <c r="AC96" s="10" t="n">
        <v>0</v>
      </c>
      <c r="AD96" s="10" t="n">
        <v>100</v>
      </c>
      <c r="AE96" s="2" t="n"/>
      <c r="AF96" s="2" t="inlineStr">
        <is>
          <t>我们配票（经俊兴）</t>
        </is>
      </c>
      <c r="AG96" s="10" t="n">
        <v>78015.02</v>
      </c>
      <c r="AH96" s="2" t="inlineStr">
        <is>
          <t>待登记</t>
        </is>
      </c>
      <c r="AI96" s="2" t="inlineStr">
        <is>
          <t>待登记</t>
        </is>
      </c>
      <c r="AJ96" s="2" t="inlineStr">
        <is>
          <t>未开始(前一环节未完成)</t>
        </is>
      </c>
      <c r="AK96" s="2" t="inlineStr">
        <is>
          <t>未开始(前一环节未完成)</t>
        </is>
      </c>
      <c r="AL96" s="2" t="inlineStr">
        <is>
          <t>未开始(前一环节未完成)</t>
        </is>
      </c>
      <c r="AM96" s="10" t="n">
        <v>0</v>
      </c>
      <c r="AN96" s="8" t="n">
        <v>46284</v>
      </c>
      <c r="AO96" s="2" t="inlineStr">
        <is>
          <t>2026-09</t>
        </is>
      </c>
      <c r="AP96" s="9" t="n">
        <v>0.6</v>
      </c>
      <c r="AQ96" s="2" t="n"/>
      <c r="AR96" s="2" t="inlineStr">
        <is>
          <t>华西特钢</t>
        </is>
      </c>
      <c r="AS96" s="2" t="inlineStr">
        <is>
          <t>华西-欧冶户头</t>
        </is>
      </c>
      <c r="AT96" s="2" t="n"/>
      <c r="AU96" s="2" t="inlineStr">
        <is>
          <t>2026-09-21由用户提供的台账数据整理后录入（9/18-9/20批次，Claude协助整理，用户确认）</t>
        </is>
      </c>
    </row>
    <row r="97">
      <c r="A97" s="2" t="n">
        <v>96</v>
      </c>
      <c r="B97" s="8" t="n">
        <v>46284</v>
      </c>
      <c r="C97" s="2" t="inlineStr">
        <is>
          <t>苏NHY179</t>
        </is>
      </c>
      <c r="D97" s="2" t="inlineStr">
        <is>
          <t>车</t>
        </is>
      </c>
      <c r="E97" s="2" t="inlineStr">
        <is>
          <t>配票/反向</t>
        </is>
      </c>
      <c r="F97" s="2" t="inlineStr">
        <is>
          <t>配票</t>
        </is>
      </c>
      <c r="G97" s="2" t="inlineStr">
        <is>
          <t>林凯</t>
        </is>
      </c>
      <c r="H97" s="2" t="inlineStr">
        <is>
          <t>林凯车队</t>
        </is>
      </c>
      <c r="I97" s="2" t="inlineStr">
        <is>
          <t>煌烽</t>
        </is>
      </c>
      <c r="J97" s="2" t="inlineStr">
        <is>
          <t>已结算</t>
        </is>
      </c>
      <c r="K97" s="9" t="n">
        <v>33.96</v>
      </c>
      <c r="L97" s="10" t="n">
        <v>78619.28</v>
      </c>
      <c r="M97" s="11">
        <f>Q97+S97-AA97-AC97-AD97</f>
        <v/>
      </c>
      <c r="N97" s="12">
        <f>IF(K97=0,0,M97/K97)</f>
        <v/>
      </c>
      <c r="O97" s="10" t="n">
        <v>0</v>
      </c>
      <c r="P97" s="12" t="n"/>
      <c r="Q97" s="10" t="n">
        <v>0</v>
      </c>
      <c r="R97" s="12" t="n">
        <v>25</v>
      </c>
      <c r="S97" s="10" t="n">
        <v>849</v>
      </c>
      <c r="T97" s="12" t="n">
        <v>14</v>
      </c>
      <c r="U97" s="10" t="n">
        <v>67612.5808</v>
      </c>
      <c r="V97" s="12" t="n">
        <v>23</v>
      </c>
      <c r="W97" s="10" t="n">
        <v>781.08</v>
      </c>
      <c r="X97" s="10" t="n">
        <v>77838.2</v>
      </c>
      <c r="Y97" s="12" t="n">
        <v>13.2</v>
      </c>
      <c r="Z97" s="10" t="n">
        <v>67563.5576</v>
      </c>
      <c r="AA97" s="10" t="n">
        <v>49.023199999996</v>
      </c>
      <c r="AB97" s="12" t="n">
        <v>0</v>
      </c>
      <c r="AC97" s="10" t="n">
        <v>0</v>
      </c>
      <c r="AD97" s="10" t="n">
        <v>100</v>
      </c>
      <c r="AE97" s="2" t="n"/>
      <c r="AF97" s="2" t="inlineStr">
        <is>
          <t>我们配票（经俊兴）</t>
        </is>
      </c>
      <c r="AG97" s="10" t="n">
        <v>77838.2</v>
      </c>
      <c r="AH97" s="2" t="inlineStr">
        <is>
          <t>待登记</t>
        </is>
      </c>
      <c r="AI97" s="2" t="inlineStr">
        <is>
          <t>待登记</t>
        </is>
      </c>
      <c r="AJ97" s="2" t="inlineStr">
        <is>
          <t>未开始(前一环节未完成)</t>
        </is>
      </c>
      <c r="AK97" s="2" t="inlineStr">
        <is>
          <t>未开始(前一环节未完成)</t>
        </is>
      </c>
      <c r="AL97" s="2" t="inlineStr">
        <is>
          <t>未开始(前一环节未完成)</t>
        </is>
      </c>
      <c r="AM97" s="10" t="n">
        <v>0</v>
      </c>
      <c r="AN97" s="8" t="n">
        <v>46284</v>
      </c>
      <c r="AO97" s="2" t="inlineStr">
        <is>
          <t>2026-09</t>
        </is>
      </c>
      <c r="AP97" s="9" t="n">
        <v>0.6</v>
      </c>
      <c r="AQ97" s="2" t="n"/>
      <c r="AR97" s="2" t="inlineStr">
        <is>
          <t>华西特钢</t>
        </is>
      </c>
      <c r="AS97" s="2" t="inlineStr">
        <is>
          <t>华西-欧冶户头</t>
        </is>
      </c>
      <c r="AT97" s="2" t="n"/>
      <c r="AU97" s="2" t="inlineStr">
        <is>
          <t>2026-09-21由用户提供的台账数据整理后录入（9/18-9/20批次，Claude协助整理，用户确认）</t>
        </is>
      </c>
    </row>
    <row r="98">
      <c r="A98" s="2" t="n">
        <v>97</v>
      </c>
      <c r="B98" s="8" t="n">
        <v>46284</v>
      </c>
      <c r="C98" s="2" t="inlineStr">
        <is>
          <t>皖SG1498</t>
        </is>
      </c>
      <c r="D98" s="2" t="inlineStr">
        <is>
          <t>车</t>
        </is>
      </c>
      <c r="E98" s="2" t="inlineStr">
        <is>
          <t>带票带货</t>
        </is>
      </c>
      <c r="F98" s="2" t="inlineStr">
        <is>
          <t>直签带票</t>
        </is>
      </c>
      <c r="G98" s="2" t="inlineStr">
        <is>
          <t>林凯</t>
        </is>
      </c>
      <c r="H98" s="2" t="inlineStr">
        <is>
          <t>兴德</t>
        </is>
      </c>
      <c r="I98" s="2" t="n"/>
      <c r="J98" s="2" t="inlineStr">
        <is>
          <t>已结算</t>
        </is>
      </c>
      <c r="K98" s="9" t="n">
        <v>30.06</v>
      </c>
      <c r="L98" s="10" t="n">
        <v>75450.60000000001</v>
      </c>
      <c r="M98" s="11">
        <f>Q98+S98-AA98-AC98-AD98</f>
        <v/>
      </c>
      <c r="N98" s="12">
        <f>IF(K98=0,0,M98/K98)</f>
        <v/>
      </c>
      <c r="O98" s="10" t="n">
        <v>0</v>
      </c>
      <c r="P98" s="12" t="n">
        <v>40</v>
      </c>
      <c r="Q98" s="10" t="n">
        <v>1202.4</v>
      </c>
      <c r="R98" s="12" t="n">
        <v>25</v>
      </c>
      <c r="S98" s="10" t="n">
        <v>751.5</v>
      </c>
      <c r="T98" s="12" t="n"/>
      <c r="U98" s="10" t="n"/>
      <c r="V98" s="12" t="n">
        <v>23</v>
      </c>
      <c r="W98" s="10" t="n">
        <v>691.38</v>
      </c>
      <c r="X98" s="10" t="n"/>
      <c r="Y98" s="12" t="n"/>
      <c r="Z98" s="10" t="n"/>
      <c r="AA98" s="10" t="n">
        <v>691.38</v>
      </c>
      <c r="AB98" s="12" t="n">
        <v>15</v>
      </c>
      <c r="AC98" s="10" t="n">
        <v>450.9</v>
      </c>
      <c r="AD98" s="10" t="n">
        <v>0</v>
      </c>
      <c r="AE98" s="2" t="n"/>
      <c r="AF98" s="2" t="inlineStr">
        <is>
          <t>供货厂自带票（带票带货）</t>
        </is>
      </c>
      <c r="AG98" s="10" t="n">
        <v>74759.22</v>
      </c>
      <c r="AH98" s="2" t="inlineStr">
        <is>
          <t>—</t>
        </is>
      </c>
      <c r="AI98" s="2" t="inlineStr">
        <is>
          <t>待登记</t>
        </is>
      </c>
      <c r="AJ98" s="2" t="inlineStr">
        <is>
          <t>未开始(前一环节未完成)</t>
        </is>
      </c>
      <c r="AK98" s="2" t="inlineStr">
        <is>
          <t>—</t>
        </is>
      </c>
      <c r="AL98" s="2" t="inlineStr">
        <is>
          <t>—</t>
        </is>
      </c>
      <c r="AM98" s="10" t="n">
        <v>0</v>
      </c>
      <c r="AN98" s="8" t="n">
        <v>46284</v>
      </c>
      <c r="AO98" s="2" t="inlineStr">
        <is>
          <t>2026-09</t>
        </is>
      </c>
      <c r="AP98" s="9" t="n">
        <v>5.6</v>
      </c>
      <c r="AQ98" s="2" t="n"/>
      <c r="AR98" s="2" t="inlineStr">
        <is>
          <t>华西特钢</t>
        </is>
      </c>
      <c r="AS98" s="2" t="inlineStr">
        <is>
          <t>华西-欧冶户头</t>
        </is>
      </c>
      <c r="AT98" s="2" t="n"/>
      <c r="AU98" s="2" t="inlineStr">
        <is>
          <t>2026-09-21由用户提供的台账数据整理后录入（9/18-9/20批次，Claude协助整理，用户确认）</t>
        </is>
      </c>
    </row>
    <row r="99">
      <c r="A99" s="2" t="n">
        <v>98</v>
      </c>
      <c r="B99" s="8" t="n">
        <v>46285</v>
      </c>
      <c r="C99" s="2" t="inlineStr">
        <is>
          <t>苏DBB772</t>
        </is>
      </c>
      <c r="D99" s="2" t="inlineStr">
        <is>
          <t>车</t>
        </is>
      </c>
      <c r="E99" s="2" t="inlineStr">
        <is>
          <t>带票带货</t>
        </is>
      </c>
      <c r="F99" s="2" t="inlineStr">
        <is>
          <t>直签带票</t>
        </is>
      </c>
      <c r="G99" s="2" t="inlineStr">
        <is>
          <t>林凯</t>
        </is>
      </c>
      <c r="H99" s="2" t="inlineStr">
        <is>
          <t>君盛</t>
        </is>
      </c>
      <c r="I99" s="2" t="n"/>
      <c r="J99" s="2" t="inlineStr">
        <is>
          <t>已结算</t>
        </is>
      </c>
      <c r="K99" s="9" t="n">
        <v>32.12</v>
      </c>
      <c r="L99" s="10" t="n">
        <v>73940.24000000001</v>
      </c>
      <c r="M99" s="11">
        <f>Q99+S99-AA99-AC99-AD99</f>
        <v/>
      </c>
      <c r="N99" s="12">
        <f>IF(K99=0,0,M99/K99)</f>
        <v/>
      </c>
      <c r="O99" s="10" t="n">
        <v>0</v>
      </c>
      <c r="P99" s="12" t="n">
        <v>40</v>
      </c>
      <c r="Q99" s="10" t="n">
        <v>1284.8</v>
      </c>
      <c r="R99" s="12" t="n">
        <v>25</v>
      </c>
      <c r="S99" s="10" t="n">
        <v>803.0000000000001</v>
      </c>
      <c r="T99" s="12" t="n"/>
      <c r="U99" s="10" t="n"/>
      <c r="V99" s="12" t="n">
        <v>23</v>
      </c>
      <c r="W99" s="10" t="n">
        <v>738.7600000000001</v>
      </c>
      <c r="X99" s="10" t="n"/>
      <c r="Y99" s="12" t="n"/>
      <c r="Z99" s="10" t="n"/>
      <c r="AA99" s="10" t="n">
        <v>738.7600000000001</v>
      </c>
      <c r="AB99" s="12" t="n">
        <v>15</v>
      </c>
      <c r="AC99" s="10" t="n">
        <v>481.8000000000001</v>
      </c>
      <c r="AD99" s="10" t="n">
        <v>0</v>
      </c>
      <c r="AE99" s="2" t="n"/>
      <c r="AF99" s="2" t="inlineStr">
        <is>
          <t>供货厂自带票（带票带货）</t>
        </is>
      </c>
      <c r="AG99" s="10" t="n">
        <v>73201.48</v>
      </c>
      <c r="AH99" s="2" t="inlineStr">
        <is>
          <t>—</t>
        </is>
      </c>
      <c r="AI99" s="2" t="inlineStr">
        <is>
          <t>待登记</t>
        </is>
      </c>
      <c r="AJ99" s="2" t="inlineStr">
        <is>
          <t>未开始(前一环节未完成)</t>
        </is>
      </c>
      <c r="AK99" s="2" t="inlineStr">
        <is>
          <t>—</t>
        </is>
      </c>
      <c r="AL99" s="2" t="inlineStr">
        <is>
          <t>—</t>
        </is>
      </c>
      <c r="AM99" s="10" t="n">
        <v>0</v>
      </c>
      <c r="AN99" s="8" t="n">
        <v>46285</v>
      </c>
      <c r="AO99" s="2" t="inlineStr">
        <is>
          <t>2026-09</t>
        </is>
      </c>
      <c r="AP99" s="9" t="n">
        <v>0.7</v>
      </c>
      <c r="AQ99" s="2" t="n"/>
      <c r="AR99" s="2" t="inlineStr">
        <is>
          <t>华西特钢</t>
        </is>
      </c>
      <c r="AS99" s="2" t="inlineStr">
        <is>
          <t>华西-欧冶户头</t>
        </is>
      </c>
      <c r="AT99" s="2" t="n"/>
      <c r="AU99" s="2" t="inlineStr">
        <is>
          <t>2026-09-21由用户提供的台账数据整理后录入（9/18-9/20批次，Claude协助整理，用户确认）</t>
        </is>
      </c>
    </row>
    <row r="100">
      <c r="A100" s="2" t="n">
        <v>99</v>
      </c>
      <c r="B100" s="8" t="n">
        <v>46285</v>
      </c>
      <c r="C100" s="2" t="inlineStr">
        <is>
          <t>苏DBE075</t>
        </is>
      </c>
      <c r="D100" s="2" t="inlineStr">
        <is>
          <t>车</t>
        </is>
      </c>
      <c r="E100" s="2" t="inlineStr">
        <is>
          <t>带票带货</t>
        </is>
      </c>
      <c r="F100" s="2" t="inlineStr">
        <is>
          <t>直签带票</t>
        </is>
      </c>
      <c r="G100" s="2" t="inlineStr">
        <is>
          <t>林凯</t>
        </is>
      </c>
      <c r="H100" s="2" t="inlineStr">
        <is>
          <t>君盛</t>
        </is>
      </c>
      <c r="I100" s="2" t="n"/>
      <c r="J100" s="2" t="inlineStr">
        <is>
          <t>已结算</t>
        </is>
      </c>
      <c r="K100" s="9" t="n">
        <v>32.72</v>
      </c>
      <c r="L100" s="10" t="n">
        <v>75321.44</v>
      </c>
      <c r="M100" s="11">
        <f>Q100+S100-AA100-AC100-AD100</f>
        <v/>
      </c>
      <c r="N100" s="12">
        <f>IF(K100=0,0,M100/K100)</f>
        <v/>
      </c>
      <c r="O100" s="10" t="n">
        <v>0</v>
      </c>
      <c r="P100" s="12" t="n">
        <v>40</v>
      </c>
      <c r="Q100" s="10" t="n">
        <v>1308.8</v>
      </c>
      <c r="R100" s="12" t="n">
        <v>25</v>
      </c>
      <c r="S100" s="10" t="n">
        <v>818</v>
      </c>
      <c r="T100" s="12" t="n"/>
      <c r="U100" s="10" t="n"/>
      <c r="V100" s="12" t="n">
        <v>23</v>
      </c>
      <c r="W100" s="10" t="n">
        <v>752.5599999999999</v>
      </c>
      <c r="X100" s="10" t="n"/>
      <c r="Y100" s="12" t="n"/>
      <c r="Z100" s="10" t="n"/>
      <c r="AA100" s="10" t="n">
        <v>752.5599999999999</v>
      </c>
      <c r="AB100" s="12" t="n">
        <v>15</v>
      </c>
      <c r="AC100" s="10" t="n">
        <v>490.8</v>
      </c>
      <c r="AD100" s="10" t="n">
        <v>0</v>
      </c>
      <c r="AE100" s="2" t="n"/>
      <c r="AF100" s="2" t="inlineStr">
        <is>
          <t>供货厂自带票（带票带货）</t>
        </is>
      </c>
      <c r="AG100" s="10" t="n">
        <v>74568.88</v>
      </c>
      <c r="AH100" s="2" t="inlineStr">
        <is>
          <t>—</t>
        </is>
      </c>
      <c r="AI100" s="2" t="inlineStr">
        <is>
          <t>待登记</t>
        </is>
      </c>
      <c r="AJ100" s="2" t="inlineStr">
        <is>
          <t>未开始(前一环节未完成)</t>
        </is>
      </c>
      <c r="AK100" s="2" t="inlineStr">
        <is>
          <t>—</t>
        </is>
      </c>
      <c r="AL100" s="2" t="inlineStr">
        <is>
          <t>—</t>
        </is>
      </c>
      <c r="AM100" s="10" t="n">
        <v>0</v>
      </c>
      <c r="AN100" s="8" t="n">
        <v>46285</v>
      </c>
      <c r="AO100" s="2" t="inlineStr">
        <is>
          <t>2026-09</t>
        </is>
      </c>
      <c r="AP100" s="9" t="n">
        <v>0.6</v>
      </c>
      <c r="AQ100" s="2" t="n"/>
      <c r="AR100" s="2" t="inlineStr">
        <is>
          <t>华西特钢</t>
        </is>
      </c>
      <c r="AS100" s="2" t="inlineStr">
        <is>
          <t>华西-欧冶户头</t>
        </is>
      </c>
      <c r="AT100" s="2" t="n"/>
      <c r="AU100" s="2" t="inlineStr">
        <is>
          <t>2026-09-21由用户提供的台账数据整理后录入（9/18-9/20批次，Claude协助整理，用户确认）</t>
        </is>
      </c>
    </row>
    <row r="101">
      <c r="A101" s="2" t="n">
        <v>100</v>
      </c>
      <c r="B101" s="8" t="n">
        <v>46285</v>
      </c>
      <c r="C101" s="2" t="inlineStr">
        <is>
          <t>苏BYR535</t>
        </is>
      </c>
      <c r="D101" s="2" t="inlineStr">
        <is>
          <t>车</t>
        </is>
      </c>
      <c r="E101" s="2" t="inlineStr">
        <is>
          <t>带票带货</t>
        </is>
      </c>
      <c r="F101" s="2" t="inlineStr">
        <is>
          <t>直签带票</t>
        </is>
      </c>
      <c r="G101" s="2" t="inlineStr">
        <is>
          <t>林凯</t>
        </is>
      </c>
      <c r="H101" s="2" t="inlineStr">
        <is>
          <t>兴德</t>
        </is>
      </c>
      <c r="I101" s="2" t="n"/>
      <c r="J101" s="2" t="inlineStr">
        <is>
          <t>已结算</t>
        </is>
      </c>
      <c r="K101" s="9" t="n">
        <v>57.86</v>
      </c>
      <c r="L101" s="10" t="n">
        <v>147543</v>
      </c>
      <c r="M101" s="11">
        <f>Q101+S101-AA101-AC101-AD101</f>
        <v/>
      </c>
      <c r="N101" s="12">
        <f>IF(K101=0,0,M101/K101)</f>
        <v/>
      </c>
      <c r="O101" s="10" t="n">
        <v>0</v>
      </c>
      <c r="P101" s="12" t="n">
        <v>40</v>
      </c>
      <c r="Q101" s="10" t="n">
        <v>2314.4</v>
      </c>
      <c r="R101" s="12" t="n">
        <v>25</v>
      </c>
      <c r="S101" s="10" t="n">
        <v>1446.5</v>
      </c>
      <c r="T101" s="12" t="n"/>
      <c r="U101" s="10" t="n"/>
      <c r="V101" s="12" t="n">
        <v>23</v>
      </c>
      <c r="W101" s="10" t="n">
        <v>1330.78</v>
      </c>
      <c r="X101" s="10" t="n"/>
      <c r="Y101" s="12" t="n"/>
      <c r="Z101" s="10" t="n"/>
      <c r="AA101" s="10" t="n">
        <v>1330.78</v>
      </c>
      <c r="AB101" s="12" t="n">
        <v>15</v>
      </c>
      <c r="AC101" s="10" t="n">
        <v>867.9</v>
      </c>
      <c r="AD101" s="10" t="n">
        <v>0</v>
      </c>
      <c r="AE101" s="2" t="n"/>
      <c r="AF101" s="2" t="inlineStr">
        <is>
          <t>供货厂自带票（带票带货）</t>
        </is>
      </c>
      <c r="AG101" s="10" t="n">
        <v>146212.22</v>
      </c>
      <c r="AH101" s="2" t="inlineStr">
        <is>
          <t>—</t>
        </is>
      </c>
      <c r="AI101" s="2" t="inlineStr">
        <is>
          <t>待登记</t>
        </is>
      </c>
      <c r="AJ101" s="2" t="inlineStr">
        <is>
          <t>未开始(前一环节未完成)</t>
        </is>
      </c>
      <c r="AK101" s="2" t="inlineStr">
        <is>
          <t>—</t>
        </is>
      </c>
      <c r="AL101" s="2" t="inlineStr">
        <is>
          <t>—</t>
        </is>
      </c>
      <c r="AM101" s="10" t="n">
        <v>0</v>
      </c>
      <c r="AN101" s="8" t="n">
        <v>46285</v>
      </c>
      <c r="AO101" s="2" t="inlineStr">
        <is>
          <t>2026-09</t>
        </is>
      </c>
      <c r="AP101" s="9" t="n">
        <v>3</v>
      </c>
      <c r="AQ101" s="2" t="n"/>
      <c r="AR101" s="2" t="inlineStr">
        <is>
          <t>华西特钢</t>
        </is>
      </c>
      <c r="AS101" s="2" t="inlineStr">
        <is>
          <t>华西-欧冶户头</t>
        </is>
      </c>
      <c r="AT101" s="2" t="n"/>
      <c r="AU101" s="2" t="inlineStr">
        <is>
          <t>2026-09-21由用户提供的台账数据整理后录入（9/18-9/20批次，Claude协助整理，用户确认）</t>
        </is>
      </c>
    </row>
    <row r="102">
      <c r="A102" s="2" t="n">
        <v>101</v>
      </c>
      <c r="B102" s="8" t="n">
        <v>46285</v>
      </c>
      <c r="C102" s="2" t="inlineStr">
        <is>
          <t>冀A224E6</t>
        </is>
      </c>
      <c r="D102" s="2" t="inlineStr">
        <is>
          <t>车</t>
        </is>
      </c>
      <c r="E102" s="2" t="inlineStr">
        <is>
          <t>带票带货</t>
        </is>
      </c>
      <c r="F102" s="2" t="inlineStr">
        <is>
          <t>直签带票</t>
        </is>
      </c>
      <c r="G102" s="2" t="inlineStr">
        <is>
          <t>林凯</t>
        </is>
      </c>
      <c r="H102" s="2" t="inlineStr">
        <is>
          <t>兴德</t>
        </is>
      </c>
      <c r="I102" s="2" t="n"/>
      <c r="J102" s="2" t="inlineStr">
        <is>
          <t>已结算</t>
        </is>
      </c>
      <c r="K102" s="9" t="n">
        <v>42.94</v>
      </c>
      <c r="L102" s="10" t="n">
        <v>109497</v>
      </c>
      <c r="M102" s="11">
        <f>Q102+S102-AA102-AC102-AD102</f>
        <v/>
      </c>
      <c r="N102" s="12">
        <f>IF(K102=0,0,M102/K102)</f>
        <v/>
      </c>
      <c r="O102" s="10" t="n">
        <v>0</v>
      </c>
      <c r="P102" s="12" t="n">
        <v>40</v>
      </c>
      <c r="Q102" s="10" t="n">
        <v>1717.6</v>
      </c>
      <c r="R102" s="12" t="n">
        <v>25</v>
      </c>
      <c r="S102" s="10" t="n">
        <v>1073.5</v>
      </c>
      <c r="T102" s="12" t="n"/>
      <c r="U102" s="10" t="n"/>
      <c r="V102" s="12" t="n">
        <v>23</v>
      </c>
      <c r="W102" s="10" t="n">
        <v>987.6199999999999</v>
      </c>
      <c r="X102" s="10" t="n"/>
      <c r="Y102" s="12" t="n"/>
      <c r="Z102" s="10" t="n"/>
      <c r="AA102" s="10" t="n">
        <v>987.6199999999999</v>
      </c>
      <c r="AB102" s="12" t="n">
        <v>15</v>
      </c>
      <c r="AC102" s="10" t="n">
        <v>644.0999999999999</v>
      </c>
      <c r="AD102" s="10" t="n">
        <v>0</v>
      </c>
      <c r="AE102" s="2" t="n"/>
      <c r="AF102" s="2" t="inlineStr">
        <is>
          <t>供货厂自带票（带票带货）</t>
        </is>
      </c>
      <c r="AG102" s="10" t="n">
        <v>108509.38</v>
      </c>
      <c r="AH102" s="2" t="inlineStr">
        <is>
          <t>—</t>
        </is>
      </c>
      <c r="AI102" s="2" t="inlineStr">
        <is>
          <t>待登记</t>
        </is>
      </c>
      <c r="AJ102" s="2" t="inlineStr">
        <is>
          <t>未开始(前一环节未完成)</t>
        </is>
      </c>
      <c r="AK102" s="2" t="inlineStr">
        <is>
          <t>—</t>
        </is>
      </c>
      <c r="AL102" s="2" t="inlineStr">
        <is>
          <t>—</t>
        </is>
      </c>
      <c r="AM102" s="10" t="n">
        <v>0</v>
      </c>
      <c r="AN102" s="8" t="n">
        <v>46285</v>
      </c>
      <c r="AO102" s="2" t="inlineStr">
        <is>
          <t>2026-09</t>
        </is>
      </c>
      <c r="AP102" s="9" t="n">
        <v>5</v>
      </c>
      <c r="AQ102" s="2" t="n"/>
      <c r="AR102" s="2" t="inlineStr">
        <is>
          <t>华西特钢</t>
        </is>
      </c>
      <c r="AS102" s="2" t="inlineStr">
        <is>
          <t>华西-欧冶户头</t>
        </is>
      </c>
      <c r="AT102" s="2" t="n"/>
      <c r="AU102" s="2" t="inlineStr">
        <is>
          <t>2026-09-21由用户提供的台账数据整理后录入（9/18-9/20批次，Claude协助整理，用户确认）</t>
        </is>
      </c>
    </row>
    <row r="103">
      <c r="A103" s="2" t="n">
        <v>102</v>
      </c>
      <c r="B103" s="8" t="n">
        <v>46285</v>
      </c>
      <c r="C103" s="2" t="inlineStr">
        <is>
          <t>苏DBB772</t>
        </is>
      </c>
      <c r="D103" s="2" t="inlineStr">
        <is>
          <t>车</t>
        </is>
      </c>
      <c r="E103" s="2" t="inlineStr">
        <is>
          <t>带票带货</t>
        </is>
      </c>
      <c r="F103" s="2" t="inlineStr">
        <is>
          <t>直签带票</t>
        </is>
      </c>
      <c r="G103" s="2" t="inlineStr">
        <is>
          <t>林凯</t>
        </is>
      </c>
      <c r="H103" s="2" t="inlineStr">
        <is>
          <t>兴德</t>
        </is>
      </c>
      <c r="I103" s="2" t="n"/>
      <c r="J103" s="2" t="inlineStr">
        <is>
          <t>已结算</t>
        </is>
      </c>
      <c r="K103" s="9" t="n">
        <v>75.44</v>
      </c>
      <c r="L103" s="10" t="n">
        <v>196898.4</v>
      </c>
      <c r="M103" s="11">
        <f>Q103+S103-AA103-AC103-AD103</f>
        <v/>
      </c>
      <c r="N103" s="12">
        <f>IF(K103=0,0,M103/K103)</f>
        <v/>
      </c>
      <c r="O103" s="10" t="n">
        <v>0</v>
      </c>
      <c r="P103" s="12" t="n">
        <v>40</v>
      </c>
      <c r="Q103" s="10" t="n">
        <v>3017.6</v>
      </c>
      <c r="R103" s="12" t="n">
        <v>25</v>
      </c>
      <c r="S103" s="10" t="n">
        <v>1886</v>
      </c>
      <c r="T103" s="12" t="n"/>
      <c r="U103" s="10" t="n"/>
      <c r="V103" s="12" t="n">
        <v>23</v>
      </c>
      <c r="W103" s="10" t="n">
        <v>1735.12</v>
      </c>
      <c r="X103" s="10" t="n"/>
      <c r="Y103" s="12" t="n"/>
      <c r="Z103" s="10" t="n"/>
      <c r="AA103" s="10" t="n">
        <v>1735.12</v>
      </c>
      <c r="AB103" s="12" t="n">
        <v>15</v>
      </c>
      <c r="AC103" s="10" t="n">
        <v>1131.6</v>
      </c>
      <c r="AD103" s="10" t="n">
        <v>0</v>
      </c>
      <c r="AE103" s="2" t="n"/>
      <c r="AF103" s="2" t="inlineStr">
        <is>
          <t>供货厂自带票（带票带货）</t>
        </is>
      </c>
      <c r="AG103" s="10" t="n">
        <v>195163.28</v>
      </c>
      <c r="AH103" s="2" t="inlineStr">
        <is>
          <t>—</t>
        </is>
      </c>
      <c r="AI103" s="2" t="inlineStr">
        <is>
          <t>待登记</t>
        </is>
      </c>
      <c r="AJ103" s="2" t="inlineStr">
        <is>
          <t>未开始(前一环节未完成)</t>
        </is>
      </c>
      <c r="AK103" s="2" t="inlineStr">
        <is>
          <t>—</t>
        </is>
      </c>
      <c r="AL103" s="2" t="inlineStr">
        <is>
          <t>—</t>
        </is>
      </c>
      <c r="AM103" s="10" t="n">
        <v>0</v>
      </c>
      <c r="AN103" s="8" t="n">
        <v>46285</v>
      </c>
      <c r="AO103" s="2" t="inlineStr">
        <is>
          <t>2026-09</t>
        </is>
      </c>
      <c r="AP103" s="9" t="n">
        <v>0.3</v>
      </c>
      <c r="AQ103" s="2" t="n"/>
      <c r="AR103" s="2" t="inlineStr">
        <is>
          <t>华西特钢</t>
        </is>
      </c>
      <c r="AS103" s="2" t="inlineStr">
        <is>
          <t>华西-欧冶户头</t>
        </is>
      </c>
      <c r="AT103" s="2" t="n"/>
      <c r="AU103" s="2" t="inlineStr">
        <is>
          <t>2026-09-21由用户提供的台账数据整理后录入（9/18-9/20批次，Claude协助整理，用户确认）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>
      <c r="A105" s="1" t="inlineStr">
        <is>
          <t>合计(随筛选变化)</t>
        </is>
      </c>
      <c r="B105" s="2" t="n"/>
      <c r="C105" s="1">
        <f>SUBTOTAL(3,A3:A103)&amp;"车"</f>
        <v/>
      </c>
      <c r="D105" s="2" t="n"/>
      <c r="E105" s="2" t="n"/>
      <c r="F105" s="2" t="n"/>
      <c r="G105" s="2" t="n"/>
      <c r="H105" s="2" t="n"/>
      <c r="I105" s="2" t="n"/>
      <c r="J105" s="2" t="n"/>
      <c r="K105" s="13">
        <f>SUBTOTAL(9,K3:K103)</f>
        <v/>
      </c>
      <c r="L105" s="11">
        <f>SUBTOTAL(9,L3:L103)</f>
        <v/>
      </c>
      <c r="M105" s="11">
        <f>SUBTOTAL(9,M3:M103)</f>
        <v/>
      </c>
      <c r="N105" s="12">
        <f>IF(K105=0,0,M105/K105)</f>
        <v/>
      </c>
      <c r="O105" s="11">
        <f>SUBTOTAL(9,O3:O103)</f>
        <v/>
      </c>
      <c r="P105" s="2" t="n"/>
      <c r="Q105" s="11">
        <f>SUBTOTAL(9,Q3:Q103)</f>
        <v/>
      </c>
      <c r="R105" s="2" t="n"/>
      <c r="S105" s="11">
        <f>SUBTOTAL(9,S3:S103)</f>
        <v/>
      </c>
      <c r="T105" s="2" t="n"/>
      <c r="U105" s="2" t="n"/>
      <c r="V105" s="2" t="n"/>
      <c r="W105" s="11">
        <f>SUBTOTAL(9,W3:W103)</f>
        <v/>
      </c>
      <c r="X105" s="2" t="n"/>
      <c r="Y105" s="2" t="n"/>
      <c r="Z105" s="2" t="n"/>
      <c r="AA105" s="11">
        <f>SUBTOTAL(9,AA3:AA103)</f>
        <v/>
      </c>
      <c r="AB105" s="2" t="n"/>
      <c r="AC105" s="11">
        <f>SUBTOTAL(9,AC3:AC103)</f>
        <v/>
      </c>
      <c r="AD105" s="11">
        <f>SUBTOTAL(9,AD3:AD103)</f>
        <v/>
      </c>
      <c r="AE105" s="2" t="n"/>
      <c r="AF105" s="2" t="n"/>
      <c r="AG105" s="11">
        <f>SUBTOTAL(9,AG3:AG103)</f>
        <v/>
      </c>
      <c r="AH105" s="2" t="n"/>
      <c r="AI105" s="2" t="n"/>
      <c r="AJ105" s="2" t="n"/>
      <c r="AK105" s="2" t="n"/>
      <c r="AL105" s="2" t="n"/>
      <c r="AM105" s="11">
        <f>SUBTOTAL(9,AM3:AM103)</f>
        <v/>
      </c>
      <c r="AN105" s="2" t="n"/>
      <c r="AO105" s="2" t="n"/>
      <c r="AP105" s="2" t="n"/>
      <c r="AQ105" s="2" t="n"/>
      <c r="AR105" s="2" t="n"/>
      <c r="AS105" s="2" t="n"/>
      <c r="AT105" s="2" t="n"/>
      <c r="AU105" s="2" t="n"/>
    </row>
  </sheetData>
  <autoFilter ref="A2:AU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统计汇总（导出 2026-09-21 13:26；全部为引用「车次台账」的公式，不含作废）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一、总体与利润构成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14" t="inlineStr">
        <is>
          <t>车次数</t>
        </is>
      </c>
      <c r="B4" s="2">
        <f>COUNT('车次台账'!$A$3:$A$103)</f>
        <v/>
      </c>
      <c r="C4" s="2" t="n"/>
      <c r="D4" s="2" t="n"/>
      <c r="E4" s="2" t="n"/>
      <c r="F4" s="2" t="n"/>
      <c r="G4" s="2" t="n"/>
      <c r="H4" s="2" t="n"/>
    </row>
    <row r="5">
      <c r="A5" s="14" t="inlineStr">
        <is>
          <t>结算吨位(吨)</t>
        </is>
      </c>
      <c r="B5" s="9">
        <f>SUM('车次台账'!$K$3:$K$103)</f>
        <v/>
      </c>
      <c r="C5" s="2" t="n"/>
      <c r="D5" s="2" t="n"/>
      <c r="E5" s="2" t="n"/>
      <c r="F5" s="2" t="n"/>
      <c r="G5" s="2" t="n"/>
      <c r="H5" s="2" t="n"/>
    </row>
    <row r="6">
      <c r="A6" s="14" t="inlineStr">
        <is>
          <t>结算金额(元)</t>
        </is>
      </c>
      <c r="B6" s="10">
        <f>SUM('车次台账'!$L$3:$L$103)</f>
        <v/>
      </c>
      <c r="C6" s="2" t="n"/>
      <c r="D6" s="2" t="n"/>
      <c r="E6" s="2" t="n"/>
      <c r="F6" s="2" t="n"/>
      <c r="G6" s="2" t="n"/>
      <c r="H6" s="2" t="n"/>
    </row>
    <row r="7">
      <c r="A7" s="14" t="inlineStr">
        <is>
          <t xml:space="preserve">  毛服务费(元)</t>
        </is>
      </c>
      <c r="B7" s="10">
        <f>SUM('车次台账'!$Q$3:$Q$103)</f>
        <v/>
      </c>
      <c r="C7" s="2" t="n"/>
      <c r="D7" s="2" t="n"/>
      <c r="E7" s="2" t="n"/>
      <c r="F7" s="2" t="n"/>
      <c r="G7" s="2" t="n"/>
      <c r="H7" s="2" t="n"/>
    </row>
    <row r="8">
      <c r="A8" s="14" t="inlineStr">
        <is>
          <t xml:space="preserve">  + 量补金额(元)</t>
        </is>
      </c>
      <c r="B8" s="10">
        <f>SUM('车次台账'!$S$3:$S$103)</f>
        <v/>
      </c>
      <c r="C8" s="2" t="n"/>
      <c r="D8" s="2" t="n"/>
      <c r="E8" s="2" t="n"/>
      <c r="F8" s="2" t="n"/>
      <c r="G8" s="2" t="n"/>
      <c r="H8" s="2" t="n"/>
    </row>
    <row r="9">
      <c r="A9" s="14" t="inlineStr">
        <is>
          <t xml:space="preserve">  − 垫资成本(元)</t>
        </is>
      </c>
      <c r="B9" s="10">
        <f>SUM('车次台账'!$AA$3:$AA$103)</f>
        <v/>
      </c>
      <c r="C9" s="2" t="n"/>
      <c r="D9" s="2" t="n"/>
      <c r="E9" s="2" t="n"/>
      <c r="F9" s="2" t="n"/>
      <c r="G9" s="2" t="n"/>
      <c r="H9" s="2" t="n"/>
    </row>
    <row r="10">
      <c r="A10" s="14" t="inlineStr">
        <is>
          <t xml:space="preserve">  − 调货人提成(元)</t>
        </is>
      </c>
      <c r="B10" s="10">
        <f>SUM('车次台账'!$AC$3:$AC$103)</f>
        <v/>
      </c>
      <c r="C10" s="2" t="n"/>
      <c r="D10" s="2" t="n"/>
      <c r="E10" s="2" t="n"/>
      <c r="F10" s="2" t="n"/>
      <c r="G10" s="2" t="n"/>
      <c r="H10" s="2" t="n"/>
    </row>
    <row r="11">
      <c r="A11" s="14" t="inlineStr">
        <is>
          <t xml:space="preserve">  − 其他成本(元)</t>
        </is>
      </c>
      <c r="B11" s="10">
        <f>SUM('车次台账'!$AD$3:$AD$103)</f>
        <v/>
      </c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净利润(元)（上面各项加减）</t>
        </is>
      </c>
      <c r="B12" s="11">
        <f>SUM('车次台账'!$M$3:$M$103)</f>
        <v/>
      </c>
      <c r="C12" s="2" t="n"/>
      <c r="D12" s="2" t="n"/>
      <c r="E12" s="2" t="n"/>
      <c r="F12" s="2" t="n"/>
      <c r="G12" s="2" t="n"/>
      <c r="H12" s="2" t="n"/>
    </row>
    <row r="13">
      <c r="A13" s="14" t="inlineStr">
        <is>
          <t>单吨利润(元/吨)</t>
        </is>
      </c>
      <c r="B13" s="12">
        <f>IF(B5=0,0,B12/B5)</f>
        <v/>
      </c>
      <c r="C13" s="2" t="n"/>
      <c r="D13" s="2" t="n"/>
      <c r="E13" s="2" t="n"/>
      <c r="F13" s="2" t="n"/>
      <c r="G13" s="2" t="n"/>
      <c r="H13" s="2" t="n"/>
    </row>
    <row r="14">
      <c r="A14" s="14" t="inlineStr">
        <is>
          <t>留存利润(元)·专项留存，不计入净利润</t>
        </is>
      </c>
      <c r="B14" s="10">
        <f>SUM('车次台账'!$O$3:$O$103)</f>
        <v/>
      </c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1" t="inlineStr">
        <is>
          <t>二、按路径（带票带货 / 配票·反向）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名称</t>
        </is>
      </c>
      <c r="B17" s="3" t="inlineStr">
        <is>
          <t>车次数</t>
        </is>
      </c>
      <c r="C17" s="3" t="inlineStr">
        <is>
          <t>吨位(吨)</t>
        </is>
      </c>
      <c r="D17" s="3" t="inlineStr">
        <is>
          <t>结算金额(元)</t>
        </is>
      </c>
      <c r="E17" s="3" t="inlineStr">
        <is>
          <t>净利润(元)</t>
        </is>
      </c>
      <c r="F17" s="3" t="inlineStr">
        <is>
          <t>单吨利润(元/吨)</t>
        </is>
      </c>
      <c r="G17" s="3" t="inlineStr">
        <is>
          <t>调货人提成(元)</t>
        </is>
      </c>
      <c r="H17" s="3" t="inlineStr">
        <is>
          <t>留存利润(元)</t>
        </is>
      </c>
    </row>
    <row r="18">
      <c r="A18" s="2" t="inlineStr">
        <is>
          <t>配票/反向</t>
        </is>
      </c>
      <c r="B18" s="2">
        <f>COUNTIFS('车次台账'!$E$3:$E$103,"配票/反向")</f>
        <v/>
      </c>
      <c r="C18" s="9">
        <f>SUMIFS('车次台账'!$K$3:$K$103,'车次台账'!$E$3:$E$103,"配票/反向")</f>
        <v/>
      </c>
      <c r="D18" s="10">
        <f>SUMIFS('车次台账'!$L$3:$L$103,'车次台账'!$E$3:$E$103,"配票/反向")</f>
        <v/>
      </c>
      <c r="E18" s="10">
        <f>SUMIFS('车次台账'!$M$3:$M$103,'车次台账'!$E$3:$E$103,"配票/反向")</f>
        <v/>
      </c>
      <c r="F18" s="12">
        <f>IF(C18=0,0,E18/C18)</f>
        <v/>
      </c>
      <c r="G18" s="10">
        <f>SUMIFS('车次台账'!$AC$3:$AC$103,'车次台账'!$E$3:$E$103,"配票/反向")</f>
        <v/>
      </c>
      <c r="H18" s="10">
        <f>SUMIFS('车次台账'!$O$3:$O$103,'车次台账'!$E$3:$E$103,"配票/反向")</f>
        <v/>
      </c>
    </row>
    <row r="19">
      <c r="A19" s="2" t="inlineStr">
        <is>
          <t>带票带货</t>
        </is>
      </c>
      <c r="B19" s="2">
        <f>COUNTIFS('车次台账'!$E$3:$E$103,"带票带货")</f>
        <v/>
      </c>
      <c r="C19" s="9">
        <f>SUMIFS('车次台账'!$K$3:$K$103,'车次台账'!$E$3:$E$103,"带票带货")</f>
        <v/>
      </c>
      <c r="D19" s="10">
        <f>SUMIFS('车次台账'!$L$3:$L$103,'车次台账'!$E$3:$E$103,"带票带货")</f>
        <v/>
      </c>
      <c r="E19" s="10">
        <f>SUMIFS('车次台账'!$M$3:$M$103,'车次台账'!$E$3:$E$103,"带票带货")</f>
        <v/>
      </c>
      <c r="F19" s="12">
        <f>IF(C19=0,0,E19/C19)</f>
        <v/>
      </c>
      <c r="G19" s="10">
        <f>SUMIFS('车次台账'!$AC$3:$AC$103,'车次台账'!$E$3:$E$103,"带票带货")</f>
        <v/>
      </c>
      <c r="H19" s="10">
        <f>SUMIFS('车次台账'!$O$3:$O$103,'车次台账'!$E$3:$E$103,"带票带货")</f>
        <v/>
      </c>
    </row>
    <row r="20">
      <c r="A20" s="1" t="inlineStr">
        <is>
          <t>小计</t>
        </is>
      </c>
      <c r="B20" s="1">
        <f>SUM(B18:B19)</f>
        <v/>
      </c>
      <c r="C20" s="13">
        <f>SUM(C18:C19)</f>
        <v/>
      </c>
      <c r="D20" s="11">
        <f>SUM(D18:D19)</f>
        <v/>
      </c>
      <c r="E20" s="11">
        <f>SUM(E18:E19)</f>
        <v/>
      </c>
      <c r="F20" s="12">
        <f>IF(C20=0,0,E20/C20)</f>
        <v/>
      </c>
      <c r="G20" s="11">
        <f>SUM(G18:G19)</f>
        <v/>
      </c>
      <c r="H20" s="11">
        <f>SUM(H18:H19)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1" t="inlineStr">
        <is>
          <t>三、按车/船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名称</t>
        </is>
      </c>
      <c r="B23" s="3" t="inlineStr">
        <is>
          <t>车次数</t>
        </is>
      </c>
      <c r="C23" s="3" t="inlineStr">
        <is>
          <t>吨位(吨)</t>
        </is>
      </c>
      <c r="D23" s="3" t="inlineStr">
        <is>
          <t>结算金额(元)</t>
        </is>
      </c>
      <c r="E23" s="3" t="inlineStr">
        <is>
          <t>净利润(元)</t>
        </is>
      </c>
      <c r="F23" s="3" t="inlineStr">
        <is>
          <t>单吨利润(元/吨)</t>
        </is>
      </c>
      <c r="G23" s="3" t="inlineStr">
        <is>
          <t>调货人提成(元)</t>
        </is>
      </c>
      <c r="H23" s="3" t="inlineStr">
        <is>
          <t>留存利润(元)</t>
        </is>
      </c>
    </row>
    <row r="24">
      <c r="A24" s="2" t="inlineStr">
        <is>
          <t>车</t>
        </is>
      </c>
      <c r="B24" s="2">
        <f>COUNTIFS('车次台账'!$D$3:$D$103,"车")</f>
        <v/>
      </c>
      <c r="C24" s="9">
        <f>SUMIFS('车次台账'!$K$3:$K$103,'车次台账'!$D$3:$D$103,"车")</f>
        <v/>
      </c>
      <c r="D24" s="10">
        <f>SUMIFS('车次台账'!$L$3:$L$103,'车次台账'!$D$3:$D$103,"车")</f>
        <v/>
      </c>
      <c r="E24" s="10">
        <f>SUMIFS('车次台账'!$M$3:$M$103,'车次台账'!$D$3:$D$103,"车")</f>
        <v/>
      </c>
      <c r="F24" s="12">
        <f>IF(C24=0,0,E24/C24)</f>
        <v/>
      </c>
      <c r="G24" s="10">
        <f>SUMIFS('车次台账'!$AC$3:$AC$103,'车次台账'!$D$3:$D$103,"车")</f>
        <v/>
      </c>
      <c r="H24" s="10">
        <f>SUMIFS('车次台账'!$O$3:$O$103,'车次台账'!$D$3:$D$103,"车")</f>
        <v/>
      </c>
    </row>
    <row r="25">
      <c r="A25" s="2" t="inlineStr">
        <is>
          <t>船</t>
        </is>
      </c>
      <c r="B25" s="2">
        <f>COUNTIFS('车次台账'!$D$3:$D$103,"船")</f>
        <v/>
      </c>
      <c r="C25" s="9">
        <f>SUMIFS('车次台账'!$K$3:$K$103,'车次台账'!$D$3:$D$103,"船")</f>
        <v/>
      </c>
      <c r="D25" s="10">
        <f>SUMIFS('车次台账'!$L$3:$L$103,'车次台账'!$D$3:$D$103,"船")</f>
        <v/>
      </c>
      <c r="E25" s="10">
        <f>SUMIFS('车次台账'!$M$3:$M$103,'车次台账'!$D$3:$D$103,"船")</f>
        <v/>
      </c>
      <c r="F25" s="12">
        <f>IF(C25=0,0,E25/C25)</f>
        <v/>
      </c>
      <c r="G25" s="10">
        <f>SUMIFS('车次台账'!$AC$3:$AC$103,'车次台账'!$D$3:$D$103,"船")</f>
        <v/>
      </c>
      <c r="H25" s="10">
        <f>SUMIFS('车次台账'!$O$3:$O$103,'车次台账'!$D$3:$D$103,"船")</f>
        <v/>
      </c>
    </row>
    <row r="26">
      <c r="A26" s="1" t="inlineStr">
        <is>
          <t>小计</t>
        </is>
      </c>
      <c r="B26" s="1">
        <f>SUM(B24:B25)</f>
        <v/>
      </c>
      <c r="C26" s="13">
        <f>SUM(C24:C25)</f>
        <v/>
      </c>
      <c r="D26" s="11">
        <f>SUM(D24:D25)</f>
        <v/>
      </c>
      <c r="E26" s="11">
        <f>SUM(E24:E25)</f>
        <v/>
      </c>
      <c r="F26" s="12">
        <f>IF(C26=0,0,E26/C26)</f>
        <v/>
      </c>
      <c r="G26" s="11">
        <f>SUM(G24:G25)</f>
        <v/>
      </c>
      <c r="H26" s="11">
        <f>SUM(H24:H25)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1" t="inlineStr">
        <is>
          <t>四、按链条规则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3" t="inlineStr">
        <is>
          <t>名称</t>
        </is>
      </c>
      <c r="B29" s="3" t="inlineStr">
        <is>
          <t>车次数</t>
        </is>
      </c>
      <c r="C29" s="3" t="inlineStr">
        <is>
          <t>吨位(吨)</t>
        </is>
      </c>
      <c r="D29" s="3" t="inlineStr">
        <is>
          <t>结算金额(元)</t>
        </is>
      </c>
      <c r="E29" s="3" t="inlineStr">
        <is>
          <t>净利润(元)</t>
        </is>
      </c>
      <c r="F29" s="3" t="inlineStr">
        <is>
          <t>单吨利润(元/吨)</t>
        </is>
      </c>
      <c r="G29" s="3" t="inlineStr">
        <is>
          <t>调货人提成(元)</t>
        </is>
      </c>
      <c r="H29" s="3" t="inlineStr">
        <is>
          <t>留存利润(元)</t>
        </is>
      </c>
    </row>
    <row r="30">
      <c r="A30" s="2" t="inlineStr">
        <is>
          <t>反向</t>
        </is>
      </c>
      <c r="B30" s="2">
        <f>COUNTIFS('车次台账'!$F$3:$F$103,"反向")</f>
        <v/>
      </c>
      <c r="C30" s="9">
        <f>SUMIFS('车次台账'!$K$3:$K$103,'车次台账'!$F$3:$F$103,"反向")</f>
        <v/>
      </c>
      <c r="D30" s="10">
        <f>SUMIFS('车次台账'!$L$3:$L$103,'车次台账'!$F$3:$F$103,"反向")</f>
        <v/>
      </c>
      <c r="E30" s="10">
        <f>SUMIFS('车次台账'!$M$3:$M$103,'车次台账'!$F$3:$F$103,"反向")</f>
        <v/>
      </c>
      <c r="F30" s="12">
        <f>IF(C30=0,0,E30/C30)</f>
        <v/>
      </c>
      <c r="G30" s="10">
        <f>SUMIFS('车次台账'!$AC$3:$AC$103,'车次台账'!$F$3:$F$103,"反向")</f>
        <v/>
      </c>
      <c r="H30" s="10">
        <f>SUMIFS('车次台账'!$O$3:$O$103,'车次台账'!$F$3:$F$103,"反向")</f>
        <v/>
      </c>
    </row>
    <row r="31">
      <c r="A31" s="2" t="inlineStr">
        <is>
          <t>户头通道</t>
        </is>
      </c>
      <c r="B31" s="2">
        <f>COUNTIFS('车次台账'!$F$3:$F$103,"户头通道")</f>
        <v/>
      </c>
      <c r="C31" s="9">
        <f>SUMIFS('车次台账'!$K$3:$K$103,'车次台账'!$F$3:$F$103,"户头通道")</f>
        <v/>
      </c>
      <c r="D31" s="10">
        <f>SUMIFS('车次台账'!$L$3:$L$103,'车次台账'!$F$3:$F$103,"户头通道")</f>
        <v/>
      </c>
      <c r="E31" s="10">
        <f>SUMIFS('车次台账'!$M$3:$M$103,'车次台账'!$F$3:$F$103,"户头通道")</f>
        <v/>
      </c>
      <c r="F31" s="12">
        <f>IF(C31=0,0,E31/C31)</f>
        <v/>
      </c>
      <c r="G31" s="10">
        <f>SUMIFS('车次台账'!$AC$3:$AC$103,'车次台账'!$F$3:$F$103,"户头通道")</f>
        <v/>
      </c>
      <c r="H31" s="10">
        <f>SUMIFS('车次台账'!$O$3:$O$103,'车次台账'!$F$3:$F$103,"户头通道")</f>
        <v/>
      </c>
    </row>
    <row r="32">
      <c r="A32" s="2" t="inlineStr">
        <is>
          <t>直签带票</t>
        </is>
      </c>
      <c r="B32" s="2">
        <f>COUNTIFS('车次台账'!$F$3:$F$103,"直签带票")</f>
        <v/>
      </c>
      <c r="C32" s="9">
        <f>SUMIFS('车次台账'!$K$3:$K$103,'车次台账'!$F$3:$F$103,"直签带票")</f>
        <v/>
      </c>
      <c r="D32" s="10">
        <f>SUMIFS('车次台账'!$L$3:$L$103,'车次台账'!$F$3:$F$103,"直签带票")</f>
        <v/>
      </c>
      <c r="E32" s="10">
        <f>SUMIFS('车次台账'!$M$3:$M$103,'车次台账'!$F$3:$F$103,"直签带票")</f>
        <v/>
      </c>
      <c r="F32" s="12">
        <f>IF(C32=0,0,E32/C32)</f>
        <v/>
      </c>
      <c r="G32" s="10">
        <f>SUMIFS('车次台账'!$AC$3:$AC$103,'车次台账'!$F$3:$F$103,"直签带票")</f>
        <v/>
      </c>
      <c r="H32" s="10">
        <f>SUMIFS('车次台账'!$O$3:$O$103,'车次台账'!$F$3:$F$103,"直签带票")</f>
        <v/>
      </c>
    </row>
    <row r="33">
      <c r="A33" s="2" t="inlineStr">
        <is>
          <t>配票</t>
        </is>
      </c>
      <c r="B33" s="2">
        <f>COUNTIFS('车次台账'!$F$3:$F$103,"配票")</f>
        <v/>
      </c>
      <c r="C33" s="9">
        <f>SUMIFS('车次台账'!$K$3:$K$103,'车次台账'!$F$3:$F$103,"配票")</f>
        <v/>
      </c>
      <c r="D33" s="10">
        <f>SUMIFS('车次台账'!$L$3:$L$103,'车次台账'!$F$3:$F$103,"配票")</f>
        <v/>
      </c>
      <c r="E33" s="10">
        <f>SUMIFS('车次台账'!$M$3:$M$103,'车次台账'!$F$3:$F$103,"配票")</f>
        <v/>
      </c>
      <c r="F33" s="12">
        <f>IF(C33=0,0,E33/C33)</f>
        <v/>
      </c>
      <c r="G33" s="10">
        <f>SUMIFS('车次台账'!$AC$3:$AC$103,'车次台账'!$F$3:$F$103,"配票")</f>
        <v/>
      </c>
      <c r="H33" s="10">
        <f>SUMIFS('车次台账'!$O$3:$O$103,'车次台账'!$F$3:$F$103,"配票")</f>
        <v/>
      </c>
    </row>
    <row r="34">
      <c r="A34" s="1" t="inlineStr">
        <is>
          <t>小计</t>
        </is>
      </c>
      <c r="B34" s="1">
        <f>SUM(B30:B33)</f>
        <v/>
      </c>
      <c r="C34" s="13">
        <f>SUM(C30:C33)</f>
        <v/>
      </c>
      <c r="D34" s="11">
        <f>SUM(D30:D33)</f>
        <v/>
      </c>
      <c r="E34" s="11">
        <f>SUM(E30:E33)</f>
        <v/>
      </c>
      <c r="F34" s="12">
        <f>IF(C34=0,0,E34/C34)</f>
        <v/>
      </c>
      <c r="G34" s="11">
        <f>SUM(G30:G33)</f>
        <v/>
      </c>
      <c r="H34" s="11">
        <f>SUM(H30:H33)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1" t="inlineStr">
        <is>
          <t>五、按调货人</t>
        </is>
      </c>
      <c r="B36" s="2" t="n"/>
      <c r="C36" s="15" t="inlineStr">
        <is>
          <t>没填调货人的车次不在此表</t>
        </is>
      </c>
      <c r="D36" s="2" t="n"/>
      <c r="E36" s="2" t="n"/>
      <c r="F36" s="2" t="n"/>
      <c r="G36" s="2" t="n"/>
      <c r="H36" s="2" t="n"/>
    </row>
    <row r="37">
      <c r="A37" s="3" t="inlineStr">
        <is>
          <t>名称</t>
        </is>
      </c>
      <c r="B37" s="3" t="inlineStr">
        <is>
          <t>车次数</t>
        </is>
      </c>
      <c r="C37" s="3" t="inlineStr">
        <is>
          <t>吨位(吨)</t>
        </is>
      </c>
      <c r="D37" s="3" t="inlineStr">
        <is>
          <t>结算金额(元)</t>
        </is>
      </c>
      <c r="E37" s="3" t="inlineStr">
        <is>
          <t>净利润(元)</t>
        </is>
      </c>
      <c r="F37" s="3" t="inlineStr">
        <is>
          <t>单吨利润(元/吨)</t>
        </is>
      </c>
      <c r="G37" s="3" t="inlineStr">
        <is>
          <t>调货人提成(元)</t>
        </is>
      </c>
      <c r="H37" s="3" t="inlineStr">
        <is>
          <t>留存利润(元)</t>
        </is>
      </c>
    </row>
    <row r="38">
      <c r="A38" s="2" t="inlineStr">
        <is>
          <t>李涛</t>
        </is>
      </c>
      <c r="B38" s="2">
        <f>COUNTIFS('车次台账'!$G$3:$G$103,"李涛")</f>
        <v/>
      </c>
      <c r="C38" s="9">
        <f>SUMIFS('车次台账'!$K$3:$K$103,'车次台账'!$G$3:$G$103,"李涛")</f>
        <v/>
      </c>
      <c r="D38" s="10">
        <f>SUMIFS('车次台账'!$L$3:$L$103,'车次台账'!$G$3:$G$103,"李涛")</f>
        <v/>
      </c>
      <c r="E38" s="10">
        <f>SUMIFS('车次台账'!$M$3:$M$103,'车次台账'!$G$3:$G$103,"李涛")</f>
        <v/>
      </c>
      <c r="F38" s="12">
        <f>IF(C38=0,0,E38/C38)</f>
        <v/>
      </c>
      <c r="G38" s="10">
        <f>SUMIFS('车次台账'!$AC$3:$AC$103,'车次台账'!$G$3:$G$103,"李涛")</f>
        <v/>
      </c>
      <c r="H38" s="10">
        <f>SUMIFS('车次台账'!$O$3:$O$103,'车次台账'!$G$3:$G$103,"李涛")</f>
        <v/>
      </c>
    </row>
    <row r="39">
      <c r="A39" s="2" t="inlineStr">
        <is>
          <t>林凯</t>
        </is>
      </c>
      <c r="B39" s="2">
        <f>COUNTIFS('车次台账'!$G$3:$G$103,"林凯")</f>
        <v/>
      </c>
      <c r="C39" s="9">
        <f>SUMIFS('车次台账'!$K$3:$K$103,'车次台账'!$G$3:$G$103,"林凯")</f>
        <v/>
      </c>
      <c r="D39" s="10">
        <f>SUMIFS('车次台账'!$L$3:$L$103,'车次台账'!$G$3:$G$103,"林凯")</f>
        <v/>
      </c>
      <c r="E39" s="10">
        <f>SUMIFS('车次台账'!$M$3:$M$103,'车次台账'!$G$3:$G$103,"林凯")</f>
        <v/>
      </c>
      <c r="F39" s="12">
        <f>IF(C39=0,0,E39/C39)</f>
        <v/>
      </c>
      <c r="G39" s="10">
        <f>SUMIFS('车次台账'!$AC$3:$AC$103,'车次台账'!$G$3:$G$103,"林凯")</f>
        <v/>
      </c>
      <c r="H39" s="10">
        <f>SUMIFS('车次台账'!$O$3:$O$103,'车次台账'!$G$3:$G$103,"林凯")</f>
        <v/>
      </c>
    </row>
    <row r="40">
      <c r="A40" s="2" t="inlineStr">
        <is>
          <t>邓晶焱</t>
        </is>
      </c>
      <c r="B40" s="2">
        <f>COUNTIFS('车次台账'!$G$3:$G$103,"邓晶焱")</f>
        <v/>
      </c>
      <c r="C40" s="9">
        <f>SUMIFS('车次台账'!$K$3:$K$103,'车次台账'!$G$3:$G$103,"邓晶焱")</f>
        <v/>
      </c>
      <c r="D40" s="10">
        <f>SUMIFS('车次台账'!$L$3:$L$103,'车次台账'!$G$3:$G$103,"邓晶焱")</f>
        <v/>
      </c>
      <c r="E40" s="10">
        <f>SUMIFS('车次台账'!$M$3:$M$103,'车次台账'!$G$3:$G$103,"邓晶焱")</f>
        <v/>
      </c>
      <c r="F40" s="12">
        <f>IF(C40=0,0,E40/C40)</f>
        <v/>
      </c>
      <c r="G40" s="10">
        <f>SUMIFS('车次台账'!$AC$3:$AC$103,'车次台账'!$G$3:$G$103,"邓晶焱")</f>
        <v/>
      </c>
      <c r="H40" s="10">
        <f>SUMIFS('车次台账'!$O$3:$O$103,'车次台账'!$G$3:$G$103,"邓晶焱")</f>
        <v/>
      </c>
    </row>
    <row r="41">
      <c r="A41" s="2" t="inlineStr">
        <is>
          <t>闫东朋</t>
        </is>
      </c>
      <c r="B41" s="2">
        <f>COUNTIFS('车次台账'!$G$3:$G$103,"闫东朋")</f>
        <v/>
      </c>
      <c r="C41" s="9">
        <f>SUMIFS('车次台账'!$K$3:$K$103,'车次台账'!$G$3:$G$103,"闫东朋")</f>
        <v/>
      </c>
      <c r="D41" s="10">
        <f>SUMIFS('车次台账'!$L$3:$L$103,'车次台账'!$G$3:$G$103,"闫东朋")</f>
        <v/>
      </c>
      <c r="E41" s="10">
        <f>SUMIFS('车次台账'!$M$3:$M$103,'车次台账'!$G$3:$G$103,"闫东朋")</f>
        <v/>
      </c>
      <c r="F41" s="12">
        <f>IF(C41=0,0,E41/C41)</f>
        <v/>
      </c>
      <c r="G41" s="10">
        <f>SUMIFS('车次台账'!$AC$3:$AC$103,'车次台账'!$G$3:$G$103,"闫东朋")</f>
        <v/>
      </c>
      <c r="H41" s="10">
        <f>SUMIFS('车次台账'!$O$3:$O$103,'车次台账'!$G$3:$G$103,"闫东朋")</f>
        <v/>
      </c>
    </row>
    <row r="42">
      <c r="A42" s="2" t="inlineStr">
        <is>
          <t>陈杰</t>
        </is>
      </c>
      <c r="B42" s="2">
        <f>COUNTIFS('车次台账'!$G$3:$G$103,"陈杰")</f>
        <v/>
      </c>
      <c r="C42" s="9">
        <f>SUMIFS('车次台账'!$K$3:$K$103,'车次台账'!$G$3:$G$103,"陈杰")</f>
        <v/>
      </c>
      <c r="D42" s="10">
        <f>SUMIFS('车次台账'!$L$3:$L$103,'车次台账'!$G$3:$G$103,"陈杰")</f>
        <v/>
      </c>
      <c r="E42" s="10">
        <f>SUMIFS('车次台账'!$M$3:$M$103,'车次台账'!$G$3:$G$103,"陈杰")</f>
        <v/>
      </c>
      <c r="F42" s="12">
        <f>IF(C42=0,0,E42/C42)</f>
        <v/>
      </c>
      <c r="G42" s="10">
        <f>SUMIFS('车次台账'!$AC$3:$AC$103,'车次台账'!$G$3:$G$103,"陈杰")</f>
        <v/>
      </c>
      <c r="H42" s="10">
        <f>SUMIFS('车次台账'!$O$3:$O$103,'车次台账'!$G$3:$G$103,"陈杰")</f>
        <v/>
      </c>
    </row>
    <row r="43">
      <c r="A43" s="1" t="inlineStr">
        <is>
          <t>小计</t>
        </is>
      </c>
      <c r="B43" s="1">
        <f>SUM(B38:B42)</f>
        <v/>
      </c>
      <c r="C43" s="13">
        <f>SUM(C38:C42)</f>
        <v/>
      </c>
      <c r="D43" s="11">
        <f>SUM(D38:D42)</f>
        <v/>
      </c>
      <c r="E43" s="11">
        <f>SUM(E38:E42)</f>
        <v/>
      </c>
      <c r="F43" s="12">
        <f>IF(C43=0,0,E43/C43)</f>
        <v/>
      </c>
      <c r="G43" s="11">
        <f>SUM(G38:G42)</f>
        <v/>
      </c>
      <c r="H43" s="11">
        <f>SUM(H38:H42)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1" t="inlineStr">
        <is>
          <t>六、按供货厂/车队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名称</t>
        </is>
      </c>
      <c r="B46" s="3" t="inlineStr">
        <is>
          <t>车次数</t>
        </is>
      </c>
      <c r="C46" s="3" t="inlineStr">
        <is>
          <t>吨位(吨)</t>
        </is>
      </c>
      <c r="D46" s="3" t="inlineStr">
        <is>
          <t>结算金额(元)</t>
        </is>
      </c>
      <c r="E46" s="3" t="inlineStr">
        <is>
          <t>净利润(元)</t>
        </is>
      </c>
      <c r="F46" s="3" t="inlineStr">
        <is>
          <t>单吨利润(元/吨)</t>
        </is>
      </c>
      <c r="G46" s="3" t="inlineStr">
        <is>
          <t>调货人提成(元)</t>
        </is>
      </c>
      <c r="H46" s="3" t="inlineStr">
        <is>
          <t>留存利润(元)</t>
        </is>
      </c>
    </row>
    <row r="47">
      <c r="A47" s="2" t="inlineStr">
        <is>
          <t>俊兴</t>
        </is>
      </c>
      <c r="B47" s="2">
        <f>COUNTIFS('车次台账'!$H$3:$H$103,"俊兴")</f>
        <v/>
      </c>
      <c r="C47" s="9">
        <f>SUMIFS('车次台账'!$K$3:$K$103,'车次台账'!$H$3:$H$103,"俊兴")</f>
        <v/>
      </c>
      <c r="D47" s="10">
        <f>SUMIFS('车次台账'!$L$3:$L$103,'车次台账'!$H$3:$H$103,"俊兴")</f>
        <v/>
      </c>
      <c r="E47" s="10">
        <f>SUMIFS('车次台账'!$M$3:$M$103,'车次台账'!$H$3:$H$103,"俊兴")</f>
        <v/>
      </c>
      <c r="F47" s="12">
        <f>IF(C47=0,0,E47/C47)</f>
        <v/>
      </c>
      <c r="G47" s="10">
        <f>SUMIFS('车次台账'!$AC$3:$AC$103,'车次台账'!$H$3:$H$103,"俊兴")</f>
        <v/>
      </c>
      <c r="H47" s="10">
        <f>SUMIFS('车次台账'!$O$3:$O$103,'车次台账'!$H$3:$H$103,"俊兴")</f>
        <v/>
      </c>
    </row>
    <row r="48">
      <c r="A48" s="2" t="inlineStr">
        <is>
          <t>兴德</t>
        </is>
      </c>
      <c r="B48" s="2">
        <f>COUNTIFS('车次台账'!$H$3:$H$103,"兴德")</f>
        <v/>
      </c>
      <c r="C48" s="9">
        <f>SUMIFS('车次台账'!$K$3:$K$103,'车次台账'!$H$3:$H$103,"兴德")</f>
        <v/>
      </c>
      <c r="D48" s="10">
        <f>SUMIFS('车次台账'!$L$3:$L$103,'车次台账'!$H$3:$H$103,"兴德")</f>
        <v/>
      </c>
      <c r="E48" s="10">
        <f>SUMIFS('车次台账'!$M$3:$M$103,'车次台账'!$H$3:$H$103,"兴德")</f>
        <v/>
      </c>
      <c r="F48" s="12">
        <f>IF(C48=0,0,E48/C48)</f>
        <v/>
      </c>
      <c r="G48" s="10">
        <f>SUMIFS('车次台账'!$AC$3:$AC$103,'车次台账'!$H$3:$H$103,"兴德")</f>
        <v/>
      </c>
      <c r="H48" s="10">
        <f>SUMIFS('车次台账'!$O$3:$O$103,'车次台账'!$H$3:$H$103,"兴德")</f>
        <v/>
      </c>
    </row>
    <row r="49">
      <c r="A49" s="2" t="inlineStr">
        <is>
          <t>力拓</t>
        </is>
      </c>
      <c r="B49" s="2">
        <f>COUNTIFS('车次台账'!$H$3:$H$103,"力拓")</f>
        <v/>
      </c>
      <c r="C49" s="9">
        <f>SUMIFS('车次台账'!$K$3:$K$103,'车次台账'!$H$3:$H$103,"力拓")</f>
        <v/>
      </c>
      <c r="D49" s="10">
        <f>SUMIFS('车次台账'!$L$3:$L$103,'车次台账'!$H$3:$H$103,"力拓")</f>
        <v/>
      </c>
      <c r="E49" s="10">
        <f>SUMIFS('车次台账'!$M$3:$M$103,'车次台账'!$H$3:$H$103,"力拓")</f>
        <v/>
      </c>
      <c r="F49" s="12">
        <f>IF(C49=0,0,E49/C49)</f>
        <v/>
      </c>
      <c r="G49" s="10">
        <f>SUMIFS('车次台账'!$AC$3:$AC$103,'车次台账'!$H$3:$H$103,"力拓")</f>
        <v/>
      </c>
      <c r="H49" s="10">
        <f>SUMIFS('车次台账'!$O$3:$O$103,'车次台账'!$H$3:$H$103,"力拓")</f>
        <v/>
      </c>
    </row>
    <row r="50">
      <c r="A50" s="2" t="inlineStr">
        <is>
          <t>君盛</t>
        </is>
      </c>
      <c r="B50" s="2">
        <f>COUNTIFS('车次台账'!$H$3:$H$103,"君盛")</f>
        <v/>
      </c>
      <c r="C50" s="9">
        <f>SUMIFS('车次台账'!$K$3:$K$103,'车次台账'!$H$3:$H$103,"君盛")</f>
        <v/>
      </c>
      <c r="D50" s="10">
        <f>SUMIFS('车次台账'!$L$3:$L$103,'车次台账'!$H$3:$H$103,"君盛")</f>
        <v/>
      </c>
      <c r="E50" s="10">
        <f>SUMIFS('车次台账'!$M$3:$M$103,'车次台账'!$H$3:$H$103,"君盛")</f>
        <v/>
      </c>
      <c r="F50" s="12">
        <f>IF(C50=0,0,E50/C50)</f>
        <v/>
      </c>
      <c r="G50" s="10">
        <f>SUMIFS('车次台账'!$AC$3:$AC$103,'车次台账'!$H$3:$H$103,"君盛")</f>
        <v/>
      </c>
      <c r="H50" s="10">
        <f>SUMIFS('车次台账'!$O$3:$O$103,'车次台账'!$H$3:$H$103,"君盛")</f>
        <v/>
      </c>
    </row>
    <row r="51">
      <c r="A51" s="2" t="inlineStr">
        <is>
          <t>尹鹏飞</t>
        </is>
      </c>
      <c r="B51" s="2">
        <f>COUNTIFS('车次台账'!$H$3:$H$103,"尹鹏飞")</f>
        <v/>
      </c>
      <c r="C51" s="9">
        <f>SUMIFS('车次台账'!$K$3:$K$103,'车次台账'!$H$3:$H$103,"尹鹏飞")</f>
        <v/>
      </c>
      <c r="D51" s="10">
        <f>SUMIFS('车次台账'!$L$3:$L$103,'车次台账'!$H$3:$H$103,"尹鹏飞")</f>
        <v/>
      </c>
      <c r="E51" s="10">
        <f>SUMIFS('车次台账'!$M$3:$M$103,'车次台账'!$H$3:$H$103,"尹鹏飞")</f>
        <v/>
      </c>
      <c r="F51" s="12">
        <f>IF(C51=0,0,E51/C51)</f>
        <v/>
      </c>
      <c r="G51" s="10">
        <f>SUMIFS('车次台账'!$AC$3:$AC$103,'车次台账'!$H$3:$H$103,"尹鹏飞")</f>
        <v/>
      </c>
      <c r="H51" s="10">
        <f>SUMIFS('车次台账'!$O$3:$O$103,'车次台账'!$H$3:$H$103,"尹鹏飞")</f>
        <v/>
      </c>
    </row>
    <row r="52">
      <c r="A52" s="2" t="inlineStr">
        <is>
          <t>未填供货厂</t>
        </is>
      </c>
      <c r="B52" s="2">
        <f>COUNTIFS('车次台账'!$H$3:$H$103,"未填供货厂")</f>
        <v/>
      </c>
      <c r="C52" s="9">
        <f>SUMIFS('车次台账'!$K$3:$K$103,'车次台账'!$H$3:$H$103,"未填供货厂")</f>
        <v/>
      </c>
      <c r="D52" s="10">
        <f>SUMIFS('车次台账'!$L$3:$L$103,'车次台账'!$H$3:$H$103,"未填供货厂")</f>
        <v/>
      </c>
      <c r="E52" s="10">
        <f>SUMIFS('车次台账'!$M$3:$M$103,'车次台账'!$H$3:$H$103,"未填供货厂")</f>
        <v/>
      </c>
      <c r="F52" s="12">
        <f>IF(C52=0,0,E52/C52)</f>
        <v/>
      </c>
      <c r="G52" s="10">
        <f>SUMIFS('车次台账'!$AC$3:$AC$103,'车次台账'!$H$3:$H$103,"未填供货厂")</f>
        <v/>
      </c>
      <c r="H52" s="10">
        <f>SUMIFS('车次台账'!$O$3:$O$103,'车次台账'!$H$3:$H$103,"未填供货厂")</f>
        <v/>
      </c>
    </row>
    <row r="53">
      <c r="A53" s="2" t="inlineStr">
        <is>
          <t>李涛车队</t>
        </is>
      </c>
      <c r="B53" s="2">
        <f>COUNTIFS('车次台账'!$H$3:$H$103,"李涛车队")</f>
        <v/>
      </c>
      <c r="C53" s="9">
        <f>SUMIFS('车次台账'!$K$3:$K$103,'车次台账'!$H$3:$H$103,"李涛车队")</f>
        <v/>
      </c>
      <c r="D53" s="10">
        <f>SUMIFS('车次台账'!$L$3:$L$103,'车次台账'!$H$3:$H$103,"李涛车队")</f>
        <v/>
      </c>
      <c r="E53" s="10">
        <f>SUMIFS('车次台账'!$M$3:$M$103,'车次台账'!$H$3:$H$103,"李涛车队")</f>
        <v/>
      </c>
      <c r="F53" s="12">
        <f>IF(C53=0,0,E53/C53)</f>
        <v/>
      </c>
      <c r="G53" s="10">
        <f>SUMIFS('车次台账'!$AC$3:$AC$103,'车次台账'!$H$3:$H$103,"李涛车队")</f>
        <v/>
      </c>
      <c r="H53" s="10">
        <f>SUMIFS('车次台账'!$O$3:$O$103,'车次台账'!$H$3:$H$103,"李涛车队")</f>
        <v/>
      </c>
    </row>
    <row r="54">
      <c r="A54" s="2" t="inlineStr">
        <is>
          <t>林凯车队</t>
        </is>
      </c>
      <c r="B54" s="2">
        <f>COUNTIFS('车次台账'!$H$3:$H$103,"林凯车队")</f>
        <v/>
      </c>
      <c r="C54" s="9">
        <f>SUMIFS('车次台账'!$K$3:$K$103,'车次台账'!$H$3:$H$103,"林凯车队")</f>
        <v/>
      </c>
      <c r="D54" s="10">
        <f>SUMIFS('车次台账'!$L$3:$L$103,'车次台账'!$H$3:$H$103,"林凯车队")</f>
        <v/>
      </c>
      <c r="E54" s="10">
        <f>SUMIFS('车次台账'!$M$3:$M$103,'车次台账'!$H$3:$H$103,"林凯车队")</f>
        <v/>
      </c>
      <c r="F54" s="12">
        <f>IF(C54=0,0,E54/C54)</f>
        <v/>
      </c>
      <c r="G54" s="10">
        <f>SUMIFS('车次台账'!$AC$3:$AC$103,'车次台账'!$H$3:$H$103,"林凯车队")</f>
        <v/>
      </c>
      <c r="H54" s="10">
        <f>SUMIFS('车次台账'!$O$3:$O$103,'车次台账'!$H$3:$H$103,"林凯车队")</f>
        <v/>
      </c>
    </row>
    <row r="55">
      <c r="A55" s="2" t="inlineStr">
        <is>
          <t>邓晶焱车队</t>
        </is>
      </c>
      <c r="B55" s="2">
        <f>COUNTIFS('车次台账'!$H$3:$H$103,"邓晶焱车队")</f>
        <v/>
      </c>
      <c r="C55" s="9">
        <f>SUMIFS('车次台账'!$K$3:$K$103,'车次台账'!$H$3:$H$103,"邓晶焱车队")</f>
        <v/>
      </c>
      <c r="D55" s="10">
        <f>SUMIFS('车次台账'!$L$3:$L$103,'车次台账'!$H$3:$H$103,"邓晶焱车队")</f>
        <v/>
      </c>
      <c r="E55" s="10">
        <f>SUMIFS('车次台账'!$M$3:$M$103,'车次台账'!$H$3:$H$103,"邓晶焱车队")</f>
        <v/>
      </c>
      <c r="F55" s="12">
        <f>IF(C55=0,0,E55/C55)</f>
        <v/>
      </c>
      <c r="G55" s="10">
        <f>SUMIFS('车次台账'!$AC$3:$AC$103,'车次台账'!$H$3:$H$103,"邓晶焱车队")</f>
        <v/>
      </c>
      <c r="H55" s="10">
        <f>SUMIFS('车次台账'!$O$3:$O$103,'车次台账'!$H$3:$H$103,"邓晶焱车队")</f>
        <v/>
      </c>
    </row>
    <row r="56">
      <c r="A56" s="2" t="inlineStr">
        <is>
          <t>闫东朋车队</t>
        </is>
      </c>
      <c r="B56" s="2">
        <f>COUNTIFS('车次台账'!$H$3:$H$103,"闫东朋车队")</f>
        <v/>
      </c>
      <c r="C56" s="9">
        <f>SUMIFS('车次台账'!$K$3:$K$103,'车次台账'!$H$3:$H$103,"闫东朋车队")</f>
        <v/>
      </c>
      <c r="D56" s="10">
        <f>SUMIFS('车次台账'!$L$3:$L$103,'车次台账'!$H$3:$H$103,"闫东朋车队")</f>
        <v/>
      </c>
      <c r="E56" s="10">
        <f>SUMIFS('车次台账'!$M$3:$M$103,'车次台账'!$H$3:$H$103,"闫东朋车队")</f>
        <v/>
      </c>
      <c r="F56" s="12">
        <f>IF(C56=0,0,E56/C56)</f>
        <v/>
      </c>
      <c r="G56" s="10">
        <f>SUMIFS('车次台账'!$AC$3:$AC$103,'车次台账'!$H$3:$H$103,"闫东朋车队")</f>
        <v/>
      </c>
      <c r="H56" s="10">
        <f>SUMIFS('车次台账'!$O$3:$O$103,'车次台账'!$H$3:$H$103,"闫东朋车队")</f>
        <v/>
      </c>
    </row>
    <row r="57">
      <c r="A57" s="2" t="inlineStr">
        <is>
          <t>陈杰车队</t>
        </is>
      </c>
      <c r="B57" s="2">
        <f>COUNTIFS('车次台账'!$H$3:$H$103,"陈杰车队")</f>
        <v/>
      </c>
      <c r="C57" s="9">
        <f>SUMIFS('车次台账'!$K$3:$K$103,'车次台账'!$H$3:$H$103,"陈杰车队")</f>
        <v/>
      </c>
      <c r="D57" s="10">
        <f>SUMIFS('车次台账'!$L$3:$L$103,'车次台账'!$H$3:$H$103,"陈杰车队")</f>
        <v/>
      </c>
      <c r="E57" s="10">
        <f>SUMIFS('车次台账'!$M$3:$M$103,'车次台账'!$H$3:$H$103,"陈杰车队")</f>
        <v/>
      </c>
      <c r="F57" s="12">
        <f>IF(C57=0,0,E57/C57)</f>
        <v/>
      </c>
      <c r="G57" s="10">
        <f>SUMIFS('车次台账'!$AC$3:$AC$103,'车次台账'!$H$3:$H$103,"陈杰车队")</f>
        <v/>
      </c>
      <c r="H57" s="10">
        <f>SUMIFS('车次台账'!$O$3:$O$103,'车次台账'!$H$3:$H$103,"陈杰车队")</f>
        <v/>
      </c>
    </row>
    <row r="58">
      <c r="A58" s="2" t="inlineStr">
        <is>
          <t>𠓾景通</t>
        </is>
      </c>
      <c r="B58" s="2">
        <f>COUNTIFS('车次台账'!$H$3:$H$103,"𠓾景通")</f>
        <v/>
      </c>
      <c r="C58" s="9">
        <f>SUMIFS('车次台账'!$K$3:$K$103,'车次台账'!$H$3:$H$103,"𠓾景通")</f>
        <v/>
      </c>
      <c r="D58" s="10">
        <f>SUMIFS('车次台账'!$L$3:$L$103,'车次台账'!$H$3:$H$103,"𠓾景通")</f>
        <v/>
      </c>
      <c r="E58" s="10">
        <f>SUMIFS('车次台账'!$M$3:$M$103,'车次台账'!$H$3:$H$103,"𠓾景通")</f>
        <v/>
      </c>
      <c r="F58" s="12">
        <f>IF(C58=0,0,E58/C58)</f>
        <v/>
      </c>
      <c r="G58" s="10">
        <f>SUMIFS('车次台账'!$AC$3:$AC$103,'车次台账'!$H$3:$H$103,"𠓾景通")</f>
        <v/>
      </c>
      <c r="H58" s="10">
        <f>SUMIFS('车次台账'!$O$3:$O$103,'车次台账'!$H$3:$H$103,"𠓾景通")</f>
        <v/>
      </c>
    </row>
    <row r="59">
      <c r="A59" s="1" t="inlineStr">
        <is>
          <t>小计</t>
        </is>
      </c>
      <c r="B59" s="1">
        <f>SUM(B47:B58)</f>
        <v/>
      </c>
      <c r="C59" s="13">
        <f>SUM(C47:C58)</f>
        <v/>
      </c>
      <c r="D59" s="11">
        <f>SUM(D47:D58)</f>
        <v/>
      </c>
      <c r="E59" s="11">
        <f>SUM(E47:E58)</f>
        <v/>
      </c>
      <c r="F59" s="12">
        <f>IF(C59=0,0,E59/C59)</f>
        <v/>
      </c>
      <c r="G59" s="11">
        <f>SUM(G47:G58)</f>
        <v/>
      </c>
      <c r="H59" s="11">
        <f>SUM(H47:H58)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1" t="inlineStr">
        <is>
          <t>七、按票源方</t>
        </is>
      </c>
      <c r="B61" s="2" t="n"/>
      <c r="C61" s="15" t="inlineStr">
        <is>
          <t>带票带货(无票源)的车次不在此表</t>
        </is>
      </c>
      <c r="D61" s="2" t="n"/>
      <c r="E61" s="2" t="n"/>
      <c r="F61" s="2" t="n"/>
      <c r="G61" s="2" t="n"/>
      <c r="H61" s="2" t="n"/>
    </row>
    <row r="62">
      <c r="A62" s="3" t="inlineStr">
        <is>
          <t>名称</t>
        </is>
      </c>
      <c r="B62" s="3" t="inlineStr">
        <is>
          <t>车次数</t>
        </is>
      </c>
      <c r="C62" s="3" t="inlineStr">
        <is>
          <t>吨位(吨)</t>
        </is>
      </c>
      <c r="D62" s="3" t="inlineStr">
        <is>
          <t>结算金额(元)</t>
        </is>
      </c>
      <c r="E62" s="3" t="inlineStr">
        <is>
          <t>净利润(元)</t>
        </is>
      </c>
      <c r="F62" s="3" t="inlineStr">
        <is>
          <t>单吨利润(元/吨)</t>
        </is>
      </c>
      <c r="G62" s="3" t="inlineStr">
        <is>
          <t>调货人提成(元)</t>
        </is>
      </c>
      <c r="H62" s="3" t="inlineStr">
        <is>
          <t>留存利润(元)</t>
        </is>
      </c>
    </row>
    <row r="63">
      <c r="A63" s="2" t="inlineStr">
        <is>
          <t>俊兴</t>
        </is>
      </c>
      <c r="B63" s="2">
        <f>COUNTIFS('车次台账'!$I$3:$I$103,"俊兴")</f>
        <v/>
      </c>
      <c r="C63" s="9">
        <f>SUMIFS('车次台账'!$K$3:$K$103,'车次台账'!$I$3:$I$103,"俊兴")</f>
        <v/>
      </c>
      <c r="D63" s="10">
        <f>SUMIFS('车次台账'!$L$3:$L$103,'车次台账'!$I$3:$I$103,"俊兴")</f>
        <v/>
      </c>
      <c r="E63" s="10">
        <f>SUMIFS('车次台账'!$M$3:$M$103,'车次台账'!$I$3:$I$103,"俊兴")</f>
        <v/>
      </c>
      <c r="F63" s="12">
        <f>IF(C63=0,0,E63/C63)</f>
        <v/>
      </c>
      <c r="G63" s="10">
        <f>SUMIFS('车次台账'!$AC$3:$AC$103,'车次台账'!$I$3:$I$103,"俊兴")</f>
        <v/>
      </c>
      <c r="H63" s="10">
        <f>SUMIFS('车次台账'!$O$3:$O$103,'车次台账'!$I$3:$I$103,"俊兴")</f>
        <v/>
      </c>
    </row>
    <row r="64">
      <c r="A64" s="2" t="inlineStr">
        <is>
          <t>反向-尹鹏飞</t>
        </is>
      </c>
      <c r="B64" s="2">
        <f>COUNTIFS('车次台账'!$I$3:$I$103,"反向-尹鹏飞")</f>
        <v/>
      </c>
      <c r="C64" s="9">
        <f>SUMIFS('车次台账'!$K$3:$K$103,'车次台账'!$I$3:$I$103,"反向-尹鹏飞")</f>
        <v/>
      </c>
      <c r="D64" s="10">
        <f>SUMIFS('车次台账'!$L$3:$L$103,'车次台账'!$I$3:$I$103,"反向-尹鹏飞")</f>
        <v/>
      </c>
      <c r="E64" s="10">
        <f>SUMIFS('车次台账'!$M$3:$M$103,'车次台账'!$I$3:$I$103,"反向-尹鹏飞")</f>
        <v/>
      </c>
      <c r="F64" s="12">
        <f>IF(C64=0,0,E64/C64)</f>
        <v/>
      </c>
      <c r="G64" s="10">
        <f>SUMIFS('车次台账'!$AC$3:$AC$103,'车次台账'!$I$3:$I$103,"反向-尹鹏飞")</f>
        <v/>
      </c>
      <c r="H64" s="10">
        <f>SUMIFS('车次台账'!$O$3:$O$103,'车次台账'!$I$3:$I$103,"反向-尹鹏飞")</f>
        <v/>
      </c>
    </row>
    <row r="65">
      <c r="A65" s="2" t="inlineStr">
        <is>
          <t>反向-闫东朋</t>
        </is>
      </c>
      <c r="B65" s="2">
        <f>COUNTIFS('车次台账'!$I$3:$I$103,"反向-闫东朋")</f>
        <v/>
      </c>
      <c r="C65" s="9">
        <f>SUMIFS('车次台账'!$K$3:$K$103,'车次台账'!$I$3:$I$103,"反向-闫东朋")</f>
        <v/>
      </c>
      <c r="D65" s="10">
        <f>SUMIFS('车次台账'!$L$3:$L$103,'车次台账'!$I$3:$I$103,"反向-闫东朋")</f>
        <v/>
      </c>
      <c r="E65" s="10">
        <f>SUMIFS('车次台账'!$M$3:$M$103,'车次台账'!$I$3:$I$103,"反向-闫东朋")</f>
        <v/>
      </c>
      <c r="F65" s="12">
        <f>IF(C65=0,0,E65/C65)</f>
        <v/>
      </c>
      <c r="G65" s="10">
        <f>SUMIFS('车次台账'!$AC$3:$AC$103,'车次台账'!$I$3:$I$103,"反向-闫东朋")</f>
        <v/>
      </c>
      <c r="H65" s="10">
        <f>SUMIFS('车次台账'!$O$3:$O$103,'车次台账'!$I$3:$I$103,"反向-闫东朋")</f>
        <v/>
      </c>
    </row>
    <row r="66">
      <c r="A66" s="2" t="inlineStr">
        <is>
          <t>煌烽</t>
        </is>
      </c>
      <c r="B66" s="2">
        <f>COUNTIFS('车次台账'!$I$3:$I$103,"煌烽")</f>
        <v/>
      </c>
      <c r="C66" s="9">
        <f>SUMIFS('车次台账'!$K$3:$K$103,'车次台账'!$I$3:$I$103,"煌烽")</f>
        <v/>
      </c>
      <c r="D66" s="10">
        <f>SUMIFS('车次台账'!$L$3:$L$103,'车次台账'!$I$3:$I$103,"煌烽")</f>
        <v/>
      </c>
      <c r="E66" s="10">
        <f>SUMIFS('车次台账'!$M$3:$M$103,'车次台账'!$I$3:$I$103,"煌烽")</f>
        <v/>
      </c>
      <c r="F66" s="12">
        <f>IF(C66=0,0,E66/C66)</f>
        <v/>
      </c>
      <c r="G66" s="10">
        <f>SUMIFS('车次台账'!$AC$3:$AC$103,'车次台账'!$I$3:$I$103,"煌烽")</f>
        <v/>
      </c>
      <c r="H66" s="10">
        <f>SUMIFS('车次台账'!$O$3:$O$103,'车次台账'!$I$3:$I$103,"煌烽")</f>
        <v/>
      </c>
    </row>
    <row r="67">
      <c r="A67" s="2" t="inlineStr">
        <is>
          <t>益周</t>
        </is>
      </c>
      <c r="B67" s="2">
        <f>COUNTIFS('车次台账'!$I$3:$I$103,"益周")</f>
        <v/>
      </c>
      <c r="C67" s="9">
        <f>SUMIFS('车次台账'!$K$3:$K$103,'车次台账'!$I$3:$I$103,"益周")</f>
        <v/>
      </c>
      <c r="D67" s="10">
        <f>SUMIFS('车次台账'!$L$3:$L$103,'车次台账'!$I$3:$I$103,"益周")</f>
        <v/>
      </c>
      <c r="E67" s="10">
        <f>SUMIFS('车次台账'!$M$3:$M$103,'车次台账'!$I$3:$I$103,"益周")</f>
        <v/>
      </c>
      <c r="F67" s="12">
        <f>IF(C67=0,0,E67/C67)</f>
        <v/>
      </c>
      <c r="G67" s="10">
        <f>SUMIFS('车次台账'!$AC$3:$AC$103,'车次台账'!$I$3:$I$103,"益周")</f>
        <v/>
      </c>
      <c r="H67" s="10">
        <f>SUMIFS('车次台账'!$O$3:$O$103,'车次台账'!$I$3:$I$103,"益周")</f>
        <v/>
      </c>
    </row>
    <row r="68">
      <c r="A68" s="1" t="inlineStr">
        <is>
          <t>小计</t>
        </is>
      </c>
      <c r="B68" s="1">
        <f>SUM(B63:B67)</f>
        <v/>
      </c>
      <c r="C68" s="13">
        <f>SUM(C63:C67)</f>
        <v/>
      </c>
      <c r="D68" s="11">
        <f>SUM(D63:D67)</f>
        <v/>
      </c>
      <c r="E68" s="11">
        <f>SUM(E63:E67)</f>
        <v/>
      </c>
      <c r="F68" s="12">
        <f>IF(C68=0,0,E68/C68)</f>
        <v/>
      </c>
      <c r="G68" s="11">
        <f>SUM(G63:G67)</f>
        <v/>
      </c>
      <c r="H68" s="11">
        <f>SUM(H63:H67)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1" t="inlineStr">
        <is>
          <t>八、按状态</t>
        </is>
      </c>
      <c r="B70" s="2" t="n"/>
      <c r="C70" s="2" t="n"/>
      <c r="D70" s="2" t="n"/>
      <c r="E70" s="2" t="n"/>
      <c r="F70" s="2" t="n"/>
      <c r="G70" s="2" t="n"/>
      <c r="H70" s="2" t="n"/>
    </row>
    <row r="71">
      <c r="A71" s="3" t="inlineStr">
        <is>
          <t>名称</t>
        </is>
      </c>
      <c r="B71" s="3" t="inlineStr">
        <is>
          <t>车次数</t>
        </is>
      </c>
      <c r="C71" s="3" t="inlineStr">
        <is>
          <t>吨位(吨)</t>
        </is>
      </c>
      <c r="D71" s="3" t="inlineStr">
        <is>
          <t>结算金额(元)</t>
        </is>
      </c>
      <c r="E71" s="3" t="inlineStr">
        <is>
          <t>净利润(元)</t>
        </is>
      </c>
      <c r="F71" s="3" t="inlineStr">
        <is>
          <t>单吨利润(元/吨)</t>
        </is>
      </c>
      <c r="G71" s="3" t="inlineStr">
        <is>
          <t>调货人提成(元)</t>
        </is>
      </c>
      <c r="H71" s="3" t="inlineStr">
        <is>
          <t>留存利润(元)</t>
        </is>
      </c>
    </row>
    <row r="72">
      <c r="A72" s="2" t="inlineStr">
        <is>
          <t>已结算</t>
        </is>
      </c>
      <c r="B72" s="2">
        <f>COUNTIFS('车次台账'!$J$3:$J$103,"已结算")</f>
        <v/>
      </c>
      <c r="C72" s="9">
        <f>SUMIFS('车次台账'!$K$3:$K$103,'车次台账'!$J$3:$J$103,"已结算")</f>
        <v/>
      </c>
      <c r="D72" s="10">
        <f>SUMIFS('车次台账'!$L$3:$L$103,'车次台账'!$J$3:$J$103,"已结算")</f>
        <v/>
      </c>
      <c r="E72" s="10">
        <f>SUMIFS('车次台账'!$M$3:$M$103,'车次台账'!$J$3:$J$103,"已结算")</f>
        <v/>
      </c>
      <c r="F72" s="12">
        <f>IF(C72=0,0,E72/C72)</f>
        <v/>
      </c>
      <c r="G72" s="10">
        <f>SUMIFS('车次台账'!$AC$3:$AC$103,'车次台账'!$J$3:$J$103,"已结算")</f>
        <v/>
      </c>
      <c r="H72" s="10">
        <f>SUMIFS('车次台账'!$O$3:$O$103,'车次台账'!$J$3:$J$103,"已结算")</f>
        <v/>
      </c>
    </row>
    <row r="73">
      <c r="A73" s="2" t="inlineStr">
        <is>
          <t>已开票</t>
        </is>
      </c>
      <c r="B73" s="2">
        <f>COUNTIFS('车次台账'!$J$3:$J$103,"已开票")</f>
        <v/>
      </c>
      <c r="C73" s="9">
        <f>SUMIFS('车次台账'!$K$3:$K$103,'车次台账'!$J$3:$J$103,"已开票")</f>
        <v/>
      </c>
      <c r="D73" s="10">
        <f>SUMIFS('车次台账'!$L$3:$L$103,'车次台账'!$J$3:$J$103,"已开票")</f>
        <v/>
      </c>
      <c r="E73" s="10">
        <f>SUMIFS('车次台账'!$M$3:$M$103,'车次台账'!$J$3:$J$103,"已开票")</f>
        <v/>
      </c>
      <c r="F73" s="12">
        <f>IF(C73=0,0,E73/C73)</f>
        <v/>
      </c>
      <c r="G73" s="10">
        <f>SUMIFS('车次台账'!$AC$3:$AC$103,'车次台账'!$J$3:$J$103,"已开票")</f>
        <v/>
      </c>
      <c r="H73" s="10">
        <f>SUMIFS('车次台账'!$O$3:$O$103,'车次台账'!$J$3:$J$103,"已开票")</f>
        <v/>
      </c>
    </row>
    <row r="74">
      <c r="A74" s="1" t="inlineStr">
        <is>
          <t>小计</t>
        </is>
      </c>
      <c r="B74" s="1">
        <f>SUM(B72:B73)</f>
        <v/>
      </c>
      <c r="C74" s="13">
        <f>SUM(C72:C73)</f>
        <v/>
      </c>
      <c r="D74" s="11">
        <f>SUM(D72:D73)</f>
        <v/>
      </c>
      <c r="E74" s="11">
        <f>SUM(E72:E73)</f>
        <v/>
      </c>
      <c r="F74" s="12">
        <f>IF(C74=0,0,E74/C74)</f>
        <v/>
      </c>
      <c r="G74" s="11">
        <f>SUM(G72:G73)</f>
        <v/>
      </c>
      <c r="H74" s="11">
        <f>SUM(H72:H73)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1" t="inlineStr">
        <is>
          <t>九、按结算月份</t>
        </is>
      </c>
      <c r="B76" s="2" t="n"/>
      <c r="C76" s="2" t="n"/>
      <c r="D76" s="2" t="n"/>
      <c r="E76" s="2" t="n"/>
      <c r="F76" s="2" t="n"/>
      <c r="G76" s="2" t="n"/>
      <c r="H76" s="2" t="n"/>
    </row>
    <row r="77">
      <c r="A77" s="3" t="inlineStr">
        <is>
          <t>月份</t>
        </is>
      </c>
      <c r="B77" s="3" t="inlineStr">
        <is>
          <t>车次数</t>
        </is>
      </c>
      <c r="C77" s="3" t="inlineStr">
        <is>
          <t>吨位(吨)</t>
        </is>
      </c>
      <c r="D77" s="3" t="inlineStr">
        <is>
          <t>结算金额(元)</t>
        </is>
      </c>
      <c r="E77" s="3" t="inlineStr">
        <is>
          <t>净利润(元)</t>
        </is>
      </c>
      <c r="F77" s="3" t="inlineStr">
        <is>
          <t>单吨利润(元/吨)</t>
        </is>
      </c>
      <c r="G77" s="2" t="n"/>
      <c r="H77" s="2" t="n"/>
    </row>
    <row r="78">
      <c r="A78" s="2" t="inlineStr">
        <is>
          <t>2026-08</t>
        </is>
      </c>
      <c r="B78" s="2">
        <f>COUNTIFS('车次台账'!$AO$3:$AO$103,"2026-08")</f>
        <v/>
      </c>
      <c r="C78" s="9">
        <f>SUMIFS('车次台账'!$K$3:$K$103,'车次台账'!$AO$3:$AO$103,"2026-08")</f>
        <v/>
      </c>
      <c r="D78" s="10">
        <f>SUMIFS('车次台账'!$L$3:$L$103,'车次台账'!$AO$3:$AO$103,"2026-08")</f>
        <v/>
      </c>
      <c r="E78" s="10">
        <f>SUMIFS('车次台账'!$M$3:$M$103,'车次台账'!$AO$3:$AO$103,"2026-08")</f>
        <v/>
      </c>
      <c r="F78" s="12">
        <f>IF(C78=0,0,E78/C78)</f>
        <v/>
      </c>
      <c r="G78" s="2" t="n"/>
      <c r="H78" s="2" t="n"/>
    </row>
    <row r="79">
      <c r="A79" s="2" t="inlineStr">
        <is>
          <t>2026-09</t>
        </is>
      </c>
      <c r="B79" s="2">
        <f>COUNTIFS('车次台账'!$AO$3:$AO$103,"2026-09")</f>
        <v/>
      </c>
      <c r="C79" s="9">
        <f>SUMIFS('车次台账'!$K$3:$K$103,'车次台账'!$AO$3:$AO$103,"2026-09")</f>
        <v/>
      </c>
      <c r="D79" s="10">
        <f>SUMIFS('车次台账'!$L$3:$L$103,'车次台账'!$AO$3:$AO$103,"2026-09")</f>
        <v/>
      </c>
      <c r="E79" s="10">
        <f>SUMIFS('车次台账'!$M$3:$M$103,'车次台账'!$AO$3:$AO$103,"2026-09")</f>
        <v/>
      </c>
      <c r="F79" s="12">
        <f>IF(C79=0,0,E79/C79)</f>
        <v/>
      </c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1" t="inlineStr">
        <is>
          <t>十、票款环节（引用「票款追踪」）</t>
        </is>
      </c>
      <c r="B81" s="2" t="n"/>
      <c r="C81" s="15" t="inlineStr">
        <is>
          <t>待登记 = 应登记 − 已登记；历史车次未补登批次前，回款环节会显示为待登记</t>
        </is>
      </c>
      <c r="D81" s="2" t="n"/>
      <c r="E81" s="2" t="n"/>
      <c r="F81" s="2" t="n"/>
      <c r="G81" s="2" t="n"/>
      <c r="H81" s="2" t="n"/>
    </row>
    <row r="82">
      <c r="A82" s="3" t="inlineStr">
        <is>
          <t>环节</t>
        </is>
      </c>
      <c r="B82" s="3" t="inlineStr">
        <is>
          <t>涉及车次</t>
        </is>
      </c>
      <c r="C82" s="3" t="inlineStr">
        <is>
          <t>应登记(元)</t>
        </is>
      </c>
      <c r="D82" s="3" t="inlineStr">
        <is>
          <t>已登记(元)</t>
        </is>
      </c>
      <c r="E82" s="3" t="inlineStr">
        <is>
          <t>待登记(元)</t>
        </is>
      </c>
      <c r="F82" s="3" t="inlineStr">
        <is>
          <t>待登记车次</t>
        </is>
      </c>
      <c r="G82" s="2" t="n"/>
      <c r="H82" s="2" t="n"/>
    </row>
    <row r="83">
      <c r="A83" s="2" t="inlineStr">
        <is>
          <t>进项</t>
        </is>
      </c>
      <c r="B83" s="2">
        <f>COUNTIFS('票款追踪'!$H$2:$H$341,"进项")</f>
        <v/>
      </c>
      <c r="C83" s="10">
        <f>SUMIFS('票款追踪'!$K$2:$K$341,'票款追踪'!$H$2:$H$341,"进项")</f>
        <v/>
      </c>
      <c r="D83" s="10">
        <f>SUMIFS('票款追踪'!$L$2:$L$341,'票款追踪'!$H$2:$H$341,"进项")</f>
        <v/>
      </c>
      <c r="E83" s="10">
        <f>SUMIFS('票款追踪'!$M$2:$M$341,'票款追踪'!$H$2:$H$341,"进项")</f>
        <v/>
      </c>
      <c r="F83" s="2">
        <f>COUNTIFS('票款追踪'!$H$2:$H$341,"进项",'票款追踪'!$M$2:$M$341,"&gt;0")</f>
        <v/>
      </c>
      <c r="G83" s="2" t="n"/>
      <c r="H83" s="2" t="n"/>
    </row>
    <row r="84">
      <c r="A84" s="2" t="inlineStr">
        <is>
          <t>销项→欧冶</t>
        </is>
      </c>
      <c r="B84" s="2">
        <f>COUNTIFS('票款追踪'!$H$2:$H$341,"销项→欧冶")</f>
        <v/>
      </c>
      <c r="C84" s="10">
        <f>SUMIFS('票款追踪'!$K$2:$K$341,'票款追踪'!$H$2:$H$341,"销项→欧冶")</f>
        <v/>
      </c>
      <c r="D84" s="10">
        <f>SUMIFS('票款追踪'!$L$2:$L$341,'票款追踪'!$H$2:$H$341,"销项→欧冶")</f>
        <v/>
      </c>
      <c r="E84" s="10">
        <f>SUMIFS('票款追踪'!$M$2:$M$341,'票款追踪'!$H$2:$H$341,"销项→欧冶")</f>
        <v/>
      </c>
      <c r="F84" s="2">
        <f>COUNTIFS('票款追踪'!$H$2:$H$341,"销项→欧冶",'票款追踪'!$M$2:$M$341,"&gt;0")</f>
        <v/>
      </c>
      <c r="G84" s="2" t="n"/>
      <c r="H84" s="2" t="n"/>
    </row>
    <row r="85">
      <c r="A85" s="2" t="inlineStr">
        <is>
          <t>欧冶回款</t>
        </is>
      </c>
      <c r="B85" s="2">
        <f>COUNTIFS('票款追踪'!$H$2:$H$341,"欧冶回款")</f>
        <v/>
      </c>
      <c r="C85" s="10">
        <f>SUMIFS('票款追踪'!$K$2:$K$341,'票款追踪'!$H$2:$H$341,"欧冶回款")</f>
        <v/>
      </c>
      <c r="D85" s="10">
        <f>SUMIFS('票款追踪'!$L$2:$L$341,'票款追踪'!$H$2:$H$341,"欧冶回款")</f>
        <v/>
      </c>
      <c r="E85" s="10">
        <f>SUMIFS('票款追踪'!$M$2:$M$341,'票款追踪'!$H$2:$H$341,"欧冶回款")</f>
        <v/>
      </c>
      <c r="F85" s="2">
        <f>COUNTIFS('票款追踪'!$H$2:$H$341,"欧冶回款",'票款追踪'!$M$2:$M$341,"&gt;0")</f>
        <v/>
      </c>
      <c r="G85" s="2" t="n"/>
      <c r="H85" s="2" t="n"/>
    </row>
    <row r="86">
      <c r="A86" s="2" t="inlineStr">
        <is>
          <t>付票源</t>
        </is>
      </c>
      <c r="B86" s="2">
        <f>COUNTIFS('票款追踪'!$H$2:$H$341,"付票源")</f>
        <v/>
      </c>
      <c r="C86" s="10">
        <f>SUMIFS('票款追踪'!$K$2:$K$341,'票款追踪'!$H$2:$H$341,"付票源")</f>
        <v/>
      </c>
      <c r="D86" s="10">
        <f>SUMIFS('票款追踪'!$L$2:$L$341,'票款追踪'!$H$2:$H$341,"付票源")</f>
        <v/>
      </c>
      <c r="E86" s="10">
        <f>SUMIFS('票款追踪'!$M$2:$M$341,'票款追踪'!$H$2:$H$341,"付票源")</f>
        <v/>
      </c>
      <c r="F86" s="2">
        <f>COUNTIFS('票款追踪'!$H$2:$H$341,"付票源",'票款追踪'!$M$2:$M$341,"&gt;0")</f>
        <v/>
      </c>
      <c r="G86" s="2" t="n"/>
      <c r="H86" s="2" t="n"/>
    </row>
    <row r="87">
      <c r="A87" s="2" t="inlineStr">
        <is>
          <t>到客户账户</t>
        </is>
      </c>
      <c r="B87" s="2">
        <f>COUNTIFS('票款追踪'!$H$2:$H$341,"到客户账户")</f>
        <v/>
      </c>
      <c r="C87" s="10">
        <f>SUMIFS('票款追踪'!$K$2:$K$341,'票款追踪'!$H$2:$H$341,"到客户账户")</f>
        <v/>
      </c>
      <c r="D87" s="10">
        <f>SUMIFS('票款追踪'!$L$2:$L$341,'票款追踪'!$H$2:$H$341,"到客户账户")</f>
        <v/>
      </c>
      <c r="E87" s="10">
        <f>SUMIFS('票款追踪'!$M$2:$M$341,'票款追踪'!$H$2:$H$341,"到客户账户")</f>
        <v/>
      </c>
      <c r="F87" s="2">
        <f>COUNTIFS('票款追踪'!$H$2:$H$341,"到客户账户",'票款追踪'!$M$2:$M$341,"&gt;0")</f>
        <v/>
      </c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1" t="inlineStr">
        <is>
          <t>十一、调货人提成 应付/已付/未付</t>
        </is>
      </c>
      <c r="B89" s="2" t="n"/>
      <c r="C89" s="2" t="n"/>
      <c r="D89" s="2" t="n"/>
      <c r="E89" s="2" t="n"/>
      <c r="F89" s="2" t="n"/>
      <c r="G89" s="2" t="n"/>
      <c r="H89" s="2" t="n"/>
    </row>
    <row r="90">
      <c r="A90" s="3" t="inlineStr">
        <is>
          <t>调货人</t>
        </is>
      </c>
      <c r="B90" s="3" t="inlineStr">
        <is>
          <t>车次数</t>
        </is>
      </c>
      <c r="C90" s="3" t="inlineStr">
        <is>
          <t>吨位(吨)</t>
        </is>
      </c>
      <c r="D90" s="3" t="inlineStr">
        <is>
          <t>应付提成(元)</t>
        </is>
      </c>
      <c r="E90" s="3" t="inlineStr">
        <is>
          <t>已付(元)</t>
        </is>
      </c>
      <c r="F90" s="3" t="inlineStr">
        <is>
          <t>未付(元)</t>
        </is>
      </c>
      <c r="G90" s="2" t="n"/>
      <c r="H90" s="2" t="n"/>
    </row>
    <row r="91">
      <c r="A91" s="2" t="inlineStr">
        <is>
          <t>李涛</t>
        </is>
      </c>
      <c r="B91" s="2">
        <f>COUNTIFS('车次台账'!$G$3:$G$103,"李涛")</f>
        <v/>
      </c>
      <c r="C91" s="9">
        <f>SUMIFS('车次台账'!$K$3:$K$103,'车次台账'!$G$3:$G$103,"李涛")</f>
        <v/>
      </c>
      <c r="D91" s="10">
        <f>SUMIFS('车次台账'!$AC$3:$AC$103,'车次台账'!$G$3:$G$103,"李涛")</f>
        <v/>
      </c>
      <c r="E91" s="10">
        <f>SUMIFS('车次台账'!$AM$3:$AM$103,'车次台账'!$G$3:$G$103,"李涛")</f>
        <v/>
      </c>
      <c r="F91" s="10">
        <f>D91-E91</f>
        <v/>
      </c>
      <c r="G91" s="2" t="n"/>
      <c r="H91" s="2" t="n"/>
    </row>
    <row r="92">
      <c r="A92" s="2" t="inlineStr">
        <is>
          <t>林凯</t>
        </is>
      </c>
      <c r="B92" s="2">
        <f>COUNTIFS('车次台账'!$G$3:$G$103,"林凯")</f>
        <v/>
      </c>
      <c r="C92" s="9">
        <f>SUMIFS('车次台账'!$K$3:$K$103,'车次台账'!$G$3:$G$103,"林凯")</f>
        <v/>
      </c>
      <c r="D92" s="10">
        <f>SUMIFS('车次台账'!$AC$3:$AC$103,'车次台账'!$G$3:$G$103,"林凯")</f>
        <v/>
      </c>
      <c r="E92" s="10">
        <f>SUMIFS('车次台账'!$AM$3:$AM$103,'车次台账'!$G$3:$G$103,"林凯")</f>
        <v/>
      </c>
      <c r="F92" s="10">
        <f>D92-E92</f>
        <v/>
      </c>
      <c r="G92" s="2" t="n"/>
      <c r="H92" s="2" t="n"/>
    </row>
    <row r="93">
      <c r="A93" s="2" t="inlineStr">
        <is>
          <t>邓晶焱</t>
        </is>
      </c>
      <c r="B93" s="2">
        <f>COUNTIFS('车次台账'!$G$3:$G$103,"邓晶焱")</f>
        <v/>
      </c>
      <c r="C93" s="9">
        <f>SUMIFS('车次台账'!$K$3:$K$103,'车次台账'!$G$3:$G$103,"邓晶焱")</f>
        <v/>
      </c>
      <c r="D93" s="10">
        <f>SUMIFS('车次台账'!$AC$3:$AC$103,'车次台账'!$G$3:$G$103,"邓晶焱")</f>
        <v/>
      </c>
      <c r="E93" s="10">
        <f>SUMIFS('车次台账'!$AM$3:$AM$103,'车次台账'!$G$3:$G$103,"邓晶焱")</f>
        <v/>
      </c>
      <c r="F93" s="10">
        <f>D93-E93</f>
        <v/>
      </c>
      <c r="G93" s="2" t="n"/>
      <c r="H93" s="2" t="n"/>
    </row>
    <row r="94">
      <c r="A94" s="2" t="inlineStr">
        <is>
          <t>闫东朋</t>
        </is>
      </c>
      <c r="B94" s="2">
        <f>COUNTIFS('车次台账'!$G$3:$G$103,"闫东朋")</f>
        <v/>
      </c>
      <c r="C94" s="9">
        <f>SUMIFS('车次台账'!$K$3:$K$103,'车次台账'!$G$3:$G$103,"闫东朋")</f>
        <v/>
      </c>
      <c r="D94" s="10">
        <f>SUMIFS('车次台账'!$AC$3:$AC$103,'车次台账'!$G$3:$G$103,"闫东朋")</f>
        <v/>
      </c>
      <c r="E94" s="10">
        <f>SUMIFS('车次台账'!$AM$3:$AM$103,'车次台账'!$G$3:$G$103,"闫东朋")</f>
        <v/>
      </c>
      <c r="F94" s="10">
        <f>D94-E94</f>
        <v/>
      </c>
      <c r="G94" s="2" t="n"/>
      <c r="H94" s="2" t="n"/>
    </row>
    <row r="95">
      <c r="A95" s="2" t="inlineStr">
        <is>
          <t>陈杰</t>
        </is>
      </c>
      <c r="B95" s="2">
        <f>COUNTIFS('车次台账'!$G$3:$G$103,"陈杰")</f>
        <v/>
      </c>
      <c r="C95" s="9">
        <f>SUMIFS('车次台账'!$K$3:$K$103,'车次台账'!$G$3:$G$103,"陈杰")</f>
        <v/>
      </c>
      <c r="D95" s="10">
        <f>SUMIFS('车次台账'!$AC$3:$AC$103,'车次台账'!$G$3:$G$103,"陈杰")</f>
        <v/>
      </c>
      <c r="E95" s="10">
        <f>SUMIFS('车次台账'!$AM$3:$AM$103,'车次台账'!$G$3:$G$103,"陈杰")</f>
        <v/>
      </c>
      <c r="F95" s="10">
        <f>D95-E95</f>
        <v/>
      </c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1" t="inlineStr">
        <is>
          <t>十二、质量：各货型（引用「磅重明细」）</t>
        </is>
      </c>
      <c r="B97" s="2" t="n"/>
      <c r="C97" s="2" t="n"/>
      <c r="D97" s="2" t="n"/>
      <c r="E97" s="2" t="n"/>
      <c r="F97" s="2" t="n"/>
      <c r="G97" s="2" t="n"/>
      <c r="H97" s="2" t="n"/>
    </row>
    <row r="98">
      <c r="A98" s="3" t="inlineStr">
        <is>
          <t>货型</t>
        </is>
      </c>
      <c r="B98" s="3" t="inlineStr">
        <is>
          <t>吨位(吨)</t>
        </is>
      </c>
      <c r="C98" s="3" t="inlineStr">
        <is>
          <t>金额(元)</t>
        </is>
      </c>
      <c r="D98" s="3" t="inlineStr">
        <is>
          <t>均价(元/吨)</t>
        </is>
      </c>
      <c r="E98" s="3" t="inlineStr">
        <is>
          <t>扣杂(吨)</t>
        </is>
      </c>
      <c r="F98" s="2" t="n"/>
      <c r="G98" s="2" t="n"/>
      <c r="H98" s="2" t="n"/>
    </row>
    <row r="99">
      <c r="A99" s="2" t="inlineStr">
        <is>
          <t>中废1</t>
        </is>
      </c>
      <c r="B99" s="9">
        <f>SUMIFS('磅重明细'!$L$2:$L$131,'磅重明细'!$J$2:$J$131,"中废1")</f>
        <v/>
      </c>
      <c r="C99" s="10">
        <f>SUMIFS('磅重明细'!$O$2:$O$131,'磅重明细'!$J$2:$J$131,"中废1")</f>
        <v/>
      </c>
      <c r="D99" s="12">
        <f>IF(B99=0,0,C99/B99)</f>
        <v/>
      </c>
      <c r="E99" s="9">
        <f>SUMIFS('磅重明细'!$K$2:$K$131,'磅重明细'!$J$2:$J$131,"中废1")</f>
        <v/>
      </c>
      <c r="F99" s="2" t="n"/>
      <c r="G99" s="2" t="n"/>
      <c r="H99" s="2" t="n"/>
    </row>
    <row r="100">
      <c r="A100" s="2" t="inlineStr">
        <is>
          <t>中废2</t>
        </is>
      </c>
      <c r="B100" s="9">
        <f>SUMIFS('磅重明细'!$L$2:$L$131,'磅重明细'!$J$2:$J$131,"中废2")</f>
        <v/>
      </c>
      <c r="C100" s="10">
        <f>SUMIFS('磅重明细'!$O$2:$O$131,'磅重明细'!$J$2:$J$131,"中废2")</f>
        <v/>
      </c>
      <c r="D100" s="12">
        <f>IF(B100=0,0,C100/B100)</f>
        <v/>
      </c>
      <c r="E100" s="9">
        <f>SUMIFS('磅重明细'!$K$2:$K$131,'磅重明细'!$J$2:$J$131,"中废2")</f>
        <v/>
      </c>
      <c r="F100" s="2" t="n"/>
      <c r="G100" s="2" t="n"/>
      <c r="H100" s="2" t="n"/>
    </row>
    <row r="101">
      <c r="A101" s="2" t="inlineStr">
        <is>
          <t>剪切中废1</t>
        </is>
      </c>
      <c r="B101" s="9">
        <f>SUMIFS('磅重明细'!$L$2:$L$131,'磅重明细'!$J$2:$J$131,"剪切中废1")</f>
        <v/>
      </c>
      <c r="C101" s="10">
        <f>SUMIFS('磅重明细'!$O$2:$O$131,'磅重明细'!$J$2:$J$131,"剪切中废1")</f>
        <v/>
      </c>
      <c r="D101" s="12">
        <f>IF(B101=0,0,C101/B101)</f>
        <v/>
      </c>
      <c r="E101" s="9">
        <f>SUMIFS('磅重明细'!$K$2:$K$131,'磅重明细'!$J$2:$J$131,"剪切中废1")</f>
        <v/>
      </c>
      <c r="F101" s="2" t="n"/>
      <c r="G101" s="2" t="n"/>
      <c r="H101" s="2" t="n"/>
    </row>
    <row r="102">
      <c r="A102" s="2" t="inlineStr">
        <is>
          <t>小废</t>
        </is>
      </c>
      <c r="B102" s="9">
        <f>SUMIFS('磅重明细'!$L$2:$L$131,'磅重明细'!$J$2:$J$131,"小废")</f>
        <v/>
      </c>
      <c r="C102" s="10">
        <f>SUMIFS('磅重明细'!$O$2:$O$131,'磅重明细'!$J$2:$J$131,"小废")</f>
        <v/>
      </c>
      <c r="D102" s="12">
        <f>IF(B102=0,0,C102/B102)</f>
        <v/>
      </c>
      <c r="E102" s="9">
        <f>SUMIFS('磅重明细'!$K$2:$K$131,'磅重明细'!$J$2:$J$131,"小废")</f>
        <v/>
      </c>
      <c r="F102" s="2" t="n"/>
      <c r="G102" s="2" t="n"/>
      <c r="H102" s="2" t="n"/>
    </row>
    <row r="103">
      <c r="A103" s="2" t="inlineStr">
        <is>
          <t>废钢压块1</t>
        </is>
      </c>
      <c r="B103" s="9">
        <f>SUMIFS('磅重明细'!$L$2:$L$131,'磅重明细'!$J$2:$J$131,"废钢压块1")</f>
        <v/>
      </c>
      <c r="C103" s="10">
        <f>SUMIFS('磅重明细'!$O$2:$O$131,'磅重明细'!$J$2:$J$131,"废钢压块1")</f>
        <v/>
      </c>
      <c r="D103" s="12">
        <f>IF(B103=0,0,C103/B103)</f>
        <v/>
      </c>
      <c r="E103" s="9">
        <f>SUMIFS('磅重明细'!$K$2:$K$131,'磅重明细'!$J$2:$J$131,"废钢压块1")</f>
        <v/>
      </c>
      <c r="F103" s="2" t="n"/>
      <c r="G103" s="2" t="n"/>
      <c r="H103" s="2" t="n"/>
    </row>
    <row r="104">
      <c r="A104" s="2" t="inlineStr">
        <is>
          <t>废钢压块2</t>
        </is>
      </c>
      <c r="B104" s="9">
        <f>SUMIFS('磅重明细'!$L$2:$L$131,'磅重明细'!$J$2:$J$131,"废钢压块2")</f>
        <v/>
      </c>
      <c r="C104" s="10">
        <f>SUMIFS('磅重明细'!$O$2:$O$131,'磅重明细'!$J$2:$J$131,"废钢压块2")</f>
        <v/>
      </c>
      <c r="D104" s="12">
        <f>IF(B104=0,0,C104/B104)</f>
        <v/>
      </c>
      <c r="E104" s="9">
        <f>SUMIFS('磅重明细'!$K$2:$K$131,'磅重明细'!$J$2:$J$131,"废钢压块2")</f>
        <v/>
      </c>
      <c r="F104" s="2" t="n"/>
      <c r="G104" s="2" t="n"/>
      <c r="H104" s="2" t="n"/>
    </row>
    <row r="105">
      <c r="A105" s="2" t="inlineStr">
        <is>
          <t>废钢压块3</t>
        </is>
      </c>
      <c r="B105" s="9">
        <f>SUMIFS('磅重明细'!$L$2:$L$131,'磅重明细'!$J$2:$J$131,"废钢压块3")</f>
        <v/>
      </c>
      <c r="C105" s="10">
        <f>SUMIFS('磅重明细'!$O$2:$O$131,'磅重明细'!$J$2:$J$131,"废钢压块3")</f>
        <v/>
      </c>
      <c r="D105" s="12">
        <f>IF(B105=0,0,C105/B105)</f>
        <v/>
      </c>
      <c r="E105" s="9">
        <f>SUMIFS('磅重明细'!$K$2:$K$131,'磅重明细'!$J$2:$J$131,"废钢压块3")</f>
        <v/>
      </c>
      <c r="F105" s="2" t="n"/>
      <c r="G105" s="2" t="n"/>
      <c r="H105" s="2" t="n"/>
    </row>
    <row r="106">
      <c r="A106" s="2" t="inlineStr">
        <is>
          <t>普通压块</t>
        </is>
      </c>
      <c r="B106" s="9">
        <f>SUMIFS('磅重明细'!$L$2:$L$131,'磅重明细'!$J$2:$J$131,"普通压块")</f>
        <v/>
      </c>
      <c r="C106" s="10">
        <f>SUMIFS('磅重明细'!$O$2:$O$131,'磅重明细'!$J$2:$J$131,"普通压块")</f>
        <v/>
      </c>
      <c r="D106" s="12">
        <f>IF(B106=0,0,C106/B106)</f>
        <v/>
      </c>
      <c r="E106" s="9">
        <f>SUMIFS('磅重明细'!$K$2:$K$131,'磅重明细'!$J$2:$J$131,"普通压块")</f>
        <v/>
      </c>
      <c r="F106" s="2" t="n"/>
      <c r="G106" s="2" t="n"/>
      <c r="H106" s="2" t="n"/>
    </row>
    <row r="107">
      <c r="A107" s="2" t="inlineStr">
        <is>
          <t>未分货型(混料)</t>
        </is>
      </c>
      <c r="B107" s="9">
        <f>SUMIFS('磅重明细'!$L$2:$L$131,'磅重明细'!$J$2:$J$131,"未分货型(混料)")</f>
        <v/>
      </c>
      <c r="C107" s="10">
        <f>SUMIFS('磅重明细'!$O$2:$O$131,'磅重明细'!$J$2:$J$131,"未分货型(混料)")</f>
        <v/>
      </c>
      <c r="D107" s="12">
        <f>IF(B107=0,0,C107/B107)</f>
        <v/>
      </c>
      <c r="E107" s="9">
        <f>SUMIFS('磅重明细'!$K$2:$K$131,'磅重明细'!$J$2:$J$131,"未分货型(混料)")</f>
        <v/>
      </c>
      <c r="F107" s="2" t="n"/>
      <c r="G107" s="2" t="n"/>
      <c r="H107" s="2" t="n"/>
    </row>
    <row r="108">
      <c r="A108" s="2" t="inlineStr">
        <is>
          <t>未注明</t>
        </is>
      </c>
      <c r="B108" s="9">
        <f>SUMIFS('磅重明细'!$L$2:$L$131,'磅重明细'!$J$2:$J$131,"未注明")</f>
        <v/>
      </c>
      <c r="C108" s="10">
        <f>SUMIFS('磅重明细'!$O$2:$O$131,'磅重明细'!$J$2:$J$131,"未注明")</f>
        <v/>
      </c>
      <c r="D108" s="12">
        <f>IF(B108=0,0,C108/B108)</f>
        <v/>
      </c>
      <c r="E108" s="9">
        <f>SUMIFS('磅重明细'!$K$2:$K$131,'磅重明细'!$J$2:$J$131,"未注明")</f>
        <v/>
      </c>
      <c r="F108" s="2" t="n"/>
      <c r="G108" s="2" t="n"/>
      <c r="H108" s="2" t="n"/>
    </row>
    <row r="109">
      <c r="A109" s="2" t="inlineStr">
        <is>
          <t>边角料压块1</t>
        </is>
      </c>
      <c r="B109" s="9">
        <f>SUMIFS('磅重明细'!$L$2:$L$131,'磅重明细'!$J$2:$J$131,"边角料压块1")</f>
        <v/>
      </c>
      <c r="C109" s="10">
        <f>SUMIFS('磅重明细'!$O$2:$O$131,'磅重明细'!$J$2:$J$131,"边角料压块1")</f>
        <v/>
      </c>
      <c r="D109" s="12">
        <f>IF(B109=0,0,C109/B109)</f>
        <v/>
      </c>
      <c r="E109" s="9">
        <f>SUMIFS('磅重明细'!$K$2:$K$131,'磅重明细'!$J$2:$J$131,"边角料压块1")</f>
        <v/>
      </c>
      <c r="F109" s="2" t="n"/>
      <c r="G109" s="2" t="n"/>
      <c r="H109" s="2" t="n"/>
    </row>
    <row r="110">
      <c r="A110" s="2" t="inlineStr">
        <is>
          <t>重废1</t>
        </is>
      </c>
      <c r="B110" s="9">
        <f>SUMIFS('磅重明细'!$L$2:$L$131,'磅重明细'!$J$2:$J$131,"重废1")</f>
        <v/>
      </c>
      <c r="C110" s="10">
        <f>SUMIFS('磅重明细'!$O$2:$O$131,'磅重明细'!$J$2:$J$131,"重废1")</f>
        <v/>
      </c>
      <c r="D110" s="12">
        <f>IF(B110=0,0,C110/B110)</f>
        <v/>
      </c>
      <c r="E110" s="9">
        <f>SUMIFS('磅重明细'!$K$2:$K$131,'磅重明细'!$J$2:$J$131,"重废1")</f>
        <v/>
      </c>
      <c r="F110" s="2" t="n"/>
      <c r="G110" s="2" t="n"/>
      <c r="H110" s="2" t="n"/>
    </row>
    <row r="111">
      <c r="A111" s="2" t="inlineStr">
        <is>
          <t>重废2</t>
        </is>
      </c>
      <c r="B111" s="9">
        <f>SUMIFS('磅重明细'!$L$2:$L$131,'磅重明细'!$J$2:$J$131,"重废2")</f>
        <v/>
      </c>
      <c r="C111" s="10">
        <f>SUMIFS('磅重明细'!$O$2:$O$131,'磅重明细'!$J$2:$J$131,"重废2")</f>
        <v/>
      </c>
      <c r="D111" s="12">
        <f>IF(B111=0,0,C111/B111)</f>
        <v/>
      </c>
      <c r="E111" s="9">
        <f>SUMIFS('磅重明细'!$K$2:$K$131,'磅重明细'!$J$2:$J$131,"重废2")</f>
        <v/>
      </c>
      <c r="F111" s="2" t="n"/>
      <c r="G111" s="2" t="n"/>
      <c r="H111" s="2" t="n"/>
    </row>
    <row r="112">
      <c r="A112" s="2" t="inlineStr">
        <is>
          <t>重废3</t>
        </is>
      </c>
      <c r="B112" s="9">
        <f>SUMIFS('磅重明细'!$L$2:$L$131,'磅重明细'!$J$2:$J$131,"重废3")</f>
        <v/>
      </c>
      <c r="C112" s="10">
        <f>SUMIFS('磅重明细'!$O$2:$O$131,'磅重明细'!$J$2:$J$131,"重废3")</f>
        <v/>
      </c>
      <c r="D112" s="12">
        <f>IF(B112=0,0,C112/B112)</f>
        <v/>
      </c>
      <c r="E112" s="9">
        <f>SUMIFS('磅重明细'!$K$2:$K$131,'磅重明细'!$J$2:$J$131,"重废3")</f>
        <v/>
      </c>
      <c r="F112" s="2" t="n"/>
      <c r="G112" s="2" t="n"/>
      <c r="H112" s="2" t="n"/>
    </row>
    <row r="113">
      <c r="A113" s="2" t="inlineStr">
        <is>
          <t>钢筋压块</t>
        </is>
      </c>
      <c r="B113" s="9">
        <f>SUMIFS('磅重明细'!$L$2:$L$131,'磅重明细'!$J$2:$J$131,"钢筋压块")</f>
        <v/>
      </c>
      <c r="C113" s="10">
        <f>SUMIFS('磅重明细'!$O$2:$O$131,'磅重明细'!$J$2:$J$131,"钢筋压块")</f>
        <v/>
      </c>
      <c r="D113" s="12">
        <f>IF(B113=0,0,C113/B113)</f>
        <v/>
      </c>
      <c r="E113" s="9">
        <f>SUMIFS('磅重明细'!$K$2:$K$131,'磅重明细'!$J$2:$J$131,"钢筋压块")</f>
        <v/>
      </c>
      <c r="F113" s="2" t="n"/>
      <c r="G113" s="2" t="n"/>
      <c r="H113" s="2" t="n"/>
    </row>
    <row r="114">
      <c r="A114" s="2" t="inlineStr">
        <is>
          <t>铁加压块</t>
        </is>
      </c>
      <c r="B114" s="9">
        <f>SUMIFS('磅重明细'!$L$2:$L$131,'磅重明细'!$J$2:$J$131,"铁加压块")</f>
        <v/>
      </c>
      <c r="C114" s="10">
        <f>SUMIFS('磅重明细'!$O$2:$O$131,'磅重明细'!$J$2:$J$131,"铁加压块")</f>
        <v/>
      </c>
      <c r="D114" s="12">
        <f>IF(B114=0,0,C114/B114)</f>
        <v/>
      </c>
      <c r="E114" s="9">
        <f>SUMIFS('磅重明细'!$K$2:$K$131,'磅重明细'!$J$2:$J$131,"铁加压块")</f>
        <v/>
      </c>
      <c r="F114" s="2" t="n"/>
      <c r="G114" s="2" t="n"/>
      <c r="H1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6" customWidth="1" min="4" max="4"/>
    <col width="9" customWidth="1" min="5" max="5"/>
    <col width="9" customWidth="1" min="6" max="6"/>
    <col width="8" customWidth="1" min="7" max="7"/>
    <col width="11" customWidth="1" min="8" max="8"/>
    <col width="14" customWidth="1" min="9" max="9"/>
    <col width="14" customWidth="1" min="10" max="10"/>
    <col width="9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3" t="inlineStr">
        <is>
          <t>车次ID</t>
        </is>
      </c>
      <c r="B1" s="3" t="inlineStr">
        <is>
          <t>结算日期</t>
        </is>
      </c>
      <c r="C1" s="3" t="inlineStr">
        <is>
          <t>车号/船号</t>
        </is>
      </c>
      <c r="D1" s="3" t="inlineStr">
        <is>
          <t>车/船</t>
        </is>
      </c>
      <c r="E1" s="3" t="inlineStr">
        <is>
          <t>路径</t>
        </is>
      </c>
      <c r="F1" s="3" t="inlineStr">
        <is>
          <t>链条</t>
        </is>
      </c>
      <c r="G1" s="3" t="inlineStr">
        <is>
          <t>调货人</t>
        </is>
      </c>
      <c r="H1" s="3" t="inlineStr">
        <is>
          <t>供货厂/车队</t>
        </is>
      </c>
      <c r="I1" s="3" t="inlineStr">
        <is>
          <t>货型大类</t>
        </is>
      </c>
      <c r="J1" s="3" t="inlineStr">
        <is>
          <t>货型</t>
        </is>
      </c>
      <c r="K1" s="3" t="inlineStr">
        <is>
          <t>扣杂(吨)</t>
        </is>
      </c>
      <c r="L1" s="3" t="inlineStr">
        <is>
          <t>结算吨数(吨)</t>
        </is>
      </c>
      <c r="M1" s="3" t="inlineStr">
        <is>
          <t>单价(元/吨)</t>
        </is>
      </c>
      <c r="N1" s="3" t="inlineStr">
        <is>
          <t>切割费(元)</t>
        </is>
      </c>
      <c r="O1" s="3" t="inlineStr">
        <is>
          <t>金额(元)</t>
        </is>
      </c>
    </row>
    <row r="2">
      <c r="A2" s="2" t="n">
        <v>1</v>
      </c>
      <c r="B2" s="8" t="n">
        <v>46253</v>
      </c>
      <c r="C2" s="2" t="inlineStr">
        <is>
          <t>苏DBB772</t>
        </is>
      </c>
      <c r="D2" s="2" t="inlineStr">
        <is>
          <t>车</t>
        </is>
      </c>
      <c r="E2" s="2" t="inlineStr">
        <is>
          <t>配票/反向</t>
        </is>
      </c>
      <c r="F2" s="2" t="inlineStr">
        <is>
          <t>配票</t>
        </is>
      </c>
      <c r="G2" s="2" t="inlineStr">
        <is>
          <t>林凯</t>
        </is>
      </c>
      <c r="H2" s="2" t="inlineStr">
        <is>
          <t>林凯车队</t>
        </is>
      </c>
      <c r="I2" s="2" t="inlineStr">
        <is>
          <t>废钢压块类</t>
        </is>
      </c>
      <c r="J2" s="2" t="inlineStr">
        <is>
          <t>废钢压块2</t>
        </is>
      </c>
      <c r="K2" s="9" t="n">
        <v>0.9</v>
      </c>
      <c r="L2" s="9" t="n">
        <v>73.58</v>
      </c>
      <c r="M2" s="12" t="n">
        <v>2290</v>
      </c>
      <c r="N2" s="10" t="n">
        <v>0</v>
      </c>
      <c r="O2" s="10" t="n">
        <v>168498.2</v>
      </c>
    </row>
    <row r="3">
      <c r="A3" s="2" t="n">
        <v>2</v>
      </c>
      <c r="B3" s="8" t="n">
        <v>46254</v>
      </c>
      <c r="C3" s="2" t="inlineStr">
        <is>
          <t>苏DFM060</t>
        </is>
      </c>
      <c r="D3" s="2" t="inlineStr">
        <is>
          <t>车</t>
        </is>
      </c>
      <c r="E3" s="2" t="inlineStr">
        <is>
          <t>配票/反向</t>
        </is>
      </c>
      <c r="F3" s="2" t="inlineStr">
        <is>
          <t>配票</t>
        </is>
      </c>
      <c r="G3" s="2" t="inlineStr">
        <is>
          <t>林凯</t>
        </is>
      </c>
      <c r="H3" s="2" t="inlineStr">
        <is>
          <t>林凯车队</t>
        </is>
      </c>
      <c r="I3" s="2" t="inlineStr">
        <is>
          <t>废钢</t>
        </is>
      </c>
      <c r="J3" s="2" t="inlineStr">
        <is>
          <t>中废1</t>
        </is>
      </c>
      <c r="K3" s="9" t="n">
        <v>0.5</v>
      </c>
      <c r="L3" s="9" t="n">
        <v>34.8</v>
      </c>
      <c r="M3" s="12" t="n">
        <v>2430</v>
      </c>
      <c r="N3" s="10" t="n">
        <v>0</v>
      </c>
      <c r="O3" s="10" t="n">
        <v>84564</v>
      </c>
    </row>
    <row r="4">
      <c r="A4" s="2" t="n">
        <v>3</v>
      </c>
      <c r="B4" s="8" t="n">
        <v>46255</v>
      </c>
      <c r="C4" s="2" t="inlineStr">
        <is>
          <t>苏DBB772</t>
        </is>
      </c>
      <c r="D4" s="2" t="inlineStr">
        <is>
          <t>车</t>
        </is>
      </c>
      <c r="E4" s="2" t="inlineStr">
        <is>
          <t>配票/反向</t>
        </is>
      </c>
      <c r="F4" s="2" t="inlineStr">
        <is>
          <t>配票</t>
        </is>
      </c>
      <c r="G4" s="2" t="inlineStr">
        <is>
          <t>林凯</t>
        </is>
      </c>
      <c r="H4" s="2" t="inlineStr">
        <is>
          <t>林凯车队</t>
        </is>
      </c>
      <c r="I4" s="2" t="inlineStr">
        <is>
          <t>铁水罐压块类</t>
        </is>
      </c>
      <c r="J4" s="2" t="inlineStr">
        <is>
          <t>铁加压块</t>
        </is>
      </c>
      <c r="K4" s="9" t="n">
        <v>0.8</v>
      </c>
      <c r="L4" s="9" t="n">
        <v>81.16</v>
      </c>
      <c r="M4" s="12" t="n">
        <v>2480</v>
      </c>
      <c r="N4" s="10" t="n">
        <v>0</v>
      </c>
      <c r="O4" s="10" t="n">
        <v>201276.8</v>
      </c>
    </row>
    <row r="5">
      <c r="A5" s="2" t="n">
        <v>4</v>
      </c>
      <c r="B5" s="8" t="n">
        <v>46255</v>
      </c>
      <c r="C5" s="2" t="inlineStr">
        <is>
          <t>皖M2A505</t>
        </is>
      </c>
      <c r="D5" s="2" t="inlineStr">
        <is>
          <t>车</t>
        </is>
      </c>
      <c r="E5" s="2" t="inlineStr">
        <is>
          <t>配票/反向</t>
        </is>
      </c>
      <c r="F5" s="2" t="inlineStr">
        <is>
          <t>配票</t>
        </is>
      </c>
      <c r="G5" s="2" t="n"/>
      <c r="H5" s="2" t="inlineStr">
        <is>
          <t>俊兴</t>
        </is>
      </c>
      <c r="I5" s="2" t="inlineStr">
        <is>
          <t>废钢压块类</t>
        </is>
      </c>
      <c r="J5" s="2" t="inlineStr">
        <is>
          <t>废钢压块2</t>
        </is>
      </c>
      <c r="K5" s="9" t="n">
        <v>0.3</v>
      </c>
      <c r="L5" s="9" t="n">
        <v>36.36</v>
      </c>
      <c r="M5" s="12" t="n">
        <v>2290</v>
      </c>
      <c r="N5" s="10" t="n">
        <v>0</v>
      </c>
      <c r="O5" s="10" t="n">
        <v>83264.39999999999</v>
      </c>
    </row>
    <row r="6">
      <c r="A6" s="2" t="n">
        <v>5</v>
      </c>
      <c r="B6" s="8" t="n">
        <v>46255</v>
      </c>
      <c r="C6" s="2" t="inlineStr">
        <is>
          <t>苏EQB977</t>
        </is>
      </c>
      <c r="D6" s="2" t="inlineStr">
        <is>
          <t>车</t>
        </is>
      </c>
      <c r="E6" s="2" t="inlineStr">
        <is>
          <t>配票/反向</t>
        </is>
      </c>
      <c r="F6" s="2" t="inlineStr">
        <is>
          <t>配票</t>
        </is>
      </c>
      <c r="G6" s="2" t="n"/>
      <c r="H6" s="2" t="inlineStr">
        <is>
          <t>俊兴</t>
        </is>
      </c>
      <c r="I6" s="2" t="inlineStr">
        <is>
          <t>废钢压块类</t>
        </is>
      </c>
      <c r="J6" s="2" t="inlineStr">
        <is>
          <t>废钢压块2</t>
        </is>
      </c>
      <c r="K6" s="9" t="n">
        <v>0.3</v>
      </c>
      <c r="L6" s="9" t="n">
        <v>32.94</v>
      </c>
      <c r="M6" s="12" t="n">
        <v>2290</v>
      </c>
      <c r="N6" s="10" t="n">
        <v>0</v>
      </c>
      <c r="O6" s="10" t="n">
        <v>75432.60000000001</v>
      </c>
    </row>
    <row r="7">
      <c r="A7" s="2" t="n">
        <v>6</v>
      </c>
      <c r="B7" s="8" t="n">
        <v>46255</v>
      </c>
      <c r="C7" s="2" t="inlineStr">
        <is>
          <t>苏BUK952</t>
        </is>
      </c>
      <c r="D7" s="2" t="inlineStr">
        <is>
          <t>车</t>
        </is>
      </c>
      <c r="E7" s="2" t="inlineStr">
        <is>
          <t>配票/反向</t>
        </is>
      </c>
      <c r="F7" s="2" t="inlineStr">
        <is>
          <t>配票</t>
        </is>
      </c>
      <c r="G7" s="2" t="inlineStr">
        <is>
          <t>林凯</t>
        </is>
      </c>
      <c r="H7" s="2" t="inlineStr">
        <is>
          <t>林凯车队</t>
        </is>
      </c>
      <c r="I7" s="2" t="inlineStr">
        <is>
          <t>废钢</t>
        </is>
      </c>
      <c r="J7" s="2" t="inlineStr">
        <is>
          <t>中废1</t>
        </is>
      </c>
      <c r="K7" s="9" t="n">
        <v>0.175</v>
      </c>
      <c r="L7" s="9" t="n">
        <v>17.087</v>
      </c>
      <c r="M7" s="12" t="n">
        <v>2430</v>
      </c>
      <c r="N7" s="10" t="n">
        <v>0</v>
      </c>
      <c r="O7" s="10" t="n">
        <v>41521.41</v>
      </c>
    </row>
    <row r="8">
      <c r="A8" s="2" t="n">
        <v>6</v>
      </c>
      <c r="B8" s="8" t="n">
        <v>46255</v>
      </c>
      <c r="C8" s="2" t="inlineStr">
        <is>
          <t>苏BUK952</t>
        </is>
      </c>
      <c r="D8" s="2" t="inlineStr">
        <is>
          <t>车</t>
        </is>
      </c>
      <c r="E8" s="2" t="inlineStr">
        <is>
          <t>配票/反向</t>
        </is>
      </c>
      <c r="F8" s="2" t="inlineStr">
        <is>
          <t>配票</t>
        </is>
      </c>
      <c r="G8" s="2" t="inlineStr">
        <is>
          <t>林凯</t>
        </is>
      </c>
      <c r="H8" s="2" t="inlineStr">
        <is>
          <t>林凯车队</t>
        </is>
      </c>
      <c r="I8" s="2" t="inlineStr">
        <is>
          <t>废钢</t>
        </is>
      </c>
      <c r="J8" s="2" t="inlineStr">
        <is>
          <t>中废2</t>
        </is>
      </c>
      <c r="K8" s="9" t="n">
        <v>0.075</v>
      </c>
      <c r="L8" s="9" t="n">
        <v>7.323</v>
      </c>
      <c r="M8" s="12" t="n">
        <v>2390</v>
      </c>
      <c r="N8" s="10" t="n">
        <v>0</v>
      </c>
      <c r="O8" s="10" t="n">
        <v>17501.97</v>
      </c>
    </row>
    <row r="9">
      <c r="A9" s="2" t="n">
        <v>7</v>
      </c>
      <c r="B9" s="8" t="n">
        <v>46256</v>
      </c>
      <c r="C9" s="2" t="inlineStr">
        <is>
          <t>苏DBB772</t>
        </is>
      </c>
      <c r="D9" s="2" t="inlineStr">
        <is>
          <t>车</t>
        </is>
      </c>
      <c r="E9" s="2" t="inlineStr">
        <is>
          <t>配票/反向</t>
        </is>
      </c>
      <c r="F9" s="2" t="inlineStr">
        <is>
          <t>配票</t>
        </is>
      </c>
      <c r="G9" s="2" t="inlineStr">
        <is>
          <t>林凯</t>
        </is>
      </c>
      <c r="H9" s="2" t="inlineStr">
        <is>
          <t>林凯车队</t>
        </is>
      </c>
      <c r="I9" s="2" t="inlineStr">
        <is>
          <t>废钢压块类</t>
        </is>
      </c>
      <c r="J9" s="2" t="inlineStr">
        <is>
          <t>废钢压块2</t>
        </is>
      </c>
      <c r="K9" s="9" t="n">
        <v>1.4</v>
      </c>
      <c r="L9" s="9" t="n">
        <v>69.5</v>
      </c>
      <c r="M9" s="12" t="n">
        <v>2290</v>
      </c>
      <c r="N9" s="10" t="n">
        <v>0</v>
      </c>
      <c r="O9" s="10" t="n">
        <v>159155</v>
      </c>
    </row>
    <row r="10">
      <c r="A10" s="2" t="n">
        <v>8</v>
      </c>
      <c r="B10" s="8" t="n">
        <v>46256</v>
      </c>
      <c r="C10" s="2" t="inlineStr">
        <is>
          <t>苏E9W908</t>
        </is>
      </c>
      <c r="D10" s="2" t="inlineStr">
        <is>
          <t>车</t>
        </is>
      </c>
      <c r="E10" s="2" t="inlineStr">
        <is>
          <t>配票/反向</t>
        </is>
      </c>
      <c r="F10" s="2" t="inlineStr">
        <is>
          <t>配票</t>
        </is>
      </c>
      <c r="G10" s="2" t="inlineStr">
        <is>
          <t>邓晶焱</t>
        </is>
      </c>
      <c r="H10" s="2" t="inlineStr">
        <is>
          <t>邓晶焱车队</t>
        </is>
      </c>
      <c r="I10" s="2" t="inlineStr">
        <is>
          <t>废钢压块类</t>
        </is>
      </c>
      <c r="J10" s="2" t="inlineStr">
        <is>
          <t>废钢压块1</t>
        </is>
      </c>
      <c r="K10" s="9" t="n">
        <v>1</v>
      </c>
      <c r="L10" s="9" t="n">
        <v>39.16</v>
      </c>
      <c r="M10" s="12" t="n">
        <v>2330</v>
      </c>
      <c r="N10" s="10" t="n">
        <v>0</v>
      </c>
      <c r="O10" s="10" t="n">
        <v>91242.8</v>
      </c>
    </row>
    <row r="11">
      <c r="A11" s="2" t="n">
        <v>9</v>
      </c>
      <c r="B11" s="8" t="n">
        <v>46256</v>
      </c>
      <c r="C11" s="2" t="inlineStr">
        <is>
          <t>苏MAK862</t>
        </is>
      </c>
      <c r="D11" s="2" t="inlineStr">
        <is>
          <t>车</t>
        </is>
      </c>
      <c r="E11" s="2" t="inlineStr">
        <is>
          <t>配票/反向</t>
        </is>
      </c>
      <c r="F11" s="2" t="inlineStr">
        <is>
          <t>配票</t>
        </is>
      </c>
      <c r="G11" s="2" t="n"/>
      <c r="H11" s="2" t="inlineStr">
        <is>
          <t>俊兴</t>
        </is>
      </c>
      <c r="I11" s="2" t="inlineStr">
        <is>
          <t>废钢压块类</t>
        </is>
      </c>
      <c r="J11" s="2" t="inlineStr">
        <is>
          <t>废钢压块2</t>
        </is>
      </c>
      <c r="K11" s="9" t="n">
        <v>0.6</v>
      </c>
      <c r="L11" s="9" t="n">
        <v>34.24</v>
      </c>
      <c r="M11" s="12" t="n">
        <v>2290</v>
      </c>
      <c r="N11" s="10" t="n">
        <v>0</v>
      </c>
      <c r="O11" s="10" t="n">
        <v>78409.60000000001</v>
      </c>
    </row>
    <row r="12">
      <c r="A12" s="2" t="n">
        <v>10</v>
      </c>
      <c r="B12" s="8" t="n">
        <v>46259</v>
      </c>
      <c r="C12" s="2" t="inlineStr">
        <is>
          <t>苏DBE075</t>
        </is>
      </c>
      <c r="D12" s="2" t="inlineStr">
        <is>
          <t>车</t>
        </is>
      </c>
      <c r="E12" s="2" t="inlineStr">
        <is>
          <t>配票/反向</t>
        </is>
      </c>
      <c r="F12" s="2" t="inlineStr">
        <is>
          <t>配票</t>
        </is>
      </c>
      <c r="G12" s="2" t="inlineStr">
        <is>
          <t>林凯</t>
        </is>
      </c>
      <c r="H12" s="2" t="inlineStr">
        <is>
          <t>林凯车队</t>
        </is>
      </c>
      <c r="I12" s="2" t="inlineStr">
        <is>
          <t>废钢压块类</t>
        </is>
      </c>
      <c r="J12" s="2" t="inlineStr">
        <is>
          <t>废钢压块2</t>
        </is>
      </c>
      <c r="K12" s="9" t="n">
        <v>0.84</v>
      </c>
      <c r="L12" s="9" t="n">
        <v>56.7</v>
      </c>
      <c r="M12" s="12" t="n">
        <v>2260</v>
      </c>
      <c r="N12" s="10" t="n">
        <v>0</v>
      </c>
      <c r="O12" s="10" t="n">
        <v>128142</v>
      </c>
    </row>
    <row r="13">
      <c r="A13" s="2" t="n">
        <v>10</v>
      </c>
      <c r="B13" s="8" t="n">
        <v>46259</v>
      </c>
      <c r="C13" s="2" t="inlineStr">
        <is>
          <t>苏DBE075</t>
        </is>
      </c>
      <c r="D13" s="2" t="inlineStr">
        <is>
          <t>车</t>
        </is>
      </c>
      <c r="E13" s="2" t="inlineStr">
        <is>
          <t>配票/反向</t>
        </is>
      </c>
      <c r="F13" s="2" t="inlineStr">
        <is>
          <t>配票</t>
        </is>
      </c>
      <c r="G13" s="2" t="inlineStr">
        <is>
          <t>林凯</t>
        </is>
      </c>
      <c r="H13" s="2" t="inlineStr">
        <is>
          <t>林凯车队</t>
        </is>
      </c>
      <c r="I13" s="2" t="inlineStr">
        <is>
          <t>废钢压块类</t>
        </is>
      </c>
      <c r="J13" s="2" t="inlineStr">
        <is>
          <t>废钢压块3</t>
        </is>
      </c>
      <c r="K13" s="9" t="n">
        <v>0.36</v>
      </c>
      <c r="L13" s="9" t="n">
        <v>24.3</v>
      </c>
      <c r="M13" s="12" t="n">
        <v>2300</v>
      </c>
      <c r="N13" s="10" t="n">
        <v>0</v>
      </c>
      <c r="O13" s="10" t="n">
        <v>55890</v>
      </c>
    </row>
    <row r="14">
      <c r="A14" s="2" t="n">
        <v>11</v>
      </c>
      <c r="B14" s="8" t="n">
        <v>46261</v>
      </c>
      <c r="C14" s="2" t="inlineStr">
        <is>
          <t>苏淮货16776</t>
        </is>
      </c>
      <c r="D14" s="2" t="inlineStr">
        <is>
          <t>船</t>
        </is>
      </c>
      <c r="E14" s="2" t="inlineStr">
        <is>
          <t>配票/反向</t>
        </is>
      </c>
      <c r="F14" s="2" t="inlineStr">
        <is>
          <t>配票</t>
        </is>
      </c>
      <c r="G14" s="2" t="n"/>
      <c r="H14" s="2" t="inlineStr">
        <is>
          <t>俊兴</t>
        </is>
      </c>
      <c r="I14" s="2" t="inlineStr">
        <is>
          <t>历史导入-待归类</t>
        </is>
      </c>
      <c r="J14" s="2" t="inlineStr">
        <is>
          <t>未注明</t>
        </is>
      </c>
      <c r="K14" s="9" t="n">
        <v>0</v>
      </c>
      <c r="L14" s="9" t="n">
        <v>560.39</v>
      </c>
      <c r="M14" s="12" t="n"/>
      <c r="N14" s="10" t="n">
        <v>0</v>
      </c>
      <c r="O14" s="10" t="n">
        <v>1344115.89</v>
      </c>
    </row>
    <row r="15">
      <c r="A15" s="2" t="n">
        <v>12</v>
      </c>
      <c r="B15" s="8" t="n">
        <v>46261</v>
      </c>
      <c r="C15" s="2" t="inlineStr">
        <is>
          <t>苏NEX375</t>
        </is>
      </c>
      <c r="D15" s="2" t="inlineStr">
        <is>
          <t>车</t>
        </is>
      </c>
      <c r="E15" s="2" t="inlineStr">
        <is>
          <t>配票/反向</t>
        </is>
      </c>
      <c r="F15" s="2" t="inlineStr">
        <is>
          <t>配票</t>
        </is>
      </c>
      <c r="G15" s="2" t="inlineStr">
        <is>
          <t>林凯</t>
        </is>
      </c>
      <c r="H15" s="2" t="inlineStr">
        <is>
          <t>林凯车队</t>
        </is>
      </c>
      <c r="I15" s="2" t="inlineStr">
        <is>
          <t>废钢压块类</t>
        </is>
      </c>
      <c r="J15" s="2" t="inlineStr">
        <is>
          <t>废钢压块2</t>
        </is>
      </c>
      <c r="K15" s="9" t="n">
        <v>0.45</v>
      </c>
      <c r="L15" s="9" t="n">
        <v>40.27</v>
      </c>
      <c r="M15" s="12" t="n">
        <v>2320</v>
      </c>
      <c r="N15" s="10" t="n">
        <v>0</v>
      </c>
      <c r="O15" s="10" t="n">
        <v>93426.39999999999</v>
      </c>
    </row>
    <row r="16">
      <c r="A16" s="2" t="n">
        <v>13</v>
      </c>
      <c r="B16" s="8" t="n">
        <v>46261</v>
      </c>
      <c r="C16" s="2" t="inlineStr">
        <is>
          <t>苏DFM060</t>
        </is>
      </c>
      <c r="D16" s="2" t="inlineStr">
        <is>
          <t>车</t>
        </is>
      </c>
      <c r="E16" s="2" t="inlineStr">
        <is>
          <t>配票/反向</t>
        </is>
      </c>
      <c r="F16" s="2" t="inlineStr">
        <is>
          <t>配票</t>
        </is>
      </c>
      <c r="G16" s="2" t="inlineStr">
        <is>
          <t>林凯</t>
        </is>
      </c>
      <c r="H16" s="2" t="inlineStr">
        <is>
          <t>林凯车队</t>
        </is>
      </c>
      <c r="I16" s="2" t="inlineStr">
        <is>
          <t>废钢</t>
        </is>
      </c>
      <c r="J16" s="2" t="inlineStr">
        <is>
          <t>中废1</t>
        </is>
      </c>
      <c r="K16" s="9" t="n">
        <v>0.1</v>
      </c>
      <c r="L16" s="9" t="n">
        <v>17.15</v>
      </c>
      <c r="M16" s="12" t="n">
        <v>2440</v>
      </c>
      <c r="N16" s="10" t="n">
        <v>0</v>
      </c>
      <c r="O16" s="10" t="n">
        <v>41846</v>
      </c>
    </row>
    <row r="17">
      <c r="A17" s="2" t="n">
        <v>13</v>
      </c>
      <c r="B17" s="8" t="n">
        <v>46261</v>
      </c>
      <c r="C17" s="2" t="inlineStr">
        <is>
          <t>苏DFM060</t>
        </is>
      </c>
      <c r="D17" s="2" t="inlineStr">
        <is>
          <t>车</t>
        </is>
      </c>
      <c r="E17" s="2" t="inlineStr">
        <is>
          <t>配票/反向</t>
        </is>
      </c>
      <c r="F17" s="2" t="inlineStr">
        <is>
          <t>配票</t>
        </is>
      </c>
      <c r="G17" s="2" t="inlineStr">
        <is>
          <t>林凯</t>
        </is>
      </c>
      <c r="H17" s="2" t="inlineStr">
        <is>
          <t>林凯车队</t>
        </is>
      </c>
      <c r="I17" s="2" t="inlineStr">
        <is>
          <t>废钢</t>
        </is>
      </c>
      <c r="J17" s="2" t="inlineStr">
        <is>
          <t>剪切中废1</t>
        </is>
      </c>
      <c r="K17" s="9" t="n">
        <v>0.1</v>
      </c>
      <c r="L17" s="9" t="n">
        <v>17.15</v>
      </c>
      <c r="M17" s="12" t="n">
        <v>2470</v>
      </c>
      <c r="N17" s="10" t="n">
        <v>0</v>
      </c>
      <c r="O17" s="10" t="n">
        <v>42360.5</v>
      </c>
    </row>
    <row r="18">
      <c r="A18" s="2" t="n">
        <v>14</v>
      </c>
      <c r="B18" s="8" t="n">
        <v>46261</v>
      </c>
      <c r="C18" s="2" t="inlineStr">
        <is>
          <t>苏DBB772</t>
        </is>
      </c>
      <c r="D18" s="2" t="inlineStr">
        <is>
          <t>车</t>
        </is>
      </c>
      <c r="E18" s="2" t="inlineStr">
        <is>
          <t>配票/反向</t>
        </is>
      </c>
      <c r="F18" s="2" t="inlineStr">
        <is>
          <t>配票</t>
        </is>
      </c>
      <c r="G18" s="2" t="inlineStr">
        <is>
          <t>林凯</t>
        </is>
      </c>
      <c r="H18" s="2" t="inlineStr">
        <is>
          <t>君盛</t>
        </is>
      </c>
      <c r="I18" s="2" t="inlineStr">
        <is>
          <t>废钢压块类</t>
        </is>
      </c>
      <c r="J18" s="2" t="inlineStr">
        <is>
          <t>普通压块</t>
        </is>
      </c>
      <c r="K18" s="9" t="n">
        <v>1</v>
      </c>
      <c r="L18" s="9" t="n">
        <v>66.22</v>
      </c>
      <c r="M18" s="12" t="n">
        <v>2240</v>
      </c>
      <c r="N18" s="10" t="n">
        <v>0</v>
      </c>
      <c r="O18" s="10" t="n">
        <v>148332.8</v>
      </c>
    </row>
    <row r="19">
      <c r="A19" s="2" t="n">
        <v>15</v>
      </c>
      <c r="B19" s="8" t="n">
        <v>46261</v>
      </c>
      <c r="C19" s="2" t="inlineStr">
        <is>
          <t>苏BDK567</t>
        </is>
      </c>
      <c r="D19" s="2" t="inlineStr">
        <is>
          <t>车</t>
        </is>
      </c>
      <c r="E19" s="2" t="inlineStr">
        <is>
          <t>配票/反向</t>
        </is>
      </c>
      <c r="F19" s="2" t="inlineStr">
        <is>
          <t>配票</t>
        </is>
      </c>
      <c r="G19" s="2" t="inlineStr">
        <is>
          <t>林凯</t>
        </is>
      </c>
      <c r="H19" s="2" t="inlineStr">
        <is>
          <t>林凯车队</t>
        </is>
      </c>
      <c r="I19" s="2" t="inlineStr">
        <is>
          <t>废钢</t>
        </is>
      </c>
      <c r="J19" s="2" t="inlineStr">
        <is>
          <t>中废1</t>
        </is>
      </c>
      <c r="K19" s="9" t="n">
        <v>0.125</v>
      </c>
      <c r="L19" s="9" t="n">
        <v>16.025</v>
      </c>
      <c r="M19" s="12" t="n">
        <v>2440</v>
      </c>
      <c r="N19" s="10" t="n">
        <v>0</v>
      </c>
      <c r="O19" s="10" t="n">
        <v>39101</v>
      </c>
    </row>
    <row r="20">
      <c r="A20" s="2" t="n">
        <v>15</v>
      </c>
      <c r="B20" s="8" t="n">
        <v>46261</v>
      </c>
      <c r="C20" s="2" t="inlineStr">
        <is>
          <t>苏BDK567</t>
        </is>
      </c>
      <c r="D20" s="2" t="inlineStr">
        <is>
          <t>车</t>
        </is>
      </c>
      <c r="E20" s="2" t="inlineStr">
        <is>
          <t>配票/反向</t>
        </is>
      </c>
      <c r="F20" s="2" t="inlineStr">
        <is>
          <t>配票</t>
        </is>
      </c>
      <c r="G20" s="2" t="inlineStr">
        <is>
          <t>林凯</t>
        </is>
      </c>
      <c r="H20" s="2" t="inlineStr">
        <is>
          <t>林凯车队</t>
        </is>
      </c>
      <c r="I20" s="2" t="inlineStr">
        <is>
          <t>废钢</t>
        </is>
      </c>
      <c r="J20" s="2" t="inlineStr">
        <is>
          <t>剪切中废1</t>
        </is>
      </c>
      <c r="K20" s="9" t="n">
        <v>0.125</v>
      </c>
      <c r="L20" s="9" t="n">
        <v>16.025</v>
      </c>
      <c r="M20" s="12" t="n">
        <v>2470</v>
      </c>
      <c r="N20" s="10" t="n">
        <v>0</v>
      </c>
      <c r="O20" s="10" t="n">
        <v>39581.75</v>
      </c>
    </row>
    <row r="21">
      <c r="A21" s="2" t="n">
        <v>16</v>
      </c>
      <c r="B21" s="8" t="n">
        <v>46261</v>
      </c>
      <c r="C21" s="2" t="inlineStr">
        <is>
          <t>苏BZP839</t>
        </is>
      </c>
      <c r="D21" s="2" t="inlineStr">
        <is>
          <t>车</t>
        </is>
      </c>
      <c r="E21" s="2" t="inlineStr">
        <is>
          <t>配票/反向</t>
        </is>
      </c>
      <c r="F21" s="2" t="inlineStr">
        <is>
          <t>配票</t>
        </is>
      </c>
      <c r="G21" s="2" t="inlineStr">
        <is>
          <t>林凯</t>
        </is>
      </c>
      <c r="H21" s="2" t="inlineStr">
        <is>
          <t>林凯车队</t>
        </is>
      </c>
      <c r="I21" s="2" t="inlineStr">
        <is>
          <t>废钢</t>
        </is>
      </c>
      <c r="J21" s="2" t="inlineStr">
        <is>
          <t>中废2</t>
        </is>
      </c>
      <c r="K21" s="9" t="n">
        <v>0.315</v>
      </c>
      <c r="L21" s="9" t="n">
        <v>19.929</v>
      </c>
      <c r="M21" s="12" t="n">
        <v>2400</v>
      </c>
      <c r="N21" s="10" t="n">
        <v>70</v>
      </c>
      <c r="O21" s="10" t="n">
        <v>47759.6</v>
      </c>
    </row>
    <row r="22">
      <c r="A22" s="2" t="n">
        <v>16</v>
      </c>
      <c r="B22" s="8" t="n">
        <v>46261</v>
      </c>
      <c r="C22" s="2" t="inlineStr">
        <is>
          <t>苏BZP839</t>
        </is>
      </c>
      <c r="D22" s="2" t="inlineStr">
        <is>
          <t>车</t>
        </is>
      </c>
      <c r="E22" s="2" t="inlineStr">
        <is>
          <t>配票/反向</t>
        </is>
      </c>
      <c r="F22" s="2" t="inlineStr">
        <is>
          <t>配票</t>
        </is>
      </c>
      <c r="G22" s="2" t="inlineStr">
        <is>
          <t>林凯</t>
        </is>
      </c>
      <c r="H22" s="2" t="inlineStr">
        <is>
          <t>林凯车队</t>
        </is>
      </c>
      <c r="I22" s="2" t="inlineStr">
        <is>
          <t>废钢</t>
        </is>
      </c>
      <c r="J22" s="2" t="inlineStr">
        <is>
          <t>中废1</t>
        </is>
      </c>
      <c r="K22" s="9" t="n">
        <v>0.135</v>
      </c>
      <c r="L22" s="9" t="n">
        <v>8.541</v>
      </c>
      <c r="M22" s="12" t="n">
        <v>2440</v>
      </c>
      <c r="N22" s="10" t="n">
        <v>30</v>
      </c>
      <c r="O22" s="10" t="n">
        <v>20810.04</v>
      </c>
    </row>
    <row r="23">
      <c r="A23" s="2" t="n">
        <v>17</v>
      </c>
      <c r="B23" s="8" t="n">
        <v>46261</v>
      </c>
      <c r="C23" s="2" t="inlineStr">
        <is>
          <t>苏NEV615</t>
        </is>
      </c>
      <c r="D23" s="2" t="inlineStr">
        <is>
          <t>车</t>
        </is>
      </c>
      <c r="E23" s="2" t="inlineStr">
        <is>
          <t>配票/反向</t>
        </is>
      </c>
      <c r="F23" s="2" t="inlineStr">
        <is>
          <t>配票</t>
        </is>
      </c>
      <c r="G23" s="2" t="n"/>
      <c r="H23" s="2" t="inlineStr">
        <is>
          <t>俊兴</t>
        </is>
      </c>
      <c r="I23" s="2" t="inlineStr">
        <is>
          <t>废钢压块类</t>
        </is>
      </c>
      <c r="J23" s="2" t="inlineStr">
        <is>
          <t>废钢压块2</t>
        </is>
      </c>
      <c r="K23" s="9" t="n">
        <v>0.5</v>
      </c>
      <c r="L23" s="9" t="n">
        <v>38.78</v>
      </c>
      <c r="M23" s="12" t="n">
        <v>2320</v>
      </c>
      <c r="N23" s="10" t="n">
        <v>0</v>
      </c>
      <c r="O23" s="10" t="n">
        <v>89969.60000000001</v>
      </c>
    </row>
    <row r="24">
      <c r="A24" s="2" t="n">
        <v>18</v>
      </c>
      <c r="B24" s="8" t="n">
        <v>46261</v>
      </c>
      <c r="C24" s="2" t="inlineStr">
        <is>
          <t>苏ERS080</t>
        </is>
      </c>
      <c r="D24" s="2" t="inlineStr">
        <is>
          <t>车</t>
        </is>
      </c>
      <c r="E24" s="2" t="inlineStr">
        <is>
          <t>配票/反向</t>
        </is>
      </c>
      <c r="F24" s="2" t="inlineStr">
        <is>
          <t>配票</t>
        </is>
      </c>
      <c r="G24" s="2" t="inlineStr">
        <is>
          <t>林凯</t>
        </is>
      </c>
      <c r="H24" s="2" t="inlineStr">
        <is>
          <t>林凯车队</t>
        </is>
      </c>
      <c r="I24" s="2" t="inlineStr">
        <is>
          <t>废钢</t>
        </is>
      </c>
      <c r="J24" s="2" t="inlineStr">
        <is>
          <t>中废1</t>
        </is>
      </c>
      <c r="K24" s="9" t="n">
        <v>0.15</v>
      </c>
      <c r="L24" s="9" t="n">
        <v>24.19</v>
      </c>
      <c r="M24" s="12" t="n">
        <v>2440</v>
      </c>
      <c r="N24" s="10" t="n">
        <v>0</v>
      </c>
      <c r="O24" s="10" t="n">
        <v>59023.6</v>
      </c>
    </row>
    <row r="25">
      <c r="A25" s="2" t="n">
        <v>18</v>
      </c>
      <c r="B25" s="8" t="n">
        <v>46261</v>
      </c>
      <c r="C25" s="2" t="inlineStr">
        <is>
          <t>苏ERS080</t>
        </is>
      </c>
      <c r="D25" s="2" t="inlineStr">
        <is>
          <t>车</t>
        </is>
      </c>
      <c r="E25" s="2" t="inlineStr">
        <is>
          <t>配票/反向</t>
        </is>
      </c>
      <c r="F25" s="2" t="inlineStr">
        <is>
          <t>配票</t>
        </is>
      </c>
      <c r="G25" s="2" t="inlineStr">
        <is>
          <t>林凯</t>
        </is>
      </c>
      <c r="H25" s="2" t="inlineStr">
        <is>
          <t>林凯车队</t>
        </is>
      </c>
      <c r="I25" s="2" t="inlineStr">
        <is>
          <t>废钢压块类</t>
        </is>
      </c>
      <c r="J25" s="2" t="inlineStr">
        <is>
          <t>废钢压块1</t>
        </is>
      </c>
      <c r="K25" s="9" t="n">
        <v>0.15</v>
      </c>
      <c r="L25" s="9" t="n">
        <v>24.19</v>
      </c>
      <c r="M25" s="12" t="n">
        <v>2360</v>
      </c>
      <c r="N25" s="10" t="n">
        <v>0</v>
      </c>
      <c r="O25" s="10" t="n">
        <v>57088.4</v>
      </c>
    </row>
    <row r="26">
      <c r="A26" s="2" t="n">
        <v>19</v>
      </c>
      <c r="B26" s="8" t="n">
        <v>46261</v>
      </c>
      <c r="C26" s="2" t="inlineStr">
        <is>
          <t>鲁济宁货4095</t>
        </is>
      </c>
      <c r="D26" s="2" t="inlineStr">
        <is>
          <t>船</t>
        </is>
      </c>
      <c r="E26" s="2" t="inlineStr">
        <is>
          <t>配票/反向</t>
        </is>
      </c>
      <c r="F26" s="2" t="inlineStr">
        <is>
          <t>配票</t>
        </is>
      </c>
      <c r="G26" s="2" t="n"/>
      <c r="H26" s="2" t="inlineStr">
        <is>
          <t>俊兴</t>
        </is>
      </c>
      <c r="I26" s="2" t="inlineStr">
        <is>
          <t>历史导入-待归类</t>
        </is>
      </c>
      <c r="J26" s="2" t="inlineStr">
        <is>
          <t>未注明</t>
        </is>
      </c>
      <c r="K26" s="9" t="n">
        <v>0</v>
      </c>
      <c r="L26" s="9" t="n">
        <v>518.48</v>
      </c>
      <c r="M26" s="12" t="n"/>
      <c r="N26" s="10" t="n">
        <v>0</v>
      </c>
      <c r="O26" s="10" t="n">
        <v>1271258.96</v>
      </c>
    </row>
    <row r="27">
      <c r="A27" s="2" t="n">
        <v>20</v>
      </c>
      <c r="B27" s="8" t="n">
        <v>46262</v>
      </c>
      <c r="C27" s="2" t="inlineStr">
        <is>
          <t>苏DBE075</t>
        </is>
      </c>
      <c r="D27" s="2" t="inlineStr">
        <is>
          <t>车</t>
        </is>
      </c>
      <c r="E27" s="2" t="inlineStr">
        <is>
          <t>配票/反向</t>
        </is>
      </c>
      <c r="F27" s="2" t="inlineStr">
        <is>
          <t>配票</t>
        </is>
      </c>
      <c r="G27" s="2" t="inlineStr">
        <is>
          <t>林凯</t>
        </is>
      </c>
      <c r="H27" s="2" t="inlineStr">
        <is>
          <t>林凯车队</t>
        </is>
      </c>
      <c r="I27" s="2" t="inlineStr">
        <is>
          <t>废钢压块类</t>
        </is>
      </c>
      <c r="J27" s="2" t="inlineStr">
        <is>
          <t>废钢压块2</t>
        </is>
      </c>
      <c r="K27" s="9" t="n">
        <v>0.2</v>
      </c>
      <c r="L27" s="9" t="n">
        <v>38.2</v>
      </c>
      <c r="M27" s="12" t="n">
        <v>2320</v>
      </c>
      <c r="N27" s="10" t="n">
        <v>0</v>
      </c>
      <c r="O27" s="10" t="n">
        <v>88624</v>
      </c>
    </row>
    <row r="28">
      <c r="A28" s="2" t="n">
        <v>21</v>
      </c>
      <c r="B28" s="8" t="n">
        <v>46262</v>
      </c>
      <c r="C28" s="2" t="inlineStr">
        <is>
          <t>苏DBX137</t>
        </is>
      </c>
      <c r="D28" s="2" t="inlineStr">
        <is>
          <t>车</t>
        </is>
      </c>
      <c r="E28" s="2" t="inlineStr">
        <is>
          <t>配票/反向</t>
        </is>
      </c>
      <c r="F28" s="2" t="inlineStr">
        <is>
          <t>配票</t>
        </is>
      </c>
      <c r="G28" s="2" t="inlineStr">
        <is>
          <t>林凯</t>
        </is>
      </c>
      <c r="H28" s="2" t="inlineStr">
        <is>
          <t>林凯车队</t>
        </is>
      </c>
      <c r="I28" s="2" t="inlineStr">
        <is>
          <t>废钢</t>
        </is>
      </c>
      <c r="J28" s="2" t="inlineStr">
        <is>
          <t>中废2</t>
        </is>
      </c>
      <c r="K28" s="9" t="n">
        <v>0.3</v>
      </c>
      <c r="L28" s="9" t="n">
        <v>18.52</v>
      </c>
      <c r="M28" s="12" t="n">
        <v>2400</v>
      </c>
      <c r="N28" s="10" t="n">
        <v>0</v>
      </c>
      <c r="O28" s="10" t="n">
        <v>44448</v>
      </c>
    </row>
    <row r="29">
      <c r="A29" s="2" t="n">
        <v>22</v>
      </c>
      <c r="B29" s="8" t="n">
        <v>46262</v>
      </c>
      <c r="C29" s="2" t="inlineStr">
        <is>
          <t>苏DFB287</t>
        </is>
      </c>
      <c r="D29" s="2" t="inlineStr">
        <is>
          <t>车</t>
        </is>
      </c>
      <c r="E29" s="2" t="inlineStr">
        <is>
          <t>配票/反向</t>
        </is>
      </c>
      <c r="F29" s="2" t="inlineStr">
        <is>
          <t>配票</t>
        </is>
      </c>
      <c r="G29" s="2" t="inlineStr">
        <is>
          <t>林凯</t>
        </is>
      </c>
      <c r="H29" s="2" t="inlineStr">
        <is>
          <t>林凯车队</t>
        </is>
      </c>
      <c r="I29" s="2" t="inlineStr">
        <is>
          <t>废钢压块类</t>
        </is>
      </c>
      <c r="J29" s="2" t="inlineStr">
        <is>
          <t>废钢压块2</t>
        </is>
      </c>
      <c r="K29" s="9" t="n">
        <v>0.3</v>
      </c>
      <c r="L29" s="9" t="n">
        <v>40.95</v>
      </c>
      <c r="M29" s="12" t="n">
        <v>2320</v>
      </c>
      <c r="N29" s="10" t="n">
        <v>0</v>
      </c>
      <c r="O29" s="10" t="n">
        <v>95004</v>
      </c>
    </row>
    <row r="30">
      <c r="A30" s="2" t="n">
        <v>22</v>
      </c>
      <c r="B30" s="8" t="n">
        <v>46262</v>
      </c>
      <c r="C30" s="2" t="inlineStr">
        <is>
          <t>苏DFB287</t>
        </is>
      </c>
      <c r="D30" s="2" t="inlineStr">
        <is>
          <t>车</t>
        </is>
      </c>
      <c r="E30" s="2" t="inlineStr">
        <is>
          <t>配票/反向</t>
        </is>
      </c>
      <c r="F30" s="2" t="inlineStr">
        <is>
          <t>配票</t>
        </is>
      </c>
      <c r="G30" s="2" t="inlineStr">
        <is>
          <t>林凯</t>
        </is>
      </c>
      <c r="H30" s="2" t="inlineStr">
        <is>
          <t>林凯车队</t>
        </is>
      </c>
      <c r="I30" s="2" t="inlineStr">
        <is>
          <t>废钢压块类</t>
        </is>
      </c>
      <c r="J30" s="2" t="inlineStr">
        <is>
          <t>废钢压块1</t>
        </is>
      </c>
      <c r="K30" s="9" t="n">
        <v>0.3</v>
      </c>
      <c r="L30" s="9" t="n">
        <v>40.95</v>
      </c>
      <c r="M30" s="12" t="n">
        <v>2360</v>
      </c>
      <c r="N30" s="10" t="n">
        <v>0</v>
      </c>
      <c r="O30" s="10" t="n">
        <v>96642</v>
      </c>
    </row>
    <row r="31">
      <c r="A31" s="2" t="n">
        <v>23</v>
      </c>
      <c r="B31" s="8" t="n">
        <v>46262</v>
      </c>
      <c r="C31" s="2" t="inlineStr">
        <is>
          <t>苏DFM060</t>
        </is>
      </c>
      <c r="D31" s="2" t="inlineStr">
        <is>
          <t>车</t>
        </is>
      </c>
      <c r="E31" s="2" t="inlineStr">
        <is>
          <t>配票/反向</t>
        </is>
      </c>
      <c r="F31" s="2" t="inlineStr">
        <is>
          <t>配票</t>
        </is>
      </c>
      <c r="G31" s="2" t="inlineStr">
        <is>
          <t>林凯</t>
        </is>
      </c>
      <c r="H31" s="2" t="inlineStr">
        <is>
          <t>林凯车队</t>
        </is>
      </c>
      <c r="I31" s="2" t="inlineStr">
        <is>
          <t>废钢压块类</t>
        </is>
      </c>
      <c r="J31" s="2" t="inlineStr">
        <is>
          <t>废钢压块1</t>
        </is>
      </c>
      <c r="K31" s="9" t="n">
        <v>0.5</v>
      </c>
      <c r="L31" s="9" t="n">
        <v>55.18</v>
      </c>
      <c r="M31" s="12" t="n">
        <v>2360</v>
      </c>
      <c r="N31" s="10" t="n">
        <v>0</v>
      </c>
      <c r="O31" s="10" t="n">
        <v>130224.8</v>
      </c>
    </row>
    <row r="32">
      <c r="A32" s="2" t="n">
        <v>24</v>
      </c>
      <c r="B32" s="8" t="n">
        <v>46262</v>
      </c>
      <c r="C32" s="2" t="inlineStr">
        <is>
          <t>苏DBB772</t>
        </is>
      </c>
      <c r="D32" s="2" t="inlineStr">
        <is>
          <t>车</t>
        </is>
      </c>
      <c r="E32" s="2" t="inlineStr">
        <is>
          <t>配票/反向</t>
        </is>
      </c>
      <c r="F32" s="2" t="inlineStr">
        <is>
          <t>配票</t>
        </is>
      </c>
      <c r="G32" s="2" t="inlineStr">
        <is>
          <t>林凯</t>
        </is>
      </c>
      <c r="H32" s="2" t="inlineStr">
        <is>
          <t>林凯车队</t>
        </is>
      </c>
      <c r="I32" s="2" t="inlineStr">
        <is>
          <t>废钢</t>
        </is>
      </c>
      <c r="J32" s="2" t="inlineStr">
        <is>
          <t>中废1</t>
        </is>
      </c>
      <c r="K32" s="9" t="n">
        <v>0.35</v>
      </c>
      <c r="L32" s="9" t="n">
        <v>44.212</v>
      </c>
      <c r="M32" s="12" t="n">
        <v>2440</v>
      </c>
      <c r="N32" s="10" t="n">
        <v>0</v>
      </c>
      <c r="O32" s="10" t="n">
        <v>107877.28</v>
      </c>
    </row>
    <row r="33">
      <c r="A33" s="2" t="n">
        <v>24</v>
      </c>
      <c r="B33" s="8" t="n">
        <v>46262</v>
      </c>
      <c r="C33" s="2" t="inlineStr">
        <is>
          <t>苏DBB772</t>
        </is>
      </c>
      <c r="D33" s="2" t="inlineStr">
        <is>
          <t>车</t>
        </is>
      </c>
      <c r="E33" s="2" t="inlineStr">
        <is>
          <t>配票/反向</t>
        </is>
      </c>
      <c r="F33" s="2" t="inlineStr">
        <is>
          <t>配票</t>
        </is>
      </c>
      <c r="G33" s="2" t="inlineStr">
        <is>
          <t>林凯</t>
        </is>
      </c>
      <c r="H33" s="2" t="inlineStr">
        <is>
          <t>林凯车队</t>
        </is>
      </c>
      <c r="I33" s="2" t="inlineStr">
        <is>
          <t>废钢</t>
        </is>
      </c>
      <c r="J33" s="2" t="inlineStr">
        <is>
          <t>中废2</t>
        </is>
      </c>
      <c r="K33" s="9" t="n">
        <v>0.15</v>
      </c>
      <c r="L33" s="9" t="n">
        <v>18.948</v>
      </c>
      <c r="M33" s="12" t="n">
        <v>2400</v>
      </c>
      <c r="N33" s="10" t="n">
        <v>0</v>
      </c>
      <c r="O33" s="10" t="n">
        <v>45475.2</v>
      </c>
    </row>
    <row r="34">
      <c r="A34" s="2" t="n">
        <v>25</v>
      </c>
      <c r="B34" s="8" t="n">
        <v>46262</v>
      </c>
      <c r="C34" s="2" t="inlineStr">
        <is>
          <t>苏BDK567</t>
        </is>
      </c>
      <c r="D34" s="2" t="inlineStr">
        <is>
          <t>车</t>
        </is>
      </c>
      <c r="E34" s="2" t="inlineStr">
        <is>
          <t>配票/反向</t>
        </is>
      </c>
      <c r="F34" s="2" t="inlineStr">
        <is>
          <t>配票</t>
        </is>
      </c>
      <c r="G34" s="2" t="inlineStr">
        <is>
          <t>林凯</t>
        </is>
      </c>
      <c r="H34" s="2" t="inlineStr">
        <is>
          <t>林凯车队</t>
        </is>
      </c>
      <c r="I34" s="2" t="inlineStr">
        <is>
          <t>废钢</t>
        </is>
      </c>
      <c r="J34" s="2" t="inlineStr">
        <is>
          <t>中废1</t>
        </is>
      </c>
      <c r="K34" s="9" t="n">
        <v>0.3</v>
      </c>
      <c r="L34" s="9" t="n">
        <v>34.22</v>
      </c>
      <c r="M34" s="12" t="n">
        <v>2440</v>
      </c>
      <c r="N34" s="10" t="n">
        <v>0</v>
      </c>
      <c r="O34" s="10" t="n">
        <v>83496.8</v>
      </c>
    </row>
    <row r="35">
      <c r="A35" s="2" t="n">
        <v>26</v>
      </c>
      <c r="B35" s="8" t="n">
        <v>46262</v>
      </c>
      <c r="C35" s="2" t="inlineStr">
        <is>
          <t>苏BUK952</t>
        </is>
      </c>
      <c r="D35" s="2" t="inlineStr">
        <is>
          <t>车</t>
        </is>
      </c>
      <c r="E35" s="2" t="inlineStr">
        <is>
          <t>配票/反向</t>
        </is>
      </c>
      <c r="F35" s="2" t="inlineStr">
        <is>
          <t>配票</t>
        </is>
      </c>
      <c r="G35" s="2" t="inlineStr">
        <is>
          <t>林凯</t>
        </is>
      </c>
      <c r="H35" s="2" t="inlineStr">
        <is>
          <t>林凯车队</t>
        </is>
      </c>
      <c r="I35" s="2" t="inlineStr">
        <is>
          <t>废钢</t>
        </is>
      </c>
      <c r="J35" s="2" t="inlineStr">
        <is>
          <t>中废1</t>
        </is>
      </c>
      <c r="K35" s="9" t="n">
        <v>0.2</v>
      </c>
      <c r="L35" s="9" t="n">
        <v>27.22</v>
      </c>
      <c r="M35" s="12" t="n">
        <v>2440</v>
      </c>
      <c r="N35" s="10" t="n">
        <v>0</v>
      </c>
      <c r="O35" s="10" t="n">
        <v>66416.8</v>
      </c>
    </row>
    <row r="36">
      <c r="A36" s="2" t="n">
        <v>27</v>
      </c>
      <c r="B36" s="8" t="n">
        <v>46262</v>
      </c>
      <c r="C36" s="2" t="inlineStr">
        <is>
          <t>皖KQ1052</t>
        </is>
      </c>
      <c r="D36" s="2" t="inlineStr">
        <is>
          <t>车</t>
        </is>
      </c>
      <c r="E36" s="2" t="inlineStr">
        <is>
          <t>配票/反向</t>
        </is>
      </c>
      <c r="F36" s="2" t="inlineStr">
        <is>
          <t>配票</t>
        </is>
      </c>
      <c r="G36" s="2" t="n"/>
      <c r="H36" s="2" t="inlineStr">
        <is>
          <t>俊兴</t>
        </is>
      </c>
      <c r="I36" s="2" t="inlineStr">
        <is>
          <t>废钢压块类</t>
        </is>
      </c>
      <c r="J36" s="2" t="inlineStr">
        <is>
          <t>废钢压块2</t>
        </is>
      </c>
      <c r="K36" s="9" t="n">
        <v>0.245</v>
      </c>
      <c r="L36" s="9" t="n">
        <v>24.143</v>
      </c>
      <c r="M36" s="12" t="n">
        <v>2320</v>
      </c>
      <c r="N36" s="10" t="n">
        <v>0</v>
      </c>
      <c r="O36" s="10" t="n">
        <v>56011.76</v>
      </c>
    </row>
    <row r="37">
      <c r="A37" s="2" t="n">
        <v>27</v>
      </c>
      <c r="B37" s="8" t="n">
        <v>46262</v>
      </c>
      <c r="C37" s="2" t="inlineStr">
        <is>
          <t>皖KQ1052</t>
        </is>
      </c>
      <c r="D37" s="2" t="inlineStr">
        <is>
          <t>车</t>
        </is>
      </c>
      <c r="E37" s="2" t="inlineStr">
        <is>
          <t>配票/反向</t>
        </is>
      </c>
      <c r="F37" s="2" t="inlineStr">
        <is>
          <t>配票</t>
        </is>
      </c>
      <c r="G37" s="2" t="n"/>
      <c r="H37" s="2" t="inlineStr">
        <is>
          <t>俊兴</t>
        </is>
      </c>
      <c r="I37" s="2" t="inlineStr">
        <is>
          <t>废钢压块类</t>
        </is>
      </c>
      <c r="J37" s="2" t="inlineStr">
        <is>
          <t>废钢压块1</t>
        </is>
      </c>
      <c r="K37" s="9" t="n">
        <v>0.105</v>
      </c>
      <c r="L37" s="9" t="n">
        <v>10.347</v>
      </c>
      <c r="M37" s="12" t="n">
        <v>2360</v>
      </c>
      <c r="N37" s="10" t="n">
        <v>0</v>
      </c>
      <c r="O37" s="10" t="n">
        <v>24418.92</v>
      </c>
    </row>
    <row r="38">
      <c r="A38" s="2" t="n">
        <v>28</v>
      </c>
      <c r="B38" s="8" t="n">
        <v>46262</v>
      </c>
      <c r="C38" s="2" t="inlineStr">
        <is>
          <t>苏DBE075</t>
        </is>
      </c>
      <c r="D38" s="2" t="inlineStr">
        <is>
          <t>车</t>
        </is>
      </c>
      <c r="E38" s="2" t="inlineStr">
        <is>
          <t>配票/反向</t>
        </is>
      </c>
      <c r="F38" s="2" t="inlineStr">
        <is>
          <t>配票</t>
        </is>
      </c>
      <c r="G38" s="2" t="inlineStr">
        <is>
          <t>林凯</t>
        </is>
      </c>
      <c r="H38" s="2" t="inlineStr">
        <is>
          <t>林凯车队</t>
        </is>
      </c>
      <c r="I38" s="2" t="inlineStr">
        <is>
          <t>废钢压块类</t>
        </is>
      </c>
      <c r="J38" s="2" t="inlineStr">
        <is>
          <t>普通压块</t>
        </is>
      </c>
      <c r="K38" s="9" t="n">
        <v>1.9</v>
      </c>
      <c r="L38" s="9" t="n">
        <v>67.8</v>
      </c>
      <c r="M38" s="12" t="n">
        <v>2240</v>
      </c>
      <c r="N38" s="10" t="n">
        <v>0</v>
      </c>
      <c r="O38" s="10" t="n">
        <v>151872</v>
      </c>
    </row>
    <row r="39">
      <c r="A39" s="2" t="n">
        <v>29</v>
      </c>
      <c r="B39" s="8" t="n">
        <v>46262</v>
      </c>
      <c r="C39" s="2" t="inlineStr">
        <is>
          <t>冀A224E6</t>
        </is>
      </c>
      <c r="D39" s="2" t="inlineStr">
        <is>
          <t>车</t>
        </is>
      </c>
      <c r="E39" s="2" t="inlineStr">
        <is>
          <t>配票/反向</t>
        </is>
      </c>
      <c r="F39" s="2" t="inlineStr">
        <is>
          <t>配票</t>
        </is>
      </c>
      <c r="G39" s="2" t="inlineStr">
        <is>
          <t>林凯</t>
        </is>
      </c>
      <c r="H39" s="2" t="inlineStr">
        <is>
          <t>林凯车队</t>
        </is>
      </c>
      <c r="I39" s="2" t="inlineStr">
        <is>
          <t>废钢</t>
        </is>
      </c>
      <c r="J39" s="2" t="inlineStr">
        <is>
          <t>剪切中废1</t>
        </is>
      </c>
      <c r="K39" s="9" t="n">
        <v>0.28</v>
      </c>
      <c r="L39" s="9" t="n">
        <v>20.3</v>
      </c>
      <c r="M39" s="12" t="n">
        <v>2470</v>
      </c>
      <c r="N39" s="10" t="n">
        <v>0</v>
      </c>
      <c r="O39" s="10" t="n">
        <v>50141</v>
      </c>
    </row>
    <row r="40">
      <c r="A40" s="2" t="n">
        <v>29</v>
      </c>
      <c r="B40" s="8" t="n">
        <v>46262</v>
      </c>
      <c r="C40" s="2" t="inlineStr">
        <is>
          <t>冀A224E6</t>
        </is>
      </c>
      <c r="D40" s="2" t="inlineStr">
        <is>
          <t>车</t>
        </is>
      </c>
      <c r="E40" s="2" t="inlineStr">
        <is>
          <t>配票/反向</t>
        </is>
      </c>
      <c r="F40" s="2" t="inlineStr">
        <is>
          <t>配票</t>
        </is>
      </c>
      <c r="G40" s="2" t="inlineStr">
        <is>
          <t>林凯</t>
        </is>
      </c>
      <c r="H40" s="2" t="inlineStr">
        <is>
          <t>林凯车队</t>
        </is>
      </c>
      <c r="I40" s="2" t="inlineStr">
        <is>
          <t>废钢</t>
        </is>
      </c>
      <c r="J40" s="2" t="inlineStr">
        <is>
          <t>中废1</t>
        </is>
      </c>
      <c r="K40" s="9" t="n">
        <v>0.12</v>
      </c>
      <c r="L40" s="9" t="n">
        <v>8.699999999999999</v>
      </c>
      <c r="M40" s="12" t="n">
        <v>2440</v>
      </c>
      <c r="N40" s="10" t="n">
        <v>0</v>
      </c>
      <c r="O40" s="10" t="n">
        <v>21228</v>
      </c>
    </row>
    <row r="41">
      <c r="A41" s="2" t="n">
        <v>30</v>
      </c>
      <c r="B41" s="8" t="n">
        <v>46262</v>
      </c>
      <c r="C41" s="2" t="inlineStr">
        <is>
          <t>苏BWX568</t>
        </is>
      </c>
      <c r="D41" s="2" t="inlineStr">
        <is>
          <t>车</t>
        </is>
      </c>
      <c r="E41" s="2" t="inlineStr">
        <is>
          <t>配票/反向</t>
        </is>
      </c>
      <c r="F41" s="2" t="inlineStr">
        <is>
          <t>配票</t>
        </is>
      </c>
      <c r="G41" s="2" t="inlineStr">
        <is>
          <t>林凯</t>
        </is>
      </c>
      <c r="H41" s="2" t="inlineStr">
        <is>
          <t>林凯车队</t>
        </is>
      </c>
      <c r="I41" s="2" t="inlineStr">
        <is>
          <t>废钢</t>
        </is>
      </c>
      <c r="J41" s="2" t="inlineStr">
        <is>
          <t>中废2</t>
        </is>
      </c>
      <c r="K41" s="9" t="n">
        <v>0.7</v>
      </c>
      <c r="L41" s="9" t="n">
        <v>32.52</v>
      </c>
      <c r="M41" s="12" t="n">
        <v>2400</v>
      </c>
      <c r="N41" s="10" t="n">
        <v>0</v>
      </c>
      <c r="O41" s="10" t="n">
        <v>78048</v>
      </c>
    </row>
    <row r="42">
      <c r="A42" s="2" t="n">
        <v>31</v>
      </c>
      <c r="B42" s="8" t="n">
        <v>46263</v>
      </c>
      <c r="C42" s="2" t="inlineStr">
        <is>
          <t>苏DBB772</t>
        </is>
      </c>
      <c r="D42" s="2" t="inlineStr">
        <is>
          <t>车</t>
        </is>
      </c>
      <c r="E42" s="2" t="inlineStr">
        <is>
          <t>配票/反向</t>
        </is>
      </c>
      <c r="F42" s="2" t="inlineStr">
        <is>
          <t>配票</t>
        </is>
      </c>
      <c r="G42" s="2" t="inlineStr">
        <is>
          <t>林凯</t>
        </is>
      </c>
      <c r="H42" s="2" t="inlineStr">
        <is>
          <t>林凯车队</t>
        </is>
      </c>
      <c r="I42" s="2" t="inlineStr">
        <is>
          <t>铁水罐压块类</t>
        </is>
      </c>
      <c r="J42" s="2" t="inlineStr">
        <is>
          <t>铁加压块</t>
        </is>
      </c>
      <c r="K42" s="9" t="n">
        <v>0.7</v>
      </c>
      <c r="L42" s="9" t="n">
        <v>81.36</v>
      </c>
      <c r="M42" s="12" t="n">
        <v>2510</v>
      </c>
      <c r="N42" s="10" t="n">
        <v>0</v>
      </c>
      <c r="O42" s="10" t="n">
        <v>204213.6</v>
      </c>
    </row>
    <row r="43">
      <c r="A43" s="2" t="n">
        <v>32</v>
      </c>
      <c r="B43" s="8" t="n">
        <v>46263</v>
      </c>
      <c r="C43" s="2" t="inlineStr">
        <is>
          <t>苏ERS080</t>
        </is>
      </c>
      <c r="D43" s="2" t="inlineStr">
        <is>
          <t>车</t>
        </is>
      </c>
      <c r="E43" s="2" t="inlineStr">
        <is>
          <t>配票/反向</t>
        </is>
      </c>
      <c r="F43" s="2" t="inlineStr">
        <is>
          <t>配票</t>
        </is>
      </c>
      <c r="G43" s="2" t="inlineStr">
        <is>
          <t>林凯</t>
        </is>
      </c>
      <c r="H43" s="2" t="inlineStr">
        <is>
          <t>林凯车队</t>
        </is>
      </c>
      <c r="I43" s="2" t="inlineStr">
        <is>
          <t>废钢</t>
        </is>
      </c>
      <c r="J43" s="2" t="inlineStr">
        <is>
          <t>中废2</t>
        </is>
      </c>
      <c r="K43" s="9" t="n">
        <v>0.45</v>
      </c>
      <c r="L43" s="9" t="n">
        <v>48.75</v>
      </c>
      <c r="M43" s="12" t="n">
        <v>2400</v>
      </c>
      <c r="N43" s="10" t="n">
        <v>0</v>
      </c>
      <c r="O43" s="10" t="n">
        <v>117000</v>
      </c>
    </row>
    <row r="44">
      <c r="A44" s="2" t="n">
        <v>33</v>
      </c>
      <c r="B44" s="8" t="n">
        <v>46263</v>
      </c>
      <c r="C44" s="2" t="inlineStr">
        <is>
          <t>苏DBE075</t>
        </is>
      </c>
      <c r="D44" s="2" t="inlineStr">
        <is>
          <t>车</t>
        </is>
      </c>
      <c r="E44" s="2" t="inlineStr">
        <is>
          <t>配票/反向</t>
        </is>
      </c>
      <c r="F44" s="2" t="inlineStr">
        <is>
          <t>配票</t>
        </is>
      </c>
      <c r="G44" s="2" t="inlineStr">
        <is>
          <t>林凯</t>
        </is>
      </c>
      <c r="H44" s="2" t="inlineStr">
        <is>
          <t>林凯车队</t>
        </is>
      </c>
      <c r="I44" s="2" t="inlineStr">
        <is>
          <t>铁水罐压块类</t>
        </is>
      </c>
      <c r="J44" s="2" t="inlineStr">
        <is>
          <t>铁加压块</t>
        </is>
      </c>
      <c r="K44" s="9" t="n">
        <v>0.7</v>
      </c>
      <c r="L44" s="9" t="n">
        <v>79.68000000000001</v>
      </c>
      <c r="M44" s="12" t="n">
        <v>2510</v>
      </c>
      <c r="N44" s="10" t="n">
        <v>0</v>
      </c>
      <c r="O44" s="10" t="n">
        <v>199996.8</v>
      </c>
    </row>
    <row r="45">
      <c r="A45" s="2" t="n">
        <v>34</v>
      </c>
      <c r="B45" s="8" t="n">
        <v>46263</v>
      </c>
      <c r="C45" s="2" t="inlineStr">
        <is>
          <t>冀A224E6</t>
        </is>
      </c>
      <c r="D45" s="2" t="inlineStr">
        <is>
          <t>车</t>
        </is>
      </c>
      <c r="E45" s="2" t="inlineStr">
        <is>
          <t>配票/反向</t>
        </is>
      </c>
      <c r="F45" s="2" t="inlineStr">
        <is>
          <t>配票</t>
        </is>
      </c>
      <c r="G45" s="2" t="n"/>
      <c r="H45" s="2" t="inlineStr">
        <is>
          <t>俊兴</t>
        </is>
      </c>
      <c r="I45" s="2" t="inlineStr">
        <is>
          <t>废钢</t>
        </is>
      </c>
      <c r="J45" s="2" t="inlineStr">
        <is>
          <t>中废1</t>
        </is>
      </c>
      <c r="K45" s="9" t="n">
        <v>0.4</v>
      </c>
      <c r="L45" s="9" t="n">
        <v>20</v>
      </c>
      <c r="M45" s="12" t="n">
        <v>2440</v>
      </c>
      <c r="N45" s="10" t="n">
        <v>0</v>
      </c>
      <c r="O45" s="10" t="n">
        <v>48800</v>
      </c>
    </row>
    <row r="46">
      <c r="A46" s="2" t="n">
        <v>35</v>
      </c>
      <c r="B46" s="8" t="n">
        <v>46263</v>
      </c>
      <c r="C46" s="2" t="inlineStr">
        <is>
          <t>苏AE8896</t>
        </is>
      </c>
      <c r="D46" s="2" t="inlineStr">
        <is>
          <t>车</t>
        </is>
      </c>
      <c r="E46" s="2" t="inlineStr">
        <is>
          <t>配票/反向</t>
        </is>
      </c>
      <c r="F46" s="2" t="inlineStr">
        <is>
          <t>配票</t>
        </is>
      </c>
      <c r="G46" s="2" t="n"/>
      <c r="H46" s="2" t="inlineStr">
        <is>
          <t>俊兴</t>
        </is>
      </c>
      <c r="I46" s="2" t="inlineStr">
        <is>
          <t>废钢压块类</t>
        </is>
      </c>
      <c r="J46" s="2" t="inlineStr">
        <is>
          <t>废钢压块2</t>
        </is>
      </c>
      <c r="K46" s="9" t="n">
        <v>0.28</v>
      </c>
      <c r="L46" s="9" t="n">
        <v>27.972</v>
      </c>
      <c r="M46" s="12" t="n">
        <v>2320</v>
      </c>
      <c r="N46" s="10" t="n">
        <v>0</v>
      </c>
      <c r="O46" s="10" t="n">
        <v>64895.04</v>
      </c>
    </row>
    <row r="47">
      <c r="A47" s="2" t="n">
        <v>35</v>
      </c>
      <c r="B47" s="8" t="n">
        <v>46263</v>
      </c>
      <c r="C47" s="2" t="inlineStr">
        <is>
          <t>苏AE8896</t>
        </is>
      </c>
      <c r="D47" s="2" t="inlineStr">
        <is>
          <t>车</t>
        </is>
      </c>
      <c r="E47" s="2" t="inlineStr">
        <is>
          <t>配票/反向</t>
        </is>
      </c>
      <c r="F47" s="2" t="inlineStr">
        <is>
          <t>配票</t>
        </is>
      </c>
      <c r="G47" s="2" t="n"/>
      <c r="H47" s="2" t="inlineStr">
        <is>
          <t>俊兴</t>
        </is>
      </c>
      <c r="I47" s="2" t="inlineStr">
        <is>
          <t>废钢压块类</t>
        </is>
      </c>
      <c r="J47" s="2" t="inlineStr">
        <is>
          <t>废钢压块1</t>
        </is>
      </c>
      <c r="K47" s="9" t="n">
        <v>0.12</v>
      </c>
      <c r="L47" s="9" t="n">
        <v>11.988</v>
      </c>
      <c r="M47" s="12" t="n">
        <v>2360</v>
      </c>
      <c r="N47" s="10" t="n">
        <v>0</v>
      </c>
      <c r="O47" s="10" t="n">
        <v>28291.68</v>
      </c>
    </row>
    <row r="48">
      <c r="A48" s="2" t="n">
        <v>36</v>
      </c>
      <c r="B48" s="8" t="n">
        <v>46263</v>
      </c>
      <c r="C48" s="2" t="inlineStr">
        <is>
          <t>苏DBB772</t>
        </is>
      </c>
      <c r="D48" s="2" t="inlineStr">
        <is>
          <t>车</t>
        </is>
      </c>
      <c r="E48" s="2" t="inlineStr">
        <is>
          <t>配票/反向</t>
        </is>
      </c>
      <c r="F48" s="2" t="inlineStr">
        <is>
          <t>配票</t>
        </is>
      </c>
      <c r="G48" s="2" t="inlineStr">
        <is>
          <t>林凯</t>
        </is>
      </c>
      <c r="H48" s="2" t="inlineStr">
        <is>
          <t>林凯车队</t>
        </is>
      </c>
      <c r="I48" s="2" t="inlineStr">
        <is>
          <t>废钢压块类</t>
        </is>
      </c>
      <c r="J48" s="2" t="inlineStr">
        <is>
          <t>普通压块</t>
        </is>
      </c>
      <c r="K48" s="9" t="n">
        <v>0.6</v>
      </c>
      <c r="L48" s="9" t="n">
        <v>66.06</v>
      </c>
      <c r="M48" s="12" t="n">
        <v>2240</v>
      </c>
      <c r="N48" s="10" t="n">
        <v>0</v>
      </c>
      <c r="O48" s="10" t="n">
        <v>147974.4</v>
      </c>
    </row>
    <row r="49">
      <c r="A49" s="2" t="n">
        <v>37</v>
      </c>
      <c r="B49" s="8" t="n">
        <v>46264</v>
      </c>
      <c r="C49" s="2" t="inlineStr">
        <is>
          <t>苏DBE075</t>
        </is>
      </c>
      <c r="D49" s="2" t="inlineStr">
        <is>
          <t>车</t>
        </is>
      </c>
      <c r="E49" s="2" t="inlineStr">
        <is>
          <t>配票/反向</t>
        </is>
      </c>
      <c r="F49" s="2" t="inlineStr">
        <is>
          <t>配票</t>
        </is>
      </c>
      <c r="G49" s="2" t="inlineStr">
        <is>
          <t>林凯</t>
        </is>
      </c>
      <c r="H49" s="2" t="inlineStr">
        <is>
          <t>林凯车队</t>
        </is>
      </c>
      <c r="I49" s="2" t="inlineStr">
        <is>
          <t>铁水罐压块类</t>
        </is>
      </c>
      <c r="J49" s="2" t="inlineStr">
        <is>
          <t>铁加压块</t>
        </is>
      </c>
      <c r="K49" s="9" t="n">
        <v>0.8</v>
      </c>
      <c r="L49" s="9" t="n">
        <v>81.92</v>
      </c>
      <c r="M49" s="12" t="n">
        <v>2510</v>
      </c>
      <c r="N49" s="10" t="n">
        <v>0</v>
      </c>
      <c r="O49" s="10" t="n">
        <v>205619.2</v>
      </c>
    </row>
    <row r="50">
      <c r="A50" s="2" t="n">
        <v>38</v>
      </c>
      <c r="B50" s="8" t="n">
        <v>46264</v>
      </c>
      <c r="C50" s="2" t="inlineStr">
        <is>
          <t>苏DBE961</t>
        </is>
      </c>
      <c r="D50" s="2" t="inlineStr">
        <is>
          <t>车</t>
        </is>
      </c>
      <c r="E50" s="2" t="inlineStr">
        <is>
          <t>配票/反向</t>
        </is>
      </c>
      <c r="F50" s="2" t="inlineStr">
        <is>
          <t>配票</t>
        </is>
      </c>
      <c r="G50" s="2" t="n"/>
      <c r="H50" s="2" t="inlineStr">
        <is>
          <t>俊兴</t>
        </is>
      </c>
      <c r="I50" s="2" t="inlineStr">
        <is>
          <t>废钢压块类</t>
        </is>
      </c>
      <c r="J50" s="2" t="inlineStr">
        <is>
          <t>废钢压块2</t>
        </is>
      </c>
      <c r="K50" s="9" t="n">
        <v>0.42</v>
      </c>
      <c r="L50" s="9" t="n">
        <v>55.048</v>
      </c>
      <c r="M50" s="12" t="n">
        <v>2320</v>
      </c>
      <c r="N50" s="10" t="n">
        <v>0</v>
      </c>
      <c r="O50" s="10" t="n">
        <v>127711.36</v>
      </c>
    </row>
    <row r="51">
      <c r="A51" s="2" t="n">
        <v>38</v>
      </c>
      <c r="B51" s="8" t="n">
        <v>46264</v>
      </c>
      <c r="C51" s="2" t="inlineStr">
        <is>
          <t>苏DBE961</t>
        </is>
      </c>
      <c r="D51" s="2" t="inlineStr">
        <is>
          <t>车</t>
        </is>
      </c>
      <c r="E51" s="2" t="inlineStr">
        <is>
          <t>配票/反向</t>
        </is>
      </c>
      <c r="F51" s="2" t="inlineStr">
        <is>
          <t>配票</t>
        </is>
      </c>
      <c r="G51" s="2" t="n"/>
      <c r="H51" s="2" t="inlineStr">
        <is>
          <t>俊兴</t>
        </is>
      </c>
      <c r="I51" s="2" t="inlineStr">
        <is>
          <t>废钢压块类</t>
        </is>
      </c>
      <c r="J51" s="2" t="inlineStr">
        <is>
          <t>废钢压块3</t>
        </is>
      </c>
      <c r="K51" s="9" t="n">
        <v>0.18</v>
      </c>
      <c r="L51" s="9" t="n">
        <v>23.592</v>
      </c>
      <c r="M51" s="12" t="n">
        <v>2280</v>
      </c>
      <c r="N51" s="10" t="n">
        <v>0</v>
      </c>
      <c r="O51" s="10" t="n">
        <v>53789.76</v>
      </c>
    </row>
    <row r="52">
      <c r="A52" s="2" t="n">
        <v>39</v>
      </c>
      <c r="B52" s="8" t="n">
        <v>46264</v>
      </c>
      <c r="C52" s="2" t="inlineStr">
        <is>
          <t>苏DFB287</t>
        </is>
      </c>
      <c r="D52" s="2" t="inlineStr">
        <is>
          <t>车</t>
        </is>
      </c>
      <c r="E52" s="2" t="inlineStr">
        <is>
          <t>配票/反向</t>
        </is>
      </c>
      <c r="F52" s="2" t="inlineStr">
        <is>
          <t>配票</t>
        </is>
      </c>
      <c r="G52" s="2" t="n"/>
      <c r="H52" s="2" t="inlineStr">
        <is>
          <t>俊兴</t>
        </is>
      </c>
      <c r="I52" s="2" t="inlineStr">
        <is>
          <t>废钢压块类</t>
        </is>
      </c>
      <c r="J52" s="2" t="inlineStr">
        <is>
          <t>废钢压块2</t>
        </is>
      </c>
      <c r="K52" s="9" t="n">
        <v>0.42</v>
      </c>
      <c r="L52" s="9" t="n">
        <v>58.282</v>
      </c>
      <c r="M52" s="12" t="n">
        <v>2320</v>
      </c>
      <c r="N52" s="10" t="n">
        <v>0</v>
      </c>
      <c r="O52" s="10" t="n">
        <v>135214.24</v>
      </c>
    </row>
    <row r="53">
      <c r="A53" s="2" t="n">
        <v>39</v>
      </c>
      <c r="B53" s="8" t="n">
        <v>46264</v>
      </c>
      <c r="C53" s="2" t="inlineStr">
        <is>
          <t>苏DFB287</t>
        </is>
      </c>
      <c r="D53" s="2" t="inlineStr">
        <is>
          <t>车</t>
        </is>
      </c>
      <c r="E53" s="2" t="inlineStr">
        <is>
          <t>配票/反向</t>
        </is>
      </c>
      <c r="F53" s="2" t="inlineStr">
        <is>
          <t>配票</t>
        </is>
      </c>
      <c r="G53" s="2" t="n"/>
      <c r="H53" s="2" t="inlineStr">
        <is>
          <t>俊兴</t>
        </is>
      </c>
      <c r="I53" s="2" t="inlineStr">
        <is>
          <t>废钢压块类</t>
        </is>
      </c>
      <c r="J53" s="2" t="inlineStr">
        <is>
          <t>废钢压块3</t>
        </is>
      </c>
      <c r="K53" s="9" t="n">
        <v>0.18</v>
      </c>
      <c r="L53" s="9" t="n">
        <v>24.978</v>
      </c>
      <c r="M53" s="12" t="n">
        <v>2280</v>
      </c>
      <c r="N53" s="10" t="n">
        <v>0</v>
      </c>
      <c r="O53" s="10" t="n">
        <v>56949.84</v>
      </c>
    </row>
    <row r="54">
      <c r="A54" s="2" t="n">
        <v>40</v>
      </c>
      <c r="B54" s="8" t="n">
        <v>46264</v>
      </c>
      <c r="C54" s="2" t="inlineStr">
        <is>
          <t>苏BTQ938</t>
        </is>
      </c>
      <c r="D54" s="2" t="inlineStr">
        <is>
          <t>车</t>
        </is>
      </c>
      <c r="E54" s="2" t="inlineStr">
        <is>
          <t>配票/反向</t>
        </is>
      </c>
      <c r="F54" s="2" t="inlineStr">
        <is>
          <t>配票</t>
        </is>
      </c>
      <c r="G54" s="2" t="inlineStr">
        <is>
          <t>李涛</t>
        </is>
      </c>
      <c r="H54" s="2" t="inlineStr">
        <is>
          <t>李涛车队</t>
        </is>
      </c>
      <c r="I54" s="2" t="inlineStr">
        <is>
          <t>废钢</t>
        </is>
      </c>
      <c r="J54" s="2" t="inlineStr">
        <is>
          <t>中废2</t>
        </is>
      </c>
      <c r="K54" s="9" t="n">
        <v>0.5</v>
      </c>
      <c r="L54" s="9" t="n">
        <v>32.42</v>
      </c>
      <c r="M54" s="12" t="n">
        <v>2400</v>
      </c>
      <c r="N54" s="10" t="n">
        <v>0</v>
      </c>
      <c r="O54" s="10" t="n">
        <v>77808</v>
      </c>
    </row>
    <row r="55">
      <c r="A55" s="2" t="n">
        <v>41</v>
      </c>
      <c r="B55" s="8" t="n">
        <v>46264</v>
      </c>
      <c r="C55" s="2" t="inlineStr">
        <is>
          <t>皖SB2849</t>
        </is>
      </c>
      <c r="D55" s="2" t="inlineStr">
        <is>
          <t>车</t>
        </is>
      </c>
      <c r="E55" s="2" t="inlineStr">
        <is>
          <t>配票/反向</t>
        </is>
      </c>
      <c r="F55" s="2" t="inlineStr">
        <is>
          <t>配票</t>
        </is>
      </c>
      <c r="G55" s="2" t="inlineStr">
        <is>
          <t>林凯</t>
        </is>
      </c>
      <c r="H55" s="2" t="inlineStr">
        <is>
          <t>林凯车队</t>
        </is>
      </c>
      <c r="I55" s="2" t="inlineStr">
        <is>
          <t>废钢压块类</t>
        </is>
      </c>
      <c r="J55" s="2" t="inlineStr">
        <is>
          <t>废钢压块2</t>
        </is>
      </c>
      <c r="K55" s="9" t="n">
        <v>0.63</v>
      </c>
      <c r="L55" s="9" t="n">
        <v>30.338</v>
      </c>
      <c r="M55" s="12" t="n">
        <v>2320</v>
      </c>
      <c r="N55" s="10" t="n">
        <v>0</v>
      </c>
      <c r="O55" s="10" t="n">
        <v>70384.16</v>
      </c>
    </row>
    <row r="56">
      <c r="A56" s="2" t="n">
        <v>41</v>
      </c>
      <c r="B56" s="8" t="n">
        <v>46264</v>
      </c>
      <c r="C56" s="2" t="inlineStr">
        <is>
          <t>皖SB2849</t>
        </is>
      </c>
      <c r="D56" s="2" t="inlineStr">
        <is>
          <t>车</t>
        </is>
      </c>
      <c r="E56" s="2" t="inlineStr">
        <is>
          <t>配票/反向</t>
        </is>
      </c>
      <c r="F56" s="2" t="inlineStr">
        <is>
          <t>配票</t>
        </is>
      </c>
      <c r="G56" s="2" t="inlineStr">
        <is>
          <t>林凯</t>
        </is>
      </c>
      <c r="H56" s="2" t="inlineStr">
        <is>
          <t>林凯车队</t>
        </is>
      </c>
      <c r="I56" s="2" t="inlineStr">
        <is>
          <t>废钢压块类</t>
        </is>
      </c>
      <c r="J56" s="2" t="inlineStr">
        <is>
          <t>废钢压块1</t>
        </is>
      </c>
      <c r="K56" s="9" t="n">
        <v>0.27</v>
      </c>
      <c r="L56" s="9" t="n">
        <v>13.002</v>
      </c>
      <c r="M56" s="12" t="n">
        <v>2360</v>
      </c>
      <c r="N56" s="10" t="n">
        <v>0</v>
      </c>
      <c r="O56" s="10" t="n">
        <v>30684.72</v>
      </c>
    </row>
    <row r="57">
      <c r="A57" s="2" t="n">
        <v>42</v>
      </c>
      <c r="B57" s="8" t="n">
        <v>46264</v>
      </c>
      <c r="C57" s="2" t="inlineStr">
        <is>
          <t>苏DBB772</t>
        </is>
      </c>
      <c r="D57" s="2" t="inlineStr">
        <is>
          <t>车</t>
        </is>
      </c>
      <c r="E57" s="2" t="inlineStr">
        <is>
          <t>配票/反向</t>
        </is>
      </c>
      <c r="F57" s="2" t="inlineStr">
        <is>
          <t>配票</t>
        </is>
      </c>
      <c r="G57" s="2" t="inlineStr">
        <is>
          <t>林凯</t>
        </is>
      </c>
      <c r="H57" s="2" t="inlineStr">
        <is>
          <t>林凯车队</t>
        </is>
      </c>
      <c r="I57" s="2" t="inlineStr">
        <is>
          <t>铁水罐压块类</t>
        </is>
      </c>
      <c r="J57" s="2" t="inlineStr">
        <is>
          <t>边角料压块1</t>
        </is>
      </c>
      <c r="K57" s="9" t="n">
        <v>0.4</v>
      </c>
      <c r="L57" s="9" t="n">
        <v>83.78</v>
      </c>
      <c r="M57" s="12" t="n">
        <v>2520</v>
      </c>
      <c r="N57" s="10" t="n">
        <v>0</v>
      </c>
      <c r="O57" s="10" t="n">
        <v>211125.6</v>
      </c>
    </row>
    <row r="58">
      <c r="A58" s="2" t="n">
        <v>43</v>
      </c>
      <c r="B58" s="8" t="n">
        <v>46264</v>
      </c>
      <c r="C58" s="2" t="inlineStr">
        <is>
          <t>冀A224E6</t>
        </is>
      </c>
      <c r="D58" s="2" t="inlineStr">
        <is>
          <t>车</t>
        </is>
      </c>
      <c r="E58" s="2" t="inlineStr">
        <is>
          <t>配票/反向</t>
        </is>
      </c>
      <c r="F58" s="2" t="inlineStr">
        <is>
          <t>配票</t>
        </is>
      </c>
      <c r="G58" s="2" t="n"/>
      <c r="H58" s="2" t="inlineStr">
        <is>
          <t>俊兴</t>
        </is>
      </c>
      <c r="I58" s="2" t="inlineStr">
        <is>
          <t>废钢压块类</t>
        </is>
      </c>
      <c r="J58" s="2" t="inlineStr">
        <is>
          <t>废钢压块2</t>
        </is>
      </c>
      <c r="K58" s="9" t="n">
        <v>0.35</v>
      </c>
      <c r="L58" s="9" t="n">
        <v>32.396</v>
      </c>
      <c r="M58" s="12" t="n">
        <v>2320</v>
      </c>
      <c r="N58" s="10" t="n">
        <v>0</v>
      </c>
      <c r="O58" s="10" t="n">
        <v>75158.72</v>
      </c>
    </row>
    <row r="59">
      <c r="A59" s="2" t="n">
        <v>43</v>
      </c>
      <c r="B59" s="8" t="n">
        <v>46264</v>
      </c>
      <c r="C59" s="2" t="inlineStr">
        <is>
          <t>冀A224E6</t>
        </is>
      </c>
      <c r="D59" s="2" t="inlineStr">
        <is>
          <t>车</t>
        </is>
      </c>
      <c r="E59" s="2" t="inlineStr">
        <is>
          <t>配票/反向</t>
        </is>
      </c>
      <c r="F59" s="2" t="inlineStr">
        <is>
          <t>配票</t>
        </is>
      </c>
      <c r="G59" s="2" t="n"/>
      <c r="H59" s="2" t="inlineStr">
        <is>
          <t>俊兴</t>
        </is>
      </c>
      <c r="I59" s="2" t="inlineStr">
        <is>
          <t>废钢压块类</t>
        </is>
      </c>
      <c r="J59" s="2" t="inlineStr">
        <is>
          <t>废钢压块1</t>
        </is>
      </c>
      <c r="K59" s="9" t="n">
        <v>0.15</v>
      </c>
      <c r="L59" s="9" t="n">
        <v>13.884</v>
      </c>
      <c r="M59" s="12" t="n">
        <v>2360</v>
      </c>
      <c r="N59" s="10" t="n">
        <v>0</v>
      </c>
      <c r="O59" s="10" t="n">
        <v>32766.24</v>
      </c>
    </row>
    <row r="60">
      <c r="A60" s="2" t="n">
        <v>44</v>
      </c>
      <c r="B60" s="8" t="n">
        <v>46264</v>
      </c>
      <c r="C60" s="2" t="inlineStr">
        <is>
          <t>苏DBB772</t>
        </is>
      </c>
      <c r="D60" s="2" t="inlineStr">
        <is>
          <t>车</t>
        </is>
      </c>
      <c r="E60" s="2" t="inlineStr">
        <is>
          <t>配票/反向</t>
        </is>
      </c>
      <c r="F60" s="2" t="inlineStr">
        <is>
          <t>配票</t>
        </is>
      </c>
      <c r="G60" s="2" t="inlineStr">
        <is>
          <t>林凯</t>
        </is>
      </c>
      <c r="H60" s="2" t="inlineStr">
        <is>
          <t>林凯车队</t>
        </is>
      </c>
      <c r="I60" s="2" t="inlineStr">
        <is>
          <t>废钢压块类</t>
        </is>
      </c>
      <c r="J60" s="2" t="inlineStr">
        <is>
          <t>普通压块</t>
        </is>
      </c>
      <c r="K60" s="9" t="n">
        <v>0.7</v>
      </c>
      <c r="L60" s="9" t="n">
        <v>67.95999999999999</v>
      </c>
      <c r="M60" s="12" t="n">
        <v>2240</v>
      </c>
      <c r="N60" s="10" t="n">
        <v>0</v>
      </c>
      <c r="O60" s="10" t="n">
        <v>152230.4</v>
      </c>
    </row>
    <row r="61">
      <c r="A61" s="2" t="n">
        <v>45</v>
      </c>
      <c r="B61" s="8" t="n">
        <v>46265</v>
      </c>
      <c r="C61" s="2" t="inlineStr">
        <is>
          <t>苏DFM060</t>
        </is>
      </c>
      <c r="D61" s="2" t="inlineStr">
        <is>
          <t>车</t>
        </is>
      </c>
      <c r="E61" s="2" t="inlineStr">
        <is>
          <t>配票/反向</t>
        </is>
      </c>
      <c r="F61" s="2" t="inlineStr">
        <is>
          <t>配票</t>
        </is>
      </c>
      <c r="G61" s="2" t="inlineStr">
        <is>
          <t>林凯</t>
        </is>
      </c>
      <c r="H61" s="2" t="inlineStr">
        <is>
          <t>林凯车队</t>
        </is>
      </c>
      <c r="I61" s="2" t="inlineStr">
        <is>
          <t>废钢</t>
        </is>
      </c>
      <c r="J61" s="2" t="inlineStr">
        <is>
          <t>中废2</t>
        </is>
      </c>
      <c r="K61" s="9" t="n">
        <v>0.5</v>
      </c>
      <c r="L61" s="9" t="n">
        <v>25.12</v>
      </c>
      <c r="M61" s="12" t="n">
        <v>2400</v>
      </c>
      <c r="N61" s="10" t="n">
        <v>0</v>
      </c>
      <c r="O61" s="10" t="n">
        <v>60288</v>
      </c>
    </row>
    <row r="62">
      <c r="A62" s="2" t="n">
        <v>46</v>
      </c>
      <c r="B62" s="8" t="n">
        <v>46265</v>
      </c>
      <c r="C62" s="2" t="inlineStr">
        <is>
          <t>冀A224E6</t>
        </is>
      </c>
      <c r="D62" s="2" t="inlineStr">
        <is>
          <t>车</t>
        </is>
      </c>
      <c r="E62" s="2" t="inlineStr">
        <is>
          <t>配票/反向</t>
        </is>
      </c>
      <c r="F62" s="2" t="inlineStr">
        <is>
          <t>配票</t>
        </is>
      </c>
      <c r="G62" s="2" t="inlineStr">
        <is>
          <t>林凯</t>
        </is>
      </c>
      <c r="H62" s="2" t="inlineStr">
        <is>
          <t>林凯车队</t>
        </is>
      </c>
      <c r="I62" s="2" t="inlineStr">
        <is>
          <t>废钢</t>
        </is>
      </c>
      <c r="J62" s="2" t="inlineStr">
        <is>
          <t>中废1</t>
        </is>
      </c>
      <c r="K62" s="9" t="n">
        <v>0.14</v>
      </c>
      <c r="L62" s="9" t="n">
        <v>20.356</v>
      </c>
      <c r="M62" s="12" t="n">
        <v>2440</v>
      </c>
      <c r="N62" s="10" t="n">
        <v>0</v>
      </c>
      <c r="O62" s="10" t="n">
        <v>49668.64</v>
      </c>
    </row>
    <row r="63">
      <c r="A63" s="2" t="n">
        <v>46</v>
      </c>
      <c r="B63" s="8" t="n">
        <v>46265</v>
      </c>
      <c r="C63" s="2" t="inlineStr">
        <is>
          <t>冀A224E6</t>
        </is>
      </c>
      <c r="D63" s="2" t="inlineStr">
        <is>
          <t>车</t>
        </is>
      </c>
      <c r="E63" s="2" t="inlineStr">
        <is>
          <t>配票/反向</t>
        </is>
      </c>
      <c r="F63" s="2" t="inlineStr">
        <is>
          <t>配票</t>
        </is>
      </c>
      <c r="G63" s="2" t="inlineStr">
        <is>
          <t>林凯</t>
        </is>
      </c>
      <c r="H63" s="2" t="inlineStr">
        <is>
          <t>林凯车队</t>
        </is>
      </c>
      <c r="I63" s="2" t="inlineStr">
        <is>
          <t>废钢</t>
        </is>
      </c>
      <c r="J63" s="2" t="inlineStr">
        <is>
          <t>剪切中废1</t>
        </is>
      </c>
      <c r="K63" s="9" t="n">
        <v>0.06</v>
      </c>
      <c r="L63" s="9" t="n">
        <v>8.724</v>
      </c>
      <c r="M63" s="12" t="n">
        <v>2470</v>
      </c>
      <c r="N63" s="10" t="n">
        <v>0</v>
      </c>
      <c r="O63" s="10" t="n">
        <v>21548.28</v>
      </c>
    </row>
    <row r="64">
      <c r="A64" s="2" t="n">
        <v>47</v>
      </c>
      <c r="B64" s="8" t="n">
        <v>46265</v>
      </c>
      <c r="C64" s="2" t="inlineStr">
        <is>
          <t>苏DFM060</t>
        </is>
      </c>
      <c r="D64" s="2" t="inlineStr">
        <is>
          <t>车</t>
        </is>
      </c>
      <c r="E64" s="2" t="inlineStr">
        <is>
          <t>配票/反向</t>
        </is>
      </c>
      <c r="F64" s="2" t="inlineStr">
        <is>
          <t>配票</t>
        </is>
      </c>
      <c r="G64" s="2" t="inlineStr">
        <is>
          <t>林凯</t>
        </is>
      </c>
      <c r="H64" s="2" t="inlineStr">
        <is>
          <t>林凯车队</t>
        </is>
      </c>
      <c r="I64" s="2" t="inlineStr">
        <is>
          <t>废钢</t>
        </is>
      </c>
      <c r="J64" s="2" t="inlineStr">
        <is>
          <t>中废1</t>
        </is>
      </c>
      <c r="K64" s="9" t="n">
        <v>0.25</v>
      </c>
      <c r="L64" s="9" t="n">
        <v>28.39</v>
      </c>
      <c r="M64" s="12" t="n">
        <v>2440</v>
      </c>
      <c r="N64" s="10" t="n">
        <v>0</v>
      </c>
      <c r="O64" s="10" t="n">
        <v>69271.60000000001</v>
      </c>
    </row>
    <row r="65">
      <c r="A65" s="2" t="n">
        <v>47</v>
      </c>
      <c r="B65" s="8" t="n">
        <v>46265</v>
      </c>
      <c r="C65" s="2" t="inlineStr">
        <is>
          <t>苏DFM060</t>
        </is>
      </c>
      <c r="D65" s="2" t="inlineStr">
        <is>
          <t>车</t>
        </is>
      </c>
      <c r="E65" s="2" t="inlineStr">
        <is>
          <t>配票/反向</t>
        </is>
      </c>
      <c r="F65" s="2" t="inlineStr">
        <is>
          <t>配票</t>
        </is>
      </c>
      <c r="G65" s="2" t="inlineStr">
        <is>
          <t>林凯</t>
        </is>
      </c>
      <c r="H65" s="2" t="inlineStr">
        <is>
          <t>林凯车队</t>
        </is>
      </c>
      <c r="I65" s="2" t="inlineStr">
        <is>
          <t>废钢</t>
        </is>
      </c>
      <c r="J65" s="2" t="inlineStr">
        <is>
          <t>中废2</t>
        </is>
      </c>
      <c r="K65" s="9" t="n">
        <v>0.25</v>
      </c>
      <c r="L65" s="9" t="n">
        <v>28.39</v>
      </c>
      <c r="M65" s="12" t="n">
        <v>2400</v>
      </c>
      <c r="N65" s="10" t="n">
        <v>0</v>
      </c>
      <c r="O65" s="10" t="n">
        <v>68136</v>
      </c>
    </row>
    <row r="66">
      <c r="A66" s="2" t="n">
        <v>48</v>
      </c>
      <c r="B66" s="8" t="n">
        <v>46265</v>
      </c>
      <c r="C66" s="2" t="inlineStr">
        <is>
          <t>苏DBB772</t>
        </is>
      </c>
      <c r="D66" s="2" t="inlineStr">
        <is>
          <t>车</t>
        </is>
      </c>
      <c r="E66" s="2" t="inlineStr">
        <is>
          <t>配票/反向</t>
        </is>
      </c>
      <c r="F66" s="2" t="inlineStr">
        <is>
          <t>配票</t>
        </is>
      </c>
      <c r="G66" s="2" t="inlineStr">
        <is>
          <t>林凯</t>
        </is>
      </c>
      <c r="H66" s="2" t="inlineStr">
        <is>
          <t>林凯车队</t>
        </is>
      </c>
      <c r="I66" s="2" t="inlineStr">
        <is>
          <t>铁水罐压块类</t>
        </is>
      </c>
      <c r="J66" s="2" t="inlineStr">
        <is>
          <t>铁加压块</t>
        </is>
      </c>
      <c r="K66" s="9" t="n">
        <v>0.8</v>
      </c>
      <c r="L66" s="9" t="n">
        <v>80.95999999999999</v>
      </c>
      <c r="M66" s="12" t="n">
        <v>2510</v>
      </c>
      <c r="N66" s="10" t="n">
        <v>0</v>
      </c>
      <c r="O66" s="10" t="n">
        <v>203209.6</v>
      </c>
    </row>
    <row r="67">
      <c r="A67" s="2" t="n">
        <v>49</v>
      </c>
      <c r="B67" s="8" t="n">
        <v>46265</v>
      </c>
      <c r="C67" s="2" t="inlineStr">
        <is>
          <t>苏DBB772</t>
        </is>
      </c>
      <c r="D67" s="2" t="inlineStr">
        <is>
          <t>车</t>
        </is>
      </c>
      <c r="E67" s="2" t="inlineStr">
        <is>
          <t>配票/反向</t>
        </is>
      </c>
      <c r="F67" s="2" t="inlineStr">
        <is>
          <t>配票</t>
        </is>
      </c>
      <c r="G67" s="2" t="inlineStr">
        <is>
          <t>林凯</t>
        </is>
      </c>
      <c r="H67" s="2" t="inlineStr">
        <is>
          <t>林凯车队</t>
        </is>
      </c>
      <c r="I67" s="2" t="inlineStr">
        <is>
          <t>废钢压块类</t>
        </is>
      </c>
      <c r="J67" s="2" t="inlineStr">
        <is>
          <t>普通压块</t>
        </is>
      </c>
      <c r="K67" s="9" t="n">
        <v>1.4</v>
      </c>
      <c r="L67" s="9" t="n">
        <v>69.66</v>
      </c>
      <c r="M67" s="12" t="n">
        <v>2240</v>
      </c>
      <c r="N67" s="10" t="n">
        <v>0</v>
      </c>
      <c r="O67" s="10" t="n">
        <v>156038.4</v>
      </c>
    </row>
    <row r="68">
      <c r="A68" s="2" t="n">
        <v>50</v>
      </c>
      <c r="B68" s="8" t="n">
        <v>46266</v>
      </c>
      <c r="C68" s="2" t="inlineStr">
        <is>
          <t>苏ERS080</t>
        </is>
      </c>
      <c r="D68" s="2" t="inlineStr">
        <is>
          <t>车</t>
        </is>
      </c>
      <c r="E68" s="2" t="inlineStr">
        <is>
          <t>配票/反向</t>
        </is>
      </c>
      <c r="F68" s="2" t="inlineStr">
        <is>
          <t>配票</t>
        </is>
      </c>
      <c r="G68" s="2" t="inlineStr">
        <is>
          <t>林凯</t>
        </is>
      </c>
      <c r="H68" s="2" t="inlineStr">
        <is>
          <t>林凯车队</t>
        </is>
      </c>
      <c r="I68" s="2" t="inlineStr">
        <is>
          <t>废钢</t>
        </is>
      </c>
      <c r="J68" s="2" t="inlineStr">
        <is>
          <t>中废2</t>
        </is>
      </c>
      <c r="K68" s="9" t="n">
        <v>0.4</v>
      </c>
      <c r="L68" s="9" t="n">
        <v>49.1</v>
      </c>
      <c r="M68" s="12" t="n">
        <v>2400</v>
      </c>
      <c r="N68" s="10" t="n">
        <v>0</v>
      </c>
      <c r="O68" s="10" t="n">
        <v>117840</v>
      </c>
    </row>
    <row r="69">
      <c r="A69" s="2" t="n">
        <v>51</v>
      </c>
      <c r="B69" s="8" t="n">
        <v>46266</v>
      </c>
      <c r="C69" s="2" t="inlineStr">
        <is>
          <t>苏DFM060</t>
        </is>
      </c>
      <c r="D69" s="2" t="inlineStr">
        <is>
          <t>车</t>
        </is>
      </c>
      <c r="E69" s="2" t="inlineStr">
        <is>
          <t>配票/反向</t>
        </is>
      </c>
      <c r="F69" s="2" t="inlineStr">
        <is>
          <t>配票</t>
        </is>
      </c>
      <c r="G69" s="2" t="inlineStr">
        <is>
          <t>林凯</t>
        </is>
      </c>
      <c r="H69" s="2" t="inlineStr">
        <is>
          <t>林凯车队</t>
        </is>
      </c>
      <c r="I69" s="2" t="inlineStr">
        <is>
          <t>废钢</t>
        </is>
      </c>
      <c r="J69" s="2" t="inlineStr">
        <is>
          <t>中废2</t>
        </is>
      </c>
      <c r="K69" s="9" t="n">
        <v>0.15</v>
      </c>
      <c r="L69" s="9" t="n">
        <v>12.98</v>
      </c>
      <c r="M69" s="12" t="n">
        <v>2400</v>
      </c>
      <c r="N69" s="10" t="n">
        <v>0</v>
      </c>
      <c r="O69" s="10" t="n">
        <v>31152</v>
      </c>
    </row>
    <row r="70">
      <c r="A70" s="2" t="n">
        <v>51</v>
      </c>
      <c r="B70" s="8" t="n">
        <v>46266</v>
      </c>
      <c r="C70" s="2" t="inlineStr">
        <is>
          <t>苏DFM060</t>
        </is>
      </c>
      <c r="D70" s="2" t="inlineStr">
        <is>
          <t>车</t>
        </is>
      </c>
      <c r="E70" s="2" t="inlineStr">
        <is>
          <t>配票/反向</t>
        </is>
      </c>
      <c r="F70" s="2" t="inlineStr">
        <is>
          <t>配票</t>
        </is>
      </c>
      <c r="G70" s="2" t="inlineStr">
        <is>
          <t>林凯</t>
        </is>
      </c>
      <c r="H70" s="2" t="inlineStr">
        <is>
          <t>林凯车队</t>
        </is>
      </c>
      <c r="I70" s="2" t="inlineStr">
        <is>
          <t>废钢</t>
        </is>
      </c>
      <c r="J70" s="2" t="inlineStr">
        <is>
          <t>小废</t>
        </is>
      </c>
      <c r="K70" s="9" t="n">
        <v>0.15</v>
      </c>
      <c r="L70" s="9" t="n">
        <v>12.98</v>
      </c>
      <c r="M70" s="12" t="n">
        <v>2320</v>
      </c>
      <c r="N70" s="10" t="n">
        <v>0</v>
      </c>
      <c r="O70" s="10" t="n">
        <v>30113.6</v>
      </c>
    </row>
    <row r="71">
      <c r="A71" s="2" t="n">
        <v>52</v>
      </c>
      <c r="B71" s="8" t="n">
        <v>46266</v>
      </c>
      <c r="C71" s="2" t="inlineStr">
        <is>
          <t>苏DBX137</t>
        </is>
      </c>
      <c r="D71" s="2" t="inlineStr">
        <is>
          <t>车</t>
        </is>
      </c>
      <c r="E71" s="2" t="inlineStr">
        <is>
          <t>配票/反向</t>
        </is>
      </c>
      <c r="F71" s="2" t="inlineStr">
        <is>
          <t>配票</t>
        </is>
      </c>
      <c r="G71" s="2" t="inlineStr">
        <is>
          <t>林凯</t>
        </is>
      </c>
      <c r="H71" s="2" t="inlineStr">
        <is>
          <t>林凯车队</t>
        </is>
      </c>
      <c r="I71" s="2" t="inlineStr">
        <is>
          <t>废钢压块类</t>
        </is>
      </c>
      <c r="J71" s="2" t="inlineStr">
        <is>
          <t>废钢压块2</t>
        </is>
      </c>
      <c r="K71" s="9" t="n">
        <v>0.245</v>
      </c>
      <c r="L71" s="9" t="n">
        <v>33.257</v>
      </c>
      <c r="M71" s="12" t="n">
        <v>2320</v>
      </c>
      <c r="N71" s="10" t="n">
        <v>0</v>
      </c>
      <c r="O71" s="10" t="n">
        <v>77156.24000000001</v>
      </c>
    </row>
    <row r="72">
      <c r="A72" s="2" t="n">
        <v>52</v>
      </c>
      <c r="B72" s="8" t="n">
        <v>46266</v>
      </c>
      <c r="C72" s="2" t="inlineStr">
        <is>
          <t>苏DBX137</t>
        </is>
      </c>
      <c r="D72" s="2" t="inlineStr">
        <is>
          <t>车</t>
        </is>
      </c>
      <c r="E72" s="2" t="inlineStr">
        <is>
          <t>配票/反向</t>
        </is>
      </c>
      <c r="F72" s="2" t="inlineStr">
        <is>
          <t>配票</t>
        </is>
      </c>
      <c r="G72" s="2" t="inlineStr">
        <is>
          <t>林凯</t>
        </is>
      </c>
      <c r="H72" s="2" t="inlineStr">
        <is>
          <t>林凯车队</t>
        </is>
      </c>
      <c r="I72" s="2" t="inlineStr">
        <is>
          <t>废钢压块类</t>
        </is>
      </c>
      <c r="J72" s="2" t="inlineStr">
        <is>
          <t>废钢压块1</t>
        </is>
      </c>
      <c r="K72" s="9" t="n">
        <v>0.105</v>
      </c>
      <c r="L72" s="9" t="n">
        <v>14.253</v>
      </c>
      <c r="M72" s="12" t="n">
        <v>2360</v>
      </c>
      <c r="N72" s="10" t="n">
        <v>0</v>
      </c>
      <c r="O72" s="10" t="n">
        <v>33637.08</v>
      </c>
    </row>
    <row r="73">
      <c r="A73" s="2" t="n">
        <v>53</v>
      </c>
      <c r="B73" s="8" t="n">
        <v>46266</v>
      </c>
      <c r="C73" s="2" t="inlineStr">
        <is>
          <t>苏DBB772</t>
        </is>
      </c>
      <c r="D73" s="2" t="inlineStr">
        <is>
          <t>车</t>
        </is>
      </c>
      <c r="E73" s="2" t="inlineStr">
        <is>
          <t>配票/反向</t>
        </is>
      </c>
      <c r="F73" s="2" t="inlineStr">
        <is>
          <t>配票</t>
        </is>
      </c>
      <c r="G73" s="2" t="inlineStr">
        <is>
          <t>林凯</t>
        </is>
      </c>
      <c r="H73" s="2" t="inlineStr">
        <is>
          <t>林凯车队</t>
        </is>
      </c>
      <c r="I73" s="2" t="inlineStr">
        <is>
          <t>废钢压块类</t>
        </is>
      </c>
      <c r="J73" s="2" t="inlineStr">
        <is>
          <t>普通压块</t>
        </is>
      </c>
      <c r="K73" s="9" t="n">
        <v>1.4</v>
      </c>
      <c r="L73" s="9" t="n">
        <v>70.76000000000001</v>
      </c>
      <c r="M73" s="12" t="n">
        <v>2240</v>
      </c>
      <c r="N73" s="10" t="n">
        <v>0</v>
      </c>
      <c r="O73" s="10" t="n">
        <v>158502.4</v>
      </c>
    </row>
    <row r="74">
      <c r="A74" s="2" t="n">
        <v>54</v>
      </c>
      <c r="B74" s="8" t="n">
        <v>46266</v>
      </c>
      <c r="C74" s="2" t="inlineStr">
        <is>
          <t>通海机9998</t>
        </is>
      </c>
      <c r="D74" s="2" t="inlineStr">
        <is>
          <t>船</t>
        </is>
      </c>
      <c r="E74" s="2" t="inlineStr">
        <is>
          <t>配票/反向</t>
        </is>
      </c>
      <c r="F74" s="2" t="inlineStr">
        <is>
          <t>配票</t>
        </is>
      </c>
      <c r="G74" s="2" t="n"/>
      <c r="H74" s="2" t="inlineStr">
        <is>
          <t>俊兴</t>
        </is>
      </c>
      <c r="I74" s="2" t="inlineStr">
        <is>
          <t>历史导入-待归类</t>
        </is>
      </c>
      <c r="J74" s="2" t="inlineStr">
        <is>
          <t>未注明</t>
        </is>
      </c>
      <c r="K74" s="9" t="n">
        <v>0</v>
      </c>
      <c r="L74" s="9" t="n">
        <v>481.77</v>
      </c>
      <c r="M74" s="12" t="n"/>
      <c r="N74" s="10" t="n">
        <v>0</v>
      </c>
      <c r="O74" s="10" t="n">
        <v>1181813.6</v>
      </c>
    </row>
    <row r="75">
      <c r="A75" s="2" t="n">
        <v>55</v>
      </c>
      <c r="B75" s="8" t="n">
        <v>46267</v>
      </c>
      <c r="C75" s="2" t="inlineStr">
        <is>
          <t>苏BXT103</t>
        </is>
      </c>
      <c r="D75" s="2" t="inlineStr">
        <is>
          <t>车</t>
        </is>
      </c>
      <c r="E75" s="2" t="inlineStr">
        <is>
          <t>配票/反向</t>
        </is>
      </c>
      <c r="F75" s="2" t="inlineStr">
        <is>
          <t>配票</t>
        </is>
      </c>
      <c r="G75" s="2" t="inlineStr">
        <is>
          <t>闫东朋</t>
        </is>
      </c>
      <c r="H75" s="2" t="inlineStr">
        <is>
          <t>闫东朋车队</t>
        </is>
      </c>
      <c r="I75" s="2" t="inlineStr">
        <is>
          <t>废钢压块类</t>
        </is>
      </c>
      <c r="J75" s="2" t="inlineStr">
        <is>
          <t>废钢压块1</t>
        </is>
      </c>
      <c r="K75" s="9" t="n">
        <v>0.35</v>
      </c>
      <c r="L75" s="9" t="n">
        <v>39.298</v>
      </c>
      <c r="M75" s="12" t="n">
        <v>2380</v>
      </c>
      <c r="N75" s="10" t="n">
        <v>0</v>
      </c>
      <c r="O75" s="10" t="n">
        <v>93529.24000000001</v>
      </c>
    </row>
    <row r="76">
      <c r="A76" s="2" t="n">
        <v>55</v>
      </c>
      <c r="B76" s="8" t="n">
        <v>46267</v>
      </c>
      <c r="C76" s="2" t="inlineStr">
        <is>
          <t>苏BXT103</t>
        </is>
      </c>
      <c r="D76" s="2" t="inlineStr">
        <is>
          <t>车</t>
        </is>
      </c>
      <c r="E76" s="2" t="inlineStr">
        <is>
          <t>配票/反向</t>
        </is>
      </c>
      <c r="F76" s="2" t="inlineStr">
        <is>
          <t>配票</t>
        </is>
      </c>
      <c r="G76" s="2" t="inlineStr">
        <is>
          <t>闫东朋</t>
        </is>
      </c>
      <c r="H76" s="2" t="inlineStr">
        <is>
          <t>闫东朋车队</t>
        </is>
      </c>
      <c r="I76" s="2" t="inlineStr">
        <is>
          <t>废钢压块类</t>
        </is>
      </c>
      <c r="J76" s="2" t="inlineStr">
        <is>
          <t>废钢压块2</t>
        </is>
      </c>
      <c r="K76" s="9" t="n">
        <v>0.15</v>
      </c>
      <c r="L76" s="9" t="n">
        <v>16.842</v>
      </c>
      <c r="M76" s="12" t="n">
        <v>2340</v>
      </c>
      <c r="N76" s="10" t="n">
        <v>0</v>
      </c>
      <c r="O76" s="10" t="n">
        <v>39410.28</v>
      </c>
    </row>
    <row r="77">
      <c r="A77" s="2" t="n">
        <v>56</v>
      </c>
      <c r="B77" s="8" t="n">
        <v>46268</v>
      </c>
      <c r="C77" s="2" t="inlineStr">
        <is>
          <t>苏NER821</t>
        </is>
      </c>
      <c r="D77" s="2" t="inlineStr">
        <is>
          <t>车</t>
        </is>
      </c>
      <c r="E77" s="2" t="inlineStr">
        <is>
          <t>配票/反向</t>
        </is>
      </c>
      <c r="F77" s="2" t="inlineStr">
        <is>
          <t>配票</t>
        </is>
      </c>
      <c r="G77" s="2" t="inlineStr">
        <is>
          <t>李涛</t>
        </is>
      </c>
      <c r="H77" s="2" t="inlineStr">
        <is>
          <t>李涛车队</t>
        </is>
      </c>
      <c r="I77" s="2" t="inlineStr">
        <is>
          <t>废钢</t>
        </is>
      </c>
      <c r="J77" s="2" t="inlineStr">
        <is>
          <t>中废2</t>
        </is>
      </c>
      <c r="K77" s="9" t="n">
        <v>0.3</v>
      </c>
      <c r="L77" s="9" t="n">
        <v>35.72</v>
      </c>
      <c r="M77" s="12" t="n">
        <v>2420</v>
      </c>
      <c r="N77" s="10" t="n">
        <v>0</v>
      </c>
      <c r="O77" s="10" t="n">
        <v>86442.39999999999</v>
      </c>
    </row>
    <row r="78">
      <c r="A78" s="2" t="n">
        <v>57</v>
      </c>
      <c r="B78" s="8" t="n">
        <v>46268</v>
      </c>
      <c r="C78" s="2" t="inlineStr">
        <is>
          <t>苏兴达货8566</t>
        </is>
      </c>
      <c r="D78" s="2" t="inlineStr">
        <is>
          <t>船</t>
        </is>
      </c>
      <c r="E78" s="2" t="inlineStr">
        <is>
          <t>配票/反向</t>
        </is>
      </c>
      <c r="F78" s="2" t="inlineStr">
        <is>
          <t>配票</t>
        </is>
      </c>
      <c r="G78" s="2" t="n"/>
      <c r="H78" s="2" t="inlineStr">
        <is>
          <t>俊兴</t>
        </is>
      </c>
      <c r="I78" s="2" t="inlineStr">
        <is>
          <t>历史导入-待归类</t>
        </is>
      </c>
      <c r="J78" s="2" t="inlineStr">
        <is>
          <t>未注明</t>
        </is>
      </c>
      <c r="K78" s="9" t="n">
        <v>0</v>
      </c>
      <c r="L78" s="9" t="n">
        <v>560.21</v>
      </c>
      <c r="M78" s="12" t="n"/>
      <c r="N78" s="10" t="n">
        <v>0</v>
      </c>
      <c r="O78" s="10" t="n">
        <v>1381864.15</v>
      </c>
    </row>
    <row r="79">
      <c r="A79" s="2" t="n">
        <v>58</v>
      </c>
      <c r="B79" s="8" t="n">
        <v>46269</v>
      </c>
      <c r="C79" s="2" t="inlineStr">
        <is>
          <t>皖SG1123</t>
        </is>
      </c>
      <c r="D79" s="2" t="inlineStr">
        <is>
          <t>车</t>
        </is>
      </c>
      <c r="E79" s="2" t="inlineStr">
        <is>
          <t>配票/反向</t>
        </is>
      </c>
      <c r="F79" s="2" t="inlineStr">
        <is>
          <t>配票</t>
        </is>
      </c>
      <c r="G79" s="2" t="inlineStr">
        <is>
          <t>李涛</t>
        </is>
      </c>
      <c r="H79" s="2" t="inlineStr">
        <is>
          <t>李涛车队</t>
        </is>
      </c>
      <c r="I79" s="2" t="inlineStr">
        <is>
          <t>废钢</t>
        </is>
      </c>
      <c r="J79" s="2" t="inlineStr">
        <is>
          <t>中废2</t>
        </is>
      </c>
      <c r="K79" s="9" t="n">
        <v>0.35</v>
      </c>
      <c r="L79" s="9" t="n">
        <v>38.07</v>
      </c>
      <c r="M79" s="12" t="n">
        <v>2410</v>
      </c>
      <c r="N79" s="10" t="n">
        <v>0</v>
      </c>
      <c r="O79" s="10" t="n">
        <v>91748.7</v>
      </c>
    </row>
    <row r="80">
      <c r="A80" s="2" t="n">
        <v>59</v>
      </c>
      <c r="B80" s="8" t="n">
        <v>46269</v>
      </c>
      <c r="C80" s="2" t="inlineStr">
        <is>
          <t>皖LE9644</t>
        </is>
      </c>
      <c r="D80" s="2" t="inlineStr">
        <is>
          <t>车</t>
        </is>
      </c>
      <c r="E80" s="2" t="inlineStr">
        <is>
          <t>配票/反向</t>
        </is>
      </c>
      <c r="F80" s="2" t="inlineStr">
        <is>
          <t>配票</t>
        </is>
      </c>
      <c r="G80" s="2" t="inlineStr">
        <is>
          <t>李涛</t>
        </is>
      </c>
      <c r="H80" s="2" t="inlineStr">
        <is>
          <t>李涛车队</t>
        </is>
      </c>
      <c r="I80" s="2" t="inlineStr">
        <is>
          <t>废钢</t>
        </is>
      </c>
      <c r="J80" s="2" t="inlineStr">
        <is>
          <t>中废2</t>
        </is>
      </c>
      <c r="K80" s="9" t="n">
        <v>0.3</v>
      </c>
      <c r="L80" s="9" t="n">
        <v>35.28</v>
      </c>
      <c r="M80" s="12" t="n">
        <v>2410</v>
      </c>
      <c r="N80" s="10" t="n">
        <v>16310</v>
      </c>
      <c r="O80" s="10" t="n">
        <v>68714.8</v>
      </c>
    </row>
    <row r="81">
      <c r="A81" s="2" t="n">
        <v>60</v>
      </c>
      <c r="B81" s="8" t="n">
        <v>46269</v>
      </c>
      <c r="C81" s="2" t="inlineStr">
        <is>
          <t>苏K66529</t>
        </is>
      </c>
      <c r="D81" s="2" t="inlineStr">
        <is>
          <t>车</t>
        </is>
      </c>
      <c r="E81" s="2" t="inlineStr">
        <is>
          <t>配票/反向</t>
        </is>
      </c>
      <c r="F81" s="2" t="inlineStr">
        <is>
          <t>配票</t>
        </is>
      </c>
      <c r="G81" s="2" t="inlineStr">
        <is>
          <t>陈杰</t>
        </is>
      </c>
      <c r="H81" s="2" t="inlineStr">
        <is>
          <t>陈杰车队</t>
        </is>
      </c>
      <c r="I81" s="2" t="inlineStr">
        <is>
          <t>废钢压块类</t>
        </is>
      </c>
      <c r="J81" s="2" t="inlineStr">
        <is>
          <t>废钢压块3</t>
        </is>
      </c>
      <c r="K81" s="9" t="n">
        <v>1</v>
      </c>
      <c r="L81" s="9" t="n">
        <v>39.12</v>
      </c>
      <c r="M81" s="12" t="n">
        <v>2290</v>
      </c>
      <c r="N81" s="10" t="n">
        <v>0</v>
      </c>
      <c r="O81" s="10" t="n">
        <v>89584.8</v>
      </c>
    </row>
    <row r="82">
      <c r="A82" s="2" t="n">
        <v>61</v>
      </c>
      <c r="B82" s="8" t="n">
        <v>46270</v>
      </c>
      <c r="C82" s="2" t="inlineStr">
        <is>
          <t>皖城兴货688</t>
        </is>
      </c>
      <c r="D82" s="2" t="inlineStr">
        <is>
          <t>船</t>
        </is>
      </c>
      <c r="E82" s="2" t="inlineStr">
        <is>
          <t>配票/反向</t>
        </is>
      </c>
      <c r="F82" s="2" t="inlineStr">
        <is>
          <t>配票</t>
        </is>
      </c>
      <c r="G82" s="2" t="inlineStr">
        <is>
          <t>林凯</t>
        </is>
      </c>
      <c r="H82" s="2" t="inlineStr">
        <is>
          <t>林凯车队</t>
        </is>
      </c>
      <c r="I82" s="2" t="inlineStr">
        <is>
          <t>历史导入-待归类</t>
        </is>
      </c>
      <c r="J82" s="2" t="inlineStr">
        <is>
          <t>未注明</t>
        </is>
      </c>
      <c r="K82" s="9" t="n">
        <v>0</v>
      </c>
      <c r="L82" s="9" t="n">
        <v>719.14</v>
      </c>
      <c r="M82" s="12" t="n"/>
      <c r="N82" s="10" t="n">
        <v>0</v>
      </c>
      <c r="O82" s="10" t="n">
        <v>1823625.4</v>
      </c>
    </row>
    <row r="83">
      <c r="A83" s="2" t="n">
        <v>62</v>
      </c>
      <c r="B83" s="8" t="n">
        <v>46272</v>
      </c>
      <c r="C83" s="2" t="inlineStr">
        <is>
          <t>鲁济宁货1567</t>
        </is>
      </c>
      <c r="D83" s="2" t="inlineStr">
        <is>
          <t>船</t>
        </is>
      </c>
      <c r="E83" s="2" t="inlineStr">
        <is>
          <t>配票/反向</t>
        </is>
      </c>
      <c r="F83" s="2" t="inlineStr">
        <is>
          <t>配票</t>
        </is>
      </c>
      <c r="G83" s="2" t="inlineStr">
        <is>
          <t>林凯</t>
        </is>
      </c>
      <c r="H83" s="2" t="inlineStr">
        <is>
          <t>林凯车队</t>
        </is>
      </c>
      <c r="I83" s="2" t="inlineStr">
        <is>
          <t>历史导入-待归类</t>
        </is>
      </c>
      <c r="J83" s="2" t="inlineStr">
        <is>
          <t>未注明</t>
        </is>
      </c>
      <c r="K83" s="9" t="n">
        <v>0</v>
      </c>
      <c r="L83" s="9" t="n">
        <v>613.8</v>
      </c>
      <c r="M83" s="12" t="n"/>
      <c r="N83" s="10" t="n">
        <v>0</v>
      </c>
      <c r="O83" s="10" t="n">
        <v>1467823.1</v>
      </c>
    </row>
    <row r="84">
      <c r="A84" s="2" t="n">
        <v>63</v>
      </c>
      <c r="B84" s="8" t="n">
        <v>46275</v>
      </c>
      <c r="C84" s="2" t="inlineStr">
        <is>
          <t>苏DBE075</t>
        </is>
      </c>
      <c r="D84" s="2" t="inlineStr">
        <is>
          <t>车</t>
        </is>
      </c>
      <c r="E84" s="2" t="inlineStr">
        <is>
          <t>带票带货</t>
        </is>
      </c>
      <c r="F84" s="2" t="inlineStr">
        <is>
          <t>户头通道</t>
        </is>
      </c>
      <c r="G84" s="2" t="inlineStr">
        <is>
          <t>林凯</t>
        </is>
      </c>
      <c r="H84" s="2" t="inlineStr">
        <is>
          <t>君盛</t>
        </is>
      </c>
      <c r="I84" s="2" t="inlineStr">
        <is>
          <t>铁水罐压块类</t>
        </is>
      </c>
      <c r="J84" s="2" t="inlineStr">
        <is>
          <t>铁加压块</t>
        </is>
      </c>
      <c r="K84" s="9" t="n">
        <v>0.3</v>
      </c>
      <c r="L84" s="9" t="n">
        <v>82.26000000000001</v>
      </c>
      <c r="M84" s="12" t="n">
        <v>2530</v>
      </c>
      <c r="N84" s="10" t="n">
        <v>0</v>
      </c>
      <c r="O84" s="10" t="n">
        <v>208117.8</v>
      </c>
    </row>
    <row r="85">
      <c r="A85" s="2" t="n">
        <v>64</v>
      </c>
      <c r="B85" s="8" t="n">
        <v>46276</v>
      </c>
      <c r="C85" s="2" t="inlineStr">
        <is>
          <t>苏DBB772</t>
        </is>
      </c>
      <c r="D85" s="2" t="inlineStr">
        <is>
          <t>车</t>
        </is>
      </c>
      <c r="E85" s="2" t="inlineStr">
        <is>
          <t>带票带货</t>
        </is>
      </c>
      <c r="F85" s="2" t="inlineStr">
        <is>
          <t>户头通道</t>
        </is>
      </c>
      <c r="G85" s="2" t="inlineStr">
        <is>
          <t>林凯</t>
        </is>
      </c>
      <c r="H85" s="2" t="inlineStr">
        <is>
          <t>君盛</t>
        </is>
      </c>
      <c r="I85" s="2" t="inlineStr">
        <is>
          <t>铁水罐压块类</t>
        </is>
      </c>
      <c r="J85" s="2" t="inlineStr">
        <is>
          <t>铁加压块</t>
        </is>
      </c>
      <c r="K85" s="9" t="n">
        <v>0.4</v>
      </c>
      <c r="L85" s="9" t="n">
        <v>82.2</v>
      </c>
      <c r="M85" s="12" t="n">
        <v>2530</v>
      </c>
      <c r="N85" s="10" t="n">
        <v>0</v>
      </c>
      <c r="O85" s="10" t="n">
        <v>207966</v>
      </c>
    </row>
    <row r="86">
      <c r="A86" s="2" t="n">
        <v>65</v>
      </c>
      <c r="B86" s="8" t="n">
        <v>46277</v>
      </c>
      <c r="C86" s="2" t="inlineStr">
        <is>
          <t>苏DBE961</t>
        </is>
      </c>
      <c r="D86" s="2" t="inlineStr">
        <is>
          <t>车</t>
        </is>
      </c>
      <c r="E86" s="2" t="inlineStr">
        <is>
          <t>带票带货</t>
        </is>
      </c>
      <c r="F86" s="2" t="inlineStr">
        <is>
          <t>户头通道</t>
        </is>
      </c>
      <c r="G86" s="2" t="inlineStr">
        <is>
          <t>林凯</t>
        </is>
      </c>
      <c r="H86" s="2" t="inlineStr">
        <is>
          <t>力拓</t>
        </is>
      </c>
      <c r="I86" s="2" t="inlineStr">
        <is>
          <t>废钢压块类</t>
        </is>
      </c>
      <c r="J86" s="2" t="inlineStr">
        <is>
          <t>废钢压块3</t>
        </is>
      </c>
      <c r="K86" s="9" t="n">
        <v>2.1</v>
      </c>
      <c r="L86" s="9" t="n">
        <v>79.76000000000001</v>
      </c>
      <c r="M86" s="12" t="n">
        <v>2280</v>
      </c>
      <c r="N86" s="10" t="n">
        <v>0</v>
      </c>
      <c r="O86" s="10" t="n">
        <v>181852.8</v>
      </c>
    </row>
    <row r="87">
      <c r="A87" s="2" t="n">
        <v>66</v>
      </c>
      <c r="B87" s="8" t="n">
        <v>46277</v>
      </c>
      <c r="C87" s="2" t="inlineStr">
        <is>
          <t>苏DBE075</t>
        </is>
      </c>
      <c r="D87" s="2" t="inlineStr">
        <is>
          <t>车</t>
        </is>
      </c>
      <c r="E87" s="2" t="inlineStr">
        <is>
          <t>带票带货</t>
        </is>
      </c>
      <c r="F87" s="2" t="inlineStr">
        <is>
          <t>户头通道</t>
        </is>
      </c>
      <c r="G87" s="2" t="inlineStr">
        <is>
          <t>林凯</t>
        </is>
      </c>
      <c r="H87" s="2" t="inlineStr">
        <is>
          <t>𠓾景通</t>
        </is>
      </c>
      <c r="I87" s="2" t="inlineStr">
        <is>
          <t>铁水罐压块类</t>
        </is>
      </c>
      <c r="J87" s="2" t="inlineStr">
        <is>
          <t>边角料压块1</t>
        </is>
      </c>
      <c r="K87" s="9" t="n">
        <v>0.6</v>
      </c>
      <c r="L87" s="9" t="n">
        <v>78.04000000000001</v>
      </c>
      <c r="M87" s="12" t="n">
        <v>2570</v>
      </c>
      <c r="N87" s="10" t="n">
        <v>500</v>
      </c>
      <c r="O87" s="10" t="n">
        <v>200062.8</v>
      </c>
    </row>
    <row r="88">
      <c r="A88" s="2" t="n">
        <v>67</v>
      </c>
      <c r="B88" s="8" t="n">
        <v>46277</v>
      </c>
      <c r="C88" s="2" t="inlineStr">
        <is>
          <t>皖F30399</t>
        </is>
      </c>
      <c r="D88" s="2" t="inlineStr">
        <is>
          <t>车</t>
        </is>
      </c>
      <c r="E88" s="2" t="inlineStr">
        <is>
          <t>配票/反向</t>
        </is>
      </c>
      <c r="F88" s="2" t="inlineStr">
        <is>
          <t>配票</t>
        </is>
      </c>
      <c r="G88" s="2" t="inlineStr">
        <is>
          <t>邓晶焱</t>
        </is>
      </c>
      <c r="H88" s="2" t="inlineStr">
        <is>
          <t>邓晶焱车队</t>
        </is>
      </c>
      <c r="I88" s="2" t="inlineStr">
        <is>
          <t>废钢</t>
        </is>
      </c>
      <c r="J88" s="2" t="inlineStr">
        <is>
          <t>中废2</t>
        </is>
      </c>
      <c r="K88" s="9" t="n">
        <v>0.55</v>
      </c>
      <c r="L88" s="9" t="n">
        <v>39.17</v>
      </c>
      <c r="M88" s="12" t="n">
        <v>2400</v>
      </c>
      <c r="N88" s="10" t="n">
        <v>0</v>
      </c>
      <c r="O88" s="10" t="n">
        <v>94008</v>
      </c>
    </row>
    <row r="89">
      <c r="A89" s="2" t="n">
        <v>68</v>
      </c>
      <c r="B89" s="8" t="n">
        <v>46277</v>
      </c>
      <c r="C89" s="2" t="inlineStr">
        <is>
          <t>苏DBE075</t>
        </is>
      </c>
      <c r="D89" s="2" t="inlineStr">
        <is>
          <t>车</t>
        </is>
      </c>
      <c r="E89" s="2" t="inlineStr">
        <is>
          <t>带票带货</t>
        </is>
      </c>
      <c r="F89" s="2" t="inlineStr">
        <is>
          <t>户头通道</t>
        </is>
      </c>
      <c r="G89" s="2" t="inlineStr">
        <is>
          <t>林凯</t>
        </is>
      </c>
      <c r="H89" s="2" t="inlineStr">
        <is>
          <t>君盛</t>
        </is>
      </c>
      <c r="I89" s="2" t="inlineStr">
        <is>
          <t>废钢压块类</t>
        </is>
      </c>
      <c r="J89" s="2" t="inlineStr">
        <is>
          <t>普通压块</t>
        </is>
      </c>
      <c r="K89" s="9" t="n">
        <v>2</v>
      </c>
      <c r="L89" s="9" t="n">
        <v>65.44</v>
      </c>
      <c r="M89" s="12" t="n">
        <v>2250</v>
      </c>
      <c r="N89" s="10" t="n">
        <v>0</v>
      </c>
      <c r="O89" s="10" t="n">
        <v>147240</v>
      </c>
    </row>
    <row r="90">
      <c r="A90" s="2" t="n">
        <v>69</v>
      </c>
      <c r="B90" s="8" t="n">
        <v>46279</v>
      </c>
      <c r="C90" s="2" t="inlineStr">
        <is>
          <t>苏DBB772</t>
        </is>
      </c>
      <c r="D90" s="2" t="inlineStr">
        <is>
          <t>车</t>
        </is>
      </c>
      <c r="E90" s="2" t="inlineStr">
        <is>
          <t>配票/反向</t>
        </is>
      </c>
      <c r="F90" s="2" t="inlineStr">
        <is>
          <t>配票</t>
        </is>
      </c>
      <c r="G90" s="2" t="inlineStr">
        <is>
          <t>林凯</t>
        </is>
      </c>
      <c r="H90" s="2" t="inlineStr">
        <is>
          <t>林凯车队</t>
        </is>
      </c>
      <c r="I90" s="2" t="inlineStr">
        <is>
          <t>废钢压块类</t>
        </is>
      </c>
      <c r="J90" s="2" t="inlineStr">
        <is>
          <t>普通压块</t>
        </is>
      </c>
      <c r="K90" s="9" t="n">
        <v>1.7</v>
      </c>
      <c r="L90" s="9" t="n">
        <v>60.9</v>
      </c>
      <c r="M90" s="12" t="n">
        <v>2250</v>
      </c>
      <c r="N90" s="10" t="n">
        <v>0</v>
      </c>
      <c r="O90" s="10" t="n">
        <v>137025</v>
      </c>
    </row>
    <row r="91">
      <c r="A91" s="2" t="n">
        <v>70</v>
      </c>
      <c r="B91" s="8" t="n">
        <v>46279</v>
      </c>
      <c r="C91" s="2" t="inlineStr">
        <is>
          <t>苏DBE961</t>
        </is>
      </c>
      <c r="D91" s="2" t="inlineStr">
        <is>
          <t>车</t>
        </is>
      </c>
      <c r="E91" s="2" t="inlineStr">
        <is>
          <t>带票带货</t>
        </is>
      </c>
      <c r="F91" s="2" t="inlineStr">
        <is>
          <t>户头通道</t>
        </is>
      </c>
      <c r="G91" s="2" t="inlineStr">
        <is>
          <t>林凯</t>
        </is>
      </c>
      <c r="H91" s="2" t="inlineStr">
        <is>
          <t>力拓</t>
        </is>
      </c>
      <c r="I91" s="2" t="inlineStr">
        <is>
          <t>铁水罐压块类</t>
        </is>
      </c>
      <c r="J91" s="2" t="inlineStr">
        <is>
          <t>铁加压块</t>
        </is>
      </c>
      <c r="K91" s="9" t="n">
        <v>0.7</v>
      </c>
      <c r="L91" s="9" t="n">
        <v>75.88</v>
      </c>
      <c r="M91" s="12" t="n">
        <v>2530</v>
      </c>
      <c r="N91" s="10" t="n">
        <v>0</v>
      </c>
      <c r="O91" s="10" t="n">
        <v>191976.4</v>
      </c>
    </row>
    <row r="92">
      <c r="A92" s="2" t="n">
        <v>71</v>
      </c>
      <c r="B92" s="8" t="n">
        <v>46279</v>
      </c>
      <c r="C92" s="2" t="inlineStr">
        <is>
          <t>鲁DC6106</t>
        </is>
      </c>
      <c r="D92" s="2" t="inlineStr">
        <is>
          <t>车</t>
        </is>
      </c>
      <c r="E92" s="2" t="inlineStr">
        <is>
          <t>带票带货</t>
        </is>
      </c>
      <c r="F92" s="2" t="inlineStr">
        <is>
          <t>户头通道</t>
        </is>
      </c>
      <c r="G92" s="2" t="inlineStr">
        <is>
          <t>邓晶焱</t>
        </is>
      </c>
      <c r="H92" s="2" t="inlineStr">
        <is>
          <t>邓晶焱车队</t>
        </is>
      </c>
      <c r="I92" s="2" t="inlineStr">
        <is>
          <t>废钢</t>
        </is>
      </c>
      <c r="J92" s="2" t="inlineStr">
        <is>
          <t>小废</t>
        </is>
      </c>
      <c r="K92" s="9" t="n">
        <v>0.9</v>
      </c>
      <c r="L92" s="9" t="n">
        <v>44.52</v>
      </c>
      <c r="M92" s="12" t="n">
        <v>2320</v>
      </c>
      <c r="N92" s="10" t="n">
        <v>0</v>
      </c>
      <c r="O92" s="10" t="n">
        <v>103286.4</v>
      </c>
    </row>
    <row r="93">
      <c r="A93" s="2" t="n">
        <v>72</v>
      </c>
      <c r="B93" s="8" t="n">
        <v>46279</v>
      </c>
      <c r="C93" s="2" t="inlineStr">
        <is>
          <t>苏J19371</t>
        </is>
      </c>
      <c r="D93" s="2" t="inlineStr">
        <is>
          <t>车</t>
        </is>
      </c>
      <c r="E93" s="2" t="inlineStr">
        <is>
          <t>带票带货</t>
        </is>
      </c>
      <c r="F93" s="2" t="inlineStr">
        <is>
          <t>户头通道</t>
        </is>
      </c>
      <c r="G93" s="2" t="inlineStr">
        <is>
          <t>闫东朋</t>
        </is>
      </c>
      <c r="H93" s="2" t="inlineStr">
        <is>
          <t>闫东朋车队</t>
        </is>
      </c>
      <c r="I93" s="2" t="inlineStr">
        <is>
          <t>铁水罐压块类</t>
        </is>
      </c>
      <c r="J93" s="2" t="inlineStr">
        <is>
          <t>铁加压块</t>
        </is>
      </c>
      <c r="K93" s="9" t="n">
        <v>0.5</v>
      </c>
      <c r="L93" s="9" t="n">
        <v>78.36</v>
      </c>
      <c r="M93" s="12" t="n">
        <v>2530</v>
      </c>
      <c r="N93" s="10" t="n">
        <v>0</v>
      </c>
      <c r="O93" s="10" t="n">
        <v>198250.8</v>
      </c>
    </row>
    <row r="94">
      <c r="A94" s="2" t="n">
        <v>73</v>
      </c>
      <c r="B94" s="8" t="n">
        <v>46280</v>
      </c>
      <c r="C94" s="2" t="inlineStr">
        <is>
          <t>苏ELU629</t>
        </is>
      </c>
      <c r="D94" s="2" t="inlineStr">
        <is>
          <t>车</t>
        </is>
      </c>
      <c r="E94" s="2" t="inlineStr">
        <is>
          <t>配票/反向</t>
        </is>
      </c>
      <c r="F94" s="2" t="inlineStr">
        <is>
          <t>配票</t>
        </is>
      </c>
      <c r="G94" s="2" t="n"/>
      <c r="H94" s="2" t="inlineStr">
        <is>
          <t>未填供货厂</t>
        </is>
      </c>
      <c r="I94" s="2" t="inlineStr">
        <is>
          <t>废钢</t>
        </is>
      </c>
      <c r="J94" s="2" t="inlineStr">
        <is>
          <t>中废2</t>
        </is>
      </c>
      <c r="K94" s="9" t="n">
        <v>0.3</v>
      </c>
      <c r="L94" s="9" t="n">
        <v>34.42</v>
      </c>
      <c r="M94" s="12" t="n">
        <v>2390</v>
      </c>
      <c r="N94" s="10" t="n">
        <v>0</v>
      </c>
      <c r="O94" s="10" t="n">
        <v>82263.8</v>
      </c>
    </row>
    <row r="95">
      <c r="A95" s="2" t="n">
        <v>74</v>
      </c>
      <c r="B95" s="8" t="n">
        <v>46280</v>
      </c>
      <c r="C95" s="2" t="inlineStr">
        <is>
          <t>苏DBE075</t>
        </is>
      </c>
      <c r="D95" s="2" t="inlineStr">
        <is>
          <t>车</t>
        </is>
      </c>
      <c r="E95" s="2" t="inlineStr">
        <is>
          <t>带票带货</t>
        </is>
      </c>
      <c r="F95" s="2" t="inlineStr">
        <is>
          <t>直签带票</t>
        </is>
      </c>
      <c r="G95" s="2" t="inlineStr">
        <is>
          <t>林凯</t>
        </is>
      </c>
      <c r="H95" s="2" t="inlineStr">
        <is>
          <t>君盛</t>
        </is>
      </c>
      <c r="I95" s="2" t="inlineStr">
        <is>
          <t>废钢压块类</t>
        </is>
      </c>
      <c r="J95" s="2" t="inlineStr">
        <is>
          <t>普通压块</t>
        </is>
      </c>
      <c r="K95" s="9" t="n">
        <v>0.3</v>
      </c>
      <c r="L95" s="9" t="n">
        <v>31.46</v>
      </c>
      <c r="M95" s="12" t="n">
        <v>2250</v>
      </c>
      <c r="N95" s="10" t="n">
        <v>0</v>
      </c>
      <c r="O95" s="10" t="n">
        <v>70785</v>
      </c>
    </row>
    <row r="96">
      <c r="A96" s="2" t="n">
        <v>75</v>
      </c>
      <c r="B96" s="8" t="n">
        <v>46280</v>
      </c>
      <c r="C96" s="2" t="inlineStr">
        <is>
          <t>苏L80153</t>
        </is>
      </c>
      <c r="D96" s="2" t="inlineStr">
        <is>
          <t>车</t>
        </is>
      </c>
      <c r="E96" s="2" t="inlineStr">
        <is>
          <t>配票/反向</t>
        </is>
      </c>
      <c r="F96" s="2" t="inlineStr">
        <is>
          <t>反向</t>
        </is>
      </c>
      <c r="G96" s="2" t="inlineStr">
        <is>
          <t>闫东朋</t>
        </is>
      </c>
      <c r="H96" s="2" t="inlineStr">
        <is>
          <t>闫东朋车队</t>
        </is>
      </c>
      <c r="I96" s="2" t="inlineStr">
        <is>
          <t>铁水罐压块类</t>
        </is>
      </c>
      <c r="J96" s="2" t="inlineStr">
        <is>
          <t>边角料压块1</t>
        </is>
      </c>
      <c r="K96" s="9" t="n">
        <v>0.2</v>
      </c>
      <c r="L96" s="9" t="n">
        <v>47.98</v>
      </c>
      <c r="M96" s="12" t="n">
        <v>2570</v>
      </c>
      <c r="N96" s="10" t="n">
        <v>0</v>
      </c>
      <c r="O96" s="10" t="n">
        <v>123308.6</v>
      </c>
    </row>
    <row r="97">
      <c r="A97" s="2" t="n">
        <v>76</v>
      </c>
      <c r="B97" s="8" t="n">
        <v>46280</v>
      </c>
      <c r="C97" s="2" t="inlineStr">
        <is>
          <t>苏J19371</t>
        </is>
      </c>
      <c r="D97" s="2" t="inlineStr">
        <is>
          <t>车</t>
        </is>
      </c>
      <c r="E97" s="2" t="inlineStr">
        <is>
          <t>配票/反向</t>
        </is>
      </c>
      <c r="F97" s="2" t="inlineStr">
        <is>
          <t>反向</t>
        </is>
      </c>
      <c r="G97" s="2" t="inlineStr">
        <is>
          <t>闫东朋</t>
        </is>
      </c>
      <c r="H97" s="2" t="inlineStr">
        <is>
          <t>闫东朋车队</t>
        </is>
      </c>
      <c r="I97" s="2" t="inlineStr">
        <is>
          <t>废钢</t>
        </is>
      </c>
      <c r="J97" s="2" t="inlineStr">
        <is>
          <t>重废3</t>
        </is>
      </c>
      <c r="K97" s="9" t="n">
        <v>0.4</v>
      </c>
      <c r="L97" s="9" t="n">
        <v>79.58</v>
      </c>
      <c r="M97" s="12" t="n">
        <v>2510</v>
      </c>
      <c r="N97" s="10" t="n">
        <v>0</v>
      </c>
      <c r="O97" s="10" t="n">
        <v>199745.8</v>
      </c>
    </row>
    <row r="98">
      <c r="A98" s="2" t="n">
        <v>77</v>
      </c>
      <c r="B98" s="8" t="n">
        <v>46280</v>
      </c>
      <c r="C98" s="2" t="inlineStr">
        <is>
          <t>苏CLK667</t>
        </is>
      </c>
      <c r="D98" s="2" t="inlineStr">
        <is>
          <t>车</t>
        </is>
      </c>
      <c r="E98" s="2" t="inlineStr">
        <is>
          <t>配票/反向</t>
        </is>
      </c>
      <c r="F98" s="2" t="inlineStr">
        <is>
          <t>配票</t>
        </is>
      </c>
      <c r="G98" s="2" t="n"/>
      <c r="H98" s="2" t="inlineStr">
        <is>
          <t>未填供货厂</t>
        </is>
      </c>
      <c r="I98" s="2" t="inlineStr">
        <is>
          <t>废钢</t>
        </is>
      </c>
      <c r="J98" s="2" t="inlineStr">
        <is>
          <t>小废</t>
        </is>
      </c>
      <c r="K98" s="9" t="n">
        <v>0.5</v>
      </c>
      <c r="L98" s="9" t="n">
        <v>33.02</v>
      </c>
      <c r="M98" s="12" t="n">
        <v>2320</v>
      </c>
      <c r="N98" s="10" t="n">
        <v>0</v>
      </c>
      <c r="O98" s="10" t="n">
        <v>76606.39999999999</v>
      </c>
    </row>
    <row r="99">
      <c r="A99" s="2" t="n">
        <v>78</v>
      </c>
      <c r="B99" s="8" t="n">
        <v>46280</v>
      </c>
      <c r="C99" s="2" t="inlineStr">
        <is>
          <t>苏DBB772</t>
        </is>
      </c>
      <c r="D99" s="2" t="inlineStr">
        <is>
          <t>车</t>
        </is>
      </c>
      <c r="E99" s="2" t="inlineStr">
        <is>
          <t>带票带货</t>
        </is>
      </c>
      <c r="F99" s="2" t="inlineStr">
        <is>
          <t>直签带票</t>
        </is>
      </c>
      <c r="G99" s="2" t="inlineStr">
        <is>
          <t>林凯</t>
        </is>
      </c>
      <c r="H99" s="2" t="inlineStr">
        <is>
          <t>𠓾景通</t>
        </is>
      </c>
      <c r="I99" s="2" t="inlineStr">
        <is>
          <t>废钢压块类</t>
        </is>
      </c>
      <c r="J99" s="2" t="inlineStr">
        <is>
          <t>废钢压块1</t>
        </is>
      </c>
      <c r="K99" s="9" t="n">
        <v>0.7</v>
      </c>
      <c r="L99" s="9" t="n">
        <v>71.5</v>
      </c>
      <c r="M99" s="12" t="n">
        <v>2370</v>
      </c>
      <c r="N99" s="10" t="n">
        <v>0</v>
      </c>
      <c r="O99" s="10" t="n">
        <v>169455</v>
      </c>
    </row>
    <row r="100">
      <c r="A100" s="2" t="n">
        <v>79</v>
      </c>
      <c r="B100" s="8" t="n">
        <v>46280</v>
      </c>
      <c r="C100" s="2" t="inlineStr">
        <is>
          <t>苏DBE961</t>
        </is>
      </c>
      <c r="D100" s="2" t="inlineStr">
        <is>
          <t>车</t>
        </is>
      </c>
      <c r="E100" s="2" t="inlineStr">
        <is>
          <t>带票带货</t>
        </is>
      </c>
      <c r="F100" s="2" t="inlineStr">
        <is>
          <t>直签带票</t>
        </is>
      </c>
      <c r="G100" s="2" t="inlineStr">
        <is>
          <t>林凯</t>
        </is>
      </c>
      <c r="H100" s="2" t="inlineStr">
        <is>
          <t>君盛</t>
        </is>
      </c>
      <c r="I100" s="2" t="inlineStr">
        <is>
          <t>废钢压块类</t>
        </is>
      </c>
      <c r="J100" s="2" t="inlineStr">
        <is>
          <t>普通压块</t>
        </is>
      </c>
      <c r="K100" s="9" t="n">
        <v>0.8</v>
      </c>
      <c r="L100" s="9" t="n">
        <v>31.38</v>
      </c>
      <c r="M100" s="12" t="n">
        <v>2250</v>
      </c>
      <c r="N100" s="10" t="n">
        <v>0</v>
      </c>
      <c r="O100" s="10" t="n">
        <v>70605</v>
      </c>
    </row>
    <row r="101">
      <c r="A101" s="2" t="n">
        <v>80</v>
      </c>
      <c r="B101" s="8" t="n">
        <v>46280</v>
      </c>
      <c r="C101" s="2" t="inlineStr">
        <is>
          <t>皖四航6058</t>
        </is>
      </c>
      <c r="D101" s="2" t="inlineStr">
        <is>
          <t>车</t>
        </is>
      </c>
      <c r="E101" s="2" t="inlineStr">
        <is>
          <t>配票/反向</t>
        </is>
      </c>
      <c r="F101" s="2" t="inlineStr">
        <is>
          <t>配票</t>
        </is>
      </c>
      <c r="G101" s="2" t="n"/>
      <c r="H101" s="2" t="inlineStr">
        <is>
          <t>尹鹏飞</t>
        </is>
      </c>
      <c r="I101" s="2" t="n"/>
      <c r="J101" s="2" t="inlineStr">
        <is>
          <t>未分货型(混料)</t>
        </is>
      </c>
      <c r="K101" s="9" t="n">
        <v>6.92</v>
      </c>
      <c r="L101" s="9" t="n">
        <v>589.24</v>
      </c>
      <c r="M101" s="12" t="n">
        <v>0</v>
      </c>
      <c r="N101" s="10" t="n">
        <v>0</v>
      </c>
      <c r="O101" s="10" t="n">
        <v>1444596.08</v>
      </c>
    </row>
    <row r="102">
      <c r="A102" s="2" t="n">
        <v>81</v>
      </c>
      <c r="B102" s="8" t="n">
        <v>46281</v>
      </c>
      <c r="C102" s="2" t="inlineStr">
        <is>
          <t>皖SC6167</t>
        </is>
      </c>
      <c r="D102" s="2" t="inlineStr">
        <is>
          <t>车</t>
        </is>
      </c>
      <c r="E102" s="2" t="inlineStr">
        <is>
          <t>配票/反向</t>
        </is>
      </c>
      <c r="F102" s="2" t="inlineStr">
        <is>
          <t>反向</t>
        </is>
      </c>
      <c r="G102" s="2" t="inlineStr">
        <is>
          <t>闫东朋</t>
        </is>
      </c>
      <c r="H102" s="2" t="inlineStr">
        <is>
          <t>闫东朋车队</t>
        </is>
      </c>
      <c r="I102" s="2" t="inlineStr">
        <is>
          <t>废钢</t>
        </is>
      </c>
      <c r="J102" s="2" t="inlineStr">
        <is>
          <t>重废2</t>
        </is>
      </c>
      <c r="K102" s="9" t="n">
        <v>0.35</v>
      </c>
      <c r="L102" s="9" t="n">
        <v>35.504</v>
      </c>
      <c r="M102" s="12" t="n">
        <v>2530</v>
      </c>
      <c r="N102" s="10" t="n">
        <v>0</v>
      </c>
      <c r="O102" s="10" t="n">
        <v>89825.12</v>
      </c>
    </row>
    <row r="103">
      <c r="A103" s="2" t="n">
        <v>81</v>
      </c>
      <c r="B103" s="8" t="n">
        <v>46281</v>
      </c>
      <c r="C103" s="2" t="inlineStr">
        <is>
          <t>皖SC6167</t>
        </is>
      </c>
      <c r="D103" s="2" t="inlineStr">
        <is>
          <t>车</t>
        </is>
      </c>
      <c r="E103" s="2" t="inlineStr">
        <is>
          <t>配票/反向</t>
        </is>
      </c>
      <c r="F103" s="2" t="inlineStr">
        <is>
          <t>反向</t>
        </is>
      </c>
      <c r="G103" s="2" t="inlineStr">
        <is>
          <t>闫东朋</t>
        </is>
      </c>
      <c r="H103" s="2" t="inlineStr">
        <is>
          <t>闫东朋车队</t>
        </is>
      </c>
      <c r="I103" s="2" t="inlineStr">
        <is>
          <t>废钢</t>
        </is>
      </c>
      <c r="J103" s="2" t="inlineStr">
        <is>
          <t>重废3</t>
        </is>
      </c>
      <c r="K103" s="9" t="n">
        <v>0.15</v>
      </c>
      <c r="L103" s="9" t="n">
        <v>15.216</v>
      </c>
      <c r="M103" s="12" t="n">
        <v>2510</v>
      </c>
      <c r="N103" s="10" t="n">
        <v>0</v>
      </c>
      <c r="O103" s="10" t="n">
        <v>38192.16</v>
      </c>
    </row>
    <row r="104">
      <c r="A104" s="2" t="n">
        <v>82</v>
      </c>
      <c r="B104" s="8" t="n">
        <v>46281</v>
      </c>
      <c r="C104" s="2" t="inlineStr">
        <is>
          <t>皖AK6033</t>
        </is>
      </c>
      <c r="D104" s="2" t="inlineStr">
        <is>
          <t>车</t>
        </is>
      </c>
      <c r="E104" s="2" t="inlineStr">
        <is>
          <t>配票/反向</t>
        </is>
      </c>
      <c r="F104" s="2" t="inlineStr">
        <is>
          <t>配票</t>
        </is>
      </c>
      <c r="G104" s="2" t="n"/>
      <c r="H104" s="2" t="inlineStr">
        <is>
          <t>未填供货厂</t>
        </is>
      </c>
      <c r="I104" s="2" t="inlineStr">
        <is>
          <t>废钢</t>
        </is>
      </c>
      <c r="J104" s="2" t="inlineStr">
        <is>
          <t>小废</t>
        </is>
      </c>
      <c r="K104" s="9" t="n">
        <v>0.6</v>
      </c>
      <c r="L104" s="9" t="n">
        <v>41.42</v>
      </c>
      <c r="M104" s="12" t="n">
        <v>2320</v>
      </c>
      <c r="N104" s="10" t="n">
        <v>0</v>
      </c>
      <c r="O104" s="10" t="n">
        <v>96094.39999999999</v>
      </c>
    </row>
    <row r="105">
      <c r="A105" s="2" t="n">
        <v>83</v>
      </c>
      <c r="B105" s="8" t="n">
        <v>46282</v>
      </c>
      <c r="C105" s="2" t="inlineStr">
        <is>
          <t>苏DBE075</t>
        </is>
      </c>
      <c r="D105" s="2" t="inlineStr">
        <is>
          <t>车</t>
        </is>
      </c>
      <c r="E105" s="2" t="inlineStr">
        <is>
          <t>带票带货</t>
        </is>
      </c>
      <c r="F105" s="2" t="inlineStr">
        <is>
          <t>直签带票</t>
        </is>
      </c>
      <c r="G105" s="2" t="inlineStr">
        <is>
          <t>林凯</t>
        </is>
      </c>
      <c r="H105" s="2" t="inlineStr">
        <is>
          <t>力拓</t>
        </is>
      </c>
      <c r="I105" s="2" t="inlineStr">
        <is>
          <t>铁水罐压块类</t>
        </is>
      </c>
      <c r="J105" s="2" t="inlineStr">
        <is>
          <t>铁加压块</t>
        </is>
      </c>
      <c r="K105" s="9" t="n">
        <v>0.4</v>
      </c>
      <c r="L105" s="9" t="n">
        <v>81.45999999999999</v>
      </c>
      <c r="M105" s="12" t="n">
        <v>2530</v>
      </c>
      <c r="N105" s="10" t="n">
        <v>0</v>
      </c>
      <c r="O105" s="10" t="n">
        <v>206093.8</v>
      </c>
    </row>
    <row r="106">
      <c r="A106" s="2" t="n">
        <v>84</v>
      </c>
      <c r="B106" s="8" t="n">
        <v>46282</v>
      </c>
      <c r="C106" s="2" t="inlineStr">
        <is>
          <t>皖AP1626</t>
        </is>
      </c>
      <c r="D106" s="2" t="inlineStr">
        <is>
          <t>车</t>
        </is>
      </c>
      <c r="E106" s="2" t="inlineStr">
        <is>
          <t>配票/反向</t>
        </is>
      </c>
      <c r="F106" s="2" t="inlineStr">
        <is>
          <t>反向</t>
        </is>
      </c>
      <c r="G106" s="2" t="inlineStr">
        <is>
          <t>闫东朋</t>
        </is>
      </c>
      <c r="H106" s="2" t="inlineStr">
        <is>
          <t>闫东朋车队</t>
        </is>
      </c>
      <c r="I106" s="2" t="inlineStr">
        <is>
          <t>废钢</t>
        </is>
      </c>
      <c r="J106" s="2" t="inlineStr">
        <is>
          <t>中废1</t>
        </is>
      </c>
      <c r="K106" s="9" t="n">
        <v>0.63</v>
      </c>
      <c r="L106" s="9" t="n">
        <v>36.4</v>
      </c>
      <c r="M106" s="12" t="n">
        <v>2420</v>
      </c>
      <c r="N106" s="10" t="n">
        <v>0</v>
      </c>
      <c r="O106" s="10" t="n">
        <v>88088</v>
      </c>
    </row>
    <row r="107">
      <c r="A107" s="2" t="n">
        <v>84</v>
      </c>
      <c r="B107" s="8" t="n">
        <v>46282</v>
      </c>
      <c r="C107" s="2" t="inlineStr">
        <is>
          <t>皖AP1626</t>
        </is>
      </c>
      <c r="D107" s="2" t="inlineStr">
        <is>
          <t>车</t>
        </is>
      </c>
      <c r="E107" s="2" t="inlineStr">
        <is>
          <t>配票/反向</t>
        </is>
      </c>
      <c r="F107" s="2" t="inlineStr">
        <is>
          <t>反向</t>
        </is>
      </c>
      <c r="G107" s="2" t="inlineStr">
        <is>
          <t>闫东朋</t>
        </is>
      </c>
      <c r="H107" s="2" t="inlineStr">
        <is>
          <t>闫东朋车队</t>
        </is>
      </c>
      <c r="I107" s="2" t="inlineStr">
        <is>
          <t>废钢</t>
        </is>
      </c>
      <c r="J107" s="2" t="inlineStr">
        <is>
          <t>剪切中废1</t>
        </is>
      </c>
      <c r="K107" s="9" t="n">
        <v>0.27</v>
      </c>
      <c r="L107" s="9" t="n">
        <v>15.6</v>
      </c>
      <c r="M107" s="12" t="n">
        <v>2450</v>
      </c>
      <c r="N107" s="10" t="n">
        <v>0</v>
      </c>
      <c r="O107" s="10" t="n">
        <v>38220</v>
      </c>
    </row>
    <row r="108">
      <c r="A108" s="2" t="n">
        <v>85</v>
      </c>
      <c r="B108" s="8" t="n">
        <v>46282</v>
      </c>
      <c r="C108" s="2" t="inlineStr">
        <is>
          <t>苏J19371</t>
        </is>
      </c>
      <c r="D108" s="2" t="inlineStr">
        <is>
          <t>车</t>
        </is>
      </c>
      <c r="E108" s="2" t="inlineStr">
        <is>
          <t>配票/反向</t>
        </is>
      </c>
      <c r="F108" s="2" t="inlineStr">
        <is>
          <t>反向</t>
        </is>
      </c>
      <c r="G108" s="2" t="inlineStr">
        <is>
          <t>闫东朋</t>
        </is>
      </c>
      <c r="H108" s="2" t="inlineStr">
        <is>
          <t>闫东朋车队</t>
        </is>
      </c>
      <c r="I108" s="2" t="inlineStr">
        <is>
          <t>铁水罐压块类</t>
        </is>
      </c>
      <c r="J108" s="2" t="inlineStr">
        <is>
          <t>铁加压块</t>
        </is>
      </c>
      <c r="K108" s="9" t="n">
        <v>0.5</v>
      </c>
      <c r="L108" s="9" t="n">
        <v>73.54000000000001</v>
      </c>
      <c r="M108" s="12" t="n">
        <v>2530</v>
      </c>
      <c r="N108" s="10" t="n">
        <v>0</v>
      </c>
      <c r="O108" s="10" t="n">
        <v>186056.2</v>
      </c>
    </row>
    <row r="109">
      <c r="A109" s="2" t="n">
        <v>86</v>
      </c>
      <c r="B109" s="8" t="n">
        <v>46282</v>
      </c>
      <c r="C109" s="2" t="inlineStr">
        <is>
          <t>苏DBE075</t>
        </is>
      </c>
      <c r="D109" s="2" t="inlineStr">
        <is>
          <t>车</t>
        </is>
      </c>
      <c r="E109" s="2" t="inlineStr">
        <is>
          <t>带票带货</t>
        </is>
      </c>
      <c r="F109" s="2" t="inlineStr">
        <is>
          <t>直签带票</t>
        </is>
      </c>
      <c r="G109" s="2" t="inlineStr">
        <is>
          <t>林凯</t>
        </is>
      </c>
      <c r="H109" s="2" t="inlineStr">
        <is>
          <t>君盛</t>
        </is>
      </c>
      <c r="I109" s="2" t="inlineStr">
        <is>
          <t>废钢压块类</t>
        </is>
      </c>
      <c r="J109" s="2" t="inlineStr">
        <is>
          <t>废钢压块3</t>
        </is>
      </c>
      <c r="K109" s="9" t="n">
        <v>0.315</v>
      </c>
      <c r="L109" s="9" t="n">
        <v>20.853</v>
      </c>
      <c r="M109" s="12" t="n">
        <v>2290</v>
      </c>
      <c r="N109" s="10" t="n">
        <v>0</v>
      </c>
      <c r="O109" s="10" t="n">
        <v>47753.37</v>
      </c>
    </row>
    <row r="110">
      <c r="A110" s="2" t="n">
        <v>86</v>
      </c>
      <c r="B110" s="8" t="n">
        <v>46282</v>
      </c>
      <c r="C110" s="2" t="inlineStr">
        <is>
          <t>苏DBE075</t>
        </is>
      </c>
      <c r="D110" s="2" t="inlineStr">
        <is>
          <t>车</t>
        </is>
      </c>
      <c r="E110" s="2" t="inlineStr">
        <is>
          <t>带票带货</t>
        </is>
      </c>
      <c r="F110" s="2" t="inlineStr">
        <is>
          <t>直签带票</t>
        </is>
      </c>
      <c r="G110" s="2" t="inlineStr">
        <is>
          <t>林凯</t>
        </is>
      </c>
      <c r="H110" s="2" t="inlineStr">
        <is>
          <t>君盛</t>
        </is>
      </c>
      <c r="I110" s="2" t="inlineStr">
        <is>
          <t>废钢压块类</t>
        </is>
      </c>
      <c r="J110" s="2" t="inlineStr">
        <is>
          <t>废钢压块2</t>
        </is>
      </c>
      <c r="K110" s="9" t="n">
        <v>0.135</v>
      </c>
      <c r="L110" s="9" t="n">
        <v>8.936999999999999</v>
      </c>
      <c r="M110" s="12" t="n">
        <v>2330</v>
      </c>
      <c r="N110" s="10" t="n">
        <v>0</v>
      </c>
      <c r="O110" s="10" t="n">
        <v>20823.21</v>
      </c>
    </row>
    <row r="111">
      <c r="A111" s="2" t="n">
        <v>87</v>
      </c>
      <c r="B111" s="8" t="n">
        <v>46282</v>
      </c>
      <c r="C111" s="2" t="inlineStr">
        <is>
          <t>苏DBB772</t>
        </is>
      </c>
      <c r="D111" s="2" t="inlineStr">
        <is>
          <t>车</t>
        </is>
      </c>
      <c r="E111" s="2" t="inlineStr">
        <is>
          <t>带票带货</t>
        </is>
      </c>
      <c r="F111" s="2" t="inlineStr">
        <is>
          <t>直签带票</t>
        </is>
      </c>
      <c r="G111" s="2" t="inlineStr">
        <is>
          <t>林凯</t>
        </is>
      </c>
      <c r="H111" s="2" t="inlineStr">
        <is>
          <t>君盛</t>
        </is>
      </c>
      <c r="I111" s="2" t="inlineStr">
        <is>
          <t>废钢压块类</t>
        </is>
      </c>
      <c r="J111" s="2" t="inlineStr">
        <is>
          <t>废钢压块3</t>
        </is>
      </c>
      <c r="K111" s="9" t="n">
        <v>1.12</v>
      </c>
      <c r="L111" s="9" t="n">
        <v>20.188</v>
      </c>
      <c r="M111" s="12" t="n">
        <v>2290</v>
      </c>
      <c r="N111" s="10" t="n">
        <v>0</v>
      </c>
      <c r="O111" s="10" t="n">
        <v>46230.52</v>
      </c>
    </row>
    <row r="112">
      <c r="A112" s="2" t="n">
        <v>87</v>
      </c>
      <c r="B112" s="8" t="n">
        <v>46282</v>
      </c>
      <c r="C112" s="2" t="inlineStr">
        <is>
          <t>苏DBB772</t>
        </is>
      </c>
      <c r="D112" s="2" t="inlineStr">
        <is>
          <t>车</t>
        </is>
      </c>
      <c r="E112" s="2" t="inlineStr">
        <is>
          <t>带票带货</t>
        </is>
      </c>
      <c r="F112" s="2" t="inlineStr">
        <is>
          <t>直签带票</t>
        </is>
      </c>
      <c r="G112" s="2" t="inlineStr">
        <is>
          <t>林凯</t>
        </is>
      </c>
      <c r="H112" s="2" t="inlineStr">
        <is>
          <t>君盛</t>
        </is>
      </c>
      <c r="I112" s="2" t="inlineStr">
        <is>
          <t>废钢压块类</t>
        </is>
      </c>
      <c r="J112" s="2" t="inlineStr">
        <is>
          <t>废钢压块2</t>
        </is>
      </c>
      <c r="K112" s="9" t="n">
        <v>0.48</v>
      </c>
      <c r="L112" s="9" t="n">
        <v>8.651999999999999</v>
      </c>
      <c r="M112" s="12" t="n">
        <v>2330</v>
      </c>
      <c r="N112" s="10" t="n">
        <v>0</v>
      </c>
      <c r="O112" s="10" t="n">
        <v>20159.16</v>
      </c>
    </row>
    <row r="113">
      <c r="A113" s="2" t="n">
        <v>89</v>
      </c>
      <c r="B113" s="8" t="n">
        <v>46283</v>
      </c>
      <c r="C113" s="2" t="inlineStr">
        <is>
          <t>苏DBB772</t>
        </is>
      </c>
      <c r="D113" s="2" t="inlineStr">
        <is>
          <t>车</t>
        </is>
      </c>
      <c r="E113" s="2" t="inlineStr">
        <is>
          <t>带票带货</t>
        </is>
      </c>
      <c r="F113" s="2" t="inlineStr">
        <is>
          <t>直签带票</t>
        </is>
      </c>
      <c r="G113" s="2" t="inlineStr">
        <is>
          <t>林凯</t>
        </is>
      </c>
      <c r="H113" s="2" t="inlineStr">
        <is>
          <t>君盛</t>
        </is>
      </c>
      <c r="I113" s="2" t="inlineStr">
        <is>
          <t>废钢</t>
        </is>
      </c>
      <c r="J113" s="2" t="inlineStr">
        <is>
          <t>中废1</t>
        </is>
      </c>
      <c r="K113" s="9" t="n">
        <v>0.8</v>
      </c>
      <c r="L113" s="9" t="n">
        <v>83.73999999999999</v>
      </c>
      <c r="M113" s="12" t="n">
        <v>2420</v>
      </c>
      <c r="N113" s="10" t="n">
        <v>0</v>
      </c>
      <c r="O113" s="10" t="n">
        <v>202650.8</v>
      </c>
    </row>
    <row r="114">
      <c r="A114" s="2" t="n">
        <v>90</v>
      </c>
      <c r="B114" s="8" t="n">
        <v>46283</v>
      </c>
      <c r="C114" s="2" t="inlineStr">
        <is>
          <t>苏NEN536</t>
        </is>
      </c>
      <c r="D114" s="2" t="inlineStr">
        <is>
          <t>车</t>
        </is>
      </c>
      <c r="E114" s="2" t="inlineStr">
        <is>
          <t>配票/反向</t>
        </is>
      </c>
      <c r="F114" s="2" t="inlineStr">
        <is>
          <t>配票</t>
        </is>
      </c>
      <c r="G114" s="2" t="inlineStr">
        <is>
          <t>林凯</t>
        </is>
      </c>
      <c r="H114" s="2" t="inlineStr">
        <is>
          <t>林凯车队</t>
        </is>
      </c>
      <c r="I114" s="2" t="inlineStr">
        <is>
          <t>废钢压块类</t>
        </is>
      </c>
      <c r="J114" s="2" t="inlineStr">
        <is>
          <t>废钢压块2</t>
        </is>
      </c>
      <c r="K114" s="9" t="n">
        <v>0.5</v>
      </c>
      <c r="L114" s="9" t="n">
        <v>34.02</v>
      </c>
      <c r="M114" s="12" t="n">
        <v>2330</v>
      </c>
      <c r="N114" s="10" t="n">
        <v>0</v>
      </c>
      <c r="O114" s="10" t="n">
        <v>79266.60000000001</v>
      </c>
    </row>
    <row r="115">
      <c r="A115" s="2" t="n">
        <v>91</v>
      </c>
      <c r="B115" s="8" t="n">
        <v>46283</v>
      </c>
      <c r="C115" s="2" t="inlineStr">
        <is>
          <t>苏DBE075</t>
        </is>
      </c>
      <c r="D115" s="2" t="inlineStr">
        <is>
          <t>车</t>
        </is>
      </c>
      <c r="E115" s="2" t="inlineStr">
        <is>
          <t>带票带货</t>
        </is>
      </c>
      <c r="F115" s="2" t="inlineStr">
        <is>
          <t>直签带票</t>
        </is>
      </c>
      <c r="G115" s="2" t="inlineStr">
        <is>
          <t>林凯</t>
        </is>
      </c>
      <c r="H115" s="2" t="inlineStr">
        <is>
          <t>君盛</t>
        </is>
      </c>
      <c r="I115" s="2" t="inlineStr">
        <is>
          <t>废钢压块类</t>
        </is>
      </c>
      <c r="J115" s="2" t="inlineStr">
        <is>
          <t>废钢压块3</t>
        </is>
      </c>
      <c r="K115" s="9" t="n">
        <v>0.42</v>
      </c>
      <c r="L115" s="9" t="n">
        <v>21.504</v>
      </c>
      <c r="M115" s="12" t="n">
        <v>2290</v>
      </c>
      <c r="N115" s="10" t="n">
        <v>0</v>
      </c>
      <c r="O115" s="10" t="n">
        <v>49244.16</v>
      </c>
    </row>
    <row r="116">
      <c r="A116" s="2" t="n">
        <v>91</v>
      </c>
      <c r="B116" s="8" t="n">
        <v>46283</v>
      </c>
      <c r="C116" s="2" t="inlineStr">
        <is>
          <t>苏DBE075</t>
        </is>
      </c>
      <c r="D116" s="2" t="inlineStr">
        <is>
          <t>车</t>
        </is>
      </c>
      <c r="E116" s="2" t="inlineStr">
        <is>
          <t>带票带货</t>
        </is>
      </c>
      <c r="F116" s="2" t="inlineStr">
        <is>
          <t>直签带票</t>
        </is>
      </c>
      <c r="G116" s="2" t="inlineStr">
        <is>
          <t>林凯</t>
        </is>
      </c>
      <c r="H116" s="2" t="inlineStr">
        <is>
          <t>君盛</t>
        </is>
      </c>
      <c r="I116" s="2" t="inlineStr">
        <is>
          <t>废钢压块类</t>
        </is>
      </c>
      <c r="J116" s="2" t="inlineStr">
        <is>
          <t>废钢压块2</t>
        </is>
      </c>
      <c r="K116" s="9" t="n">
        <v>0.18</v>
      </c>
      <c r="L116" s="9" t="n">
        <v>9.215999999999999</v>
      </c>
      <c r="M116" s="12" t="n">
        <v>2330</v>
      </c>
      <c r="N116" s="10" t="n">
        <v>0</v>
      </c>
      <c r="O116" s="10" t="n">
        <v>21473.28</v>
      </c>
    </row>
    <row r="117">
      <c r="A117" s="2" t="n">
        <v>92</v>
      </c>
      <c r="B117" s="8" t="n">
        <v>46283</v>
      </c>
      <c r="C117" s="2" t="inlineStr">
        <is>
          <t>苏DBB772</t>
        </is>
      </c>
      <c r="D117" s="2" t="inlineStr">
        <is>
          <t>车</t>
        </is>
      </c>
      <c r="E117" s="2" t="inlineStr">
        <is>
          <t>带票带货</t>
        </is>
      </c>
      <c r="F117" s="2" t="inlineStr">
        <is>
          <t>直签带票</t>
        </is>
      </c>
      <c r="G117" s="2" t="inlineStr">
        <is>
          <t>林凯</t>
        </is>
      </c>
      <c r="H117" s="2" t="inlineStr">
        <is>
          <t>君盛</t>
        </is>
      </c>
      <c r="I117" s="2" t="inlineStr">
        <is>
          <t>废钢压块类</t>
        </is>
      </c>
      <c r="J117" s="2" t="inlineStr">
        <is>
          <t>废钢压块3</t>
        </is>
      </c>
      <c r="K117" s="9" t="n">
        <v>0.42</v>
      </c>
      <c r="L117" s="9" t="n">
        <v>21.924</v>
      </c>
      <c r="M117" s="12" t="n">
        <v>2290</v>
      </c>
      <c r="N117" s="10" t="n">
        <v>0</v>
      </c>
      <c r="O117" s="10" t="n">
        <v>50205.96</v>
      </c>
    </row>
    <row r="118">
      <c r="A118" s="2" t="n">
        <v>92</v>
      </c>
      <c r="B118" s="8" t="n">
        <v>46283</v>
      </c>
      <c r="C118" s="2" t="inlineStr">
        <is>
          <t>苏DBB772</t>
        </is>
      </c>
      <c r="D118" s="2" t="inlineStr">
        <is>
          <t>车</t>
        </is>
      </c>
      <c r="E118" s="2" t="inlineStr">
        <is>
          <t>带票带货</t>
        </is>
      </c>
      <c r="F118" s="2" t="inlineStr">
        <is>
          <t>直签带票</t>
        </is>
      </c>
      <c r="G118" s="2" t="inlineStr">
        <is>
          <t>林凯</t>
        </is>
      </c>
      <c r="H118" s="2" t="inlineStr">
        <is>
          <t>君盛</t>
        </is>
      </c>
      <c r="I118" s="2" t="inlineStr">
        <is>
          <t>废钢压块类</t>
        </is>
      </c>
      <c r="J118" s="2" t="inlineStr">
        <is>
          <t>废钢压块2</t>
        </is>
      </c>
      <c r="K118" s="9" t="n">
        <v>0.18</v>
      </c>
      <c r="L118" s="9" t="n">
        <v>9.396000000000001</v>
      </c>
      <c r="M118" s="12" t="n">
        <v>2330</v>
      </c>
      <c r="N118" s="10" t="n">
        <v>0</v>
      </c>
      <c r="O118" s="10" t="n">
        <v>21892.68</v>
      </c>
    </row>
    <row r="119">
      <c r="A119" s="2" t="n">
        <v>93</v>
      </c>
      <c r="B119" s="8" t="n">
        <v>46283</v>
      </c>
      <c r="C119" s="2" t="inlineStr">
        <is>
          <t>苏通源货6666</t>
        </is>
      </c>
      <c r="D119" s="2" t="inlineStr">
        <is>
          <t>船</t>
        </is>
      </c>
      <c r="E119" s="2" t="inlineStr">
        <is>
          <t>配票/反向</t>
        </is>
      </c>
      <c r="F119" s="2" t="inlineStr">
        <is>
          <t>反向</t>
        </is>
      </c>
      <c r="G119" s="2" t="n"/>
      <c r="H119" s="2" t="inlineStr">
        <is>
          <t>尹鹏飞</t>
        </is>
      </c>
      <c r="I119" s="2" t="n"/>
      <c r="J119" s="2" t="inlineStr">
        <is>
          <t>未分货型(混料)</t>
        </is>
      </c>
      <c r="K119" s="9" t="n">
        <v>7.97</v>
      </c>
      <c r="L119" s="9" t="n">
        <v>646.85</v>
      </c>
      <c r="M119" s="12" t="n">
        <v>0</v>
      </c>
      <c r="N119" s="10" t="n">
        <v>0</v>
      </c>
      <c r="O119" s="10" t="n">
        <v>1563945.84</v>
      </c>
    </row>
    <row r="120">
      <c r="A120" s="2" t="n">
        <v>94</v>
      </c>
      <c r="B120" s="8" t="n">
        <v>46284</v>
      </c>
      <c r="C120" s="2" t="inlineStr">
        <is>
          <t>皖AP7737</t>
        </is>
      </c>
      <c r="D120" s="2" t="inlineStr">
        <is>
          <t>车</t>
        </is>
      </c>
      <c r="E120" s="2" t="inlineStr">
        <is>
          <t>配票/反向</t>
        </is>
      </c>
      <c r="F120" s="2" t="inlineStr">
        <is>
          <t>反向</t>
        </is>
      </c>
      <c r="G120" s="2" t="inlineStr">
        <is>
          <t>闫东朋</t>
        </is>
      </c>
      <c r="H120" s="2" t="inlineStr">
        <is>
          <t>闫东朋车队</t>
        </is>
      </c>
      <c r="I120" s="2" t="inlineStr">
        <is>
          <t>废钢</t>
        </is>
      </c>
      <c r="J120" s="2" t="inlineStr">
        <is>
          <t>重废3</t>
        </is>
      </c>
      <c r="K120" s="9" t="n">
        <v>0.3</v>
      </c>
      <c r="L120" s="9" t="n">
        <v>30.22</v>
      </c>
      <c r="M120" s="12" t="n">
        <v>2510</v>
      </c>
      <c r="N120" s="10" t="n">
        <v>0</v>
      </c>
      <c r="O120" s="10" t="n">
        <v>75852.2</v>
      </c>
    </row>
    <row r="121">
      <c r="A121" s="2" t="n">
        <v>95</v>
      </c>
      <c r="B121" s="8" t="n">
        <v>46284</v>
      </c>
      <c r="C121" s="2" t="inlineStr">
        <is>
          <t>苏GE2356</t>
        </is>
      </c>
      <c r="D121" s="2" t="inlineStr">
        <is>
          <t>车</t>
        </is>
      </c>
      <c r="E121" s="2" t="inlineStr">
        <is>
          <t>配票/反向</t>
        </is>
      </c>
      <c r="F121" s="2" t="inlineStr">
        <is>
          <t>配票</t>
        </is>
      </c>
      <c r="G121" s="2" t="inlineStr">
        <is>
          <t>林凯</t>
        </is>
      </c>
      <c r="H121" s="2" t="inlineStr">
        <is>
          <t>林凯车队</t>
        </is>
      </c>
      <c r="I121" s="2" t="inlineStr">
        <is>
          <t>废钢压块类</t>
        </is>
      </c>
      <c r="J121" s="2" t="inlineStr">
        <is>
          <t>废钢压块2</t>
        </is>
      </c>
      <c r="K121" s="9" t="n">
        <v>0.6</v>
      </c>
      <c r="L121" s="9" t="n">
        <v>33.86</v>
      </c>
      <c r="M121" s="12" t="n">
        <v>2330</v>
      </c>
      <c r="N121" s="10" t="n">
        <v>100</v>
      </c>
      <c r="O121" s="10" t="n">
        <v>78793.8</v>
      </c>
    </row>
    <row r="122">
      <c r="A122" s="2" t="n">
        <v>96</v>
      </c>
      <c r="B122" s="8" t="n">
        <v>46284</v>
      </c>
      <c r="C122" s="2" t="inlineStr">
        <is>
          <t>苏NHY179</t>
        </is>
      </c>
      <c r="D122" s="2" t="inlineStr">
        <is>
          <t>车</t>
        </is>
      </c>
      <c r="E122" s="2" t="inlineStr">
        <is>
          <t>配票/反向</t>
        </is>
      </c>
      <c r="F122" s="2" t="inlineStr">
        <is>
          <t>配票</t>
        </is>
      </c>
      <c r="G122" s="2" t="inlineStr">
        <is>
          <t>林凯</t>
        </is>
      </c>
      <c r="H122" s="2" t="inlineStr">
        <is>
          <t>林凯车队</t>
        </is>
      </c>
      <c r="I122" s="2" t="inlineStr">
        <is>
          <t>废钢压块类</t>
        </is>
      </c>
      <c r="J122" s="2" t="inlineStr">
        <is>
          <t>废钢压块2</t>
        </is>
      </c>
      <c r="K122" s="9" t="n">
        <v>0.42</v>
      </c>
      <c r="L122" s="9" t="n">
        <v>23.772</v>
      </c>
      <c r="M122" s="12" t="n">
        <v>2330</v>
      </c>
      <c r="N122" s="10" t="n">
        <v>70</v>
      </c>
      <c r="O122" s="10" t="n">
        <v>55318.76</v>
      </c>
    </row>
    <row r="123">
      <c r="A123" s="2" t="n">
        <v>96</v>
      </c>
      <c r="B123" s="8" t="n">
        <v>46284</v>
      </c>
      <c r="C123" s="2" t="inlineStr">
        <is>
          <t>苏NHY179</t>
        </is>
      </c>
      <c r="D123" s="2" t="inlineStr">
        <is>
          <t>车</t>
        </is>
      </c>
      <c r="E123" s="2" t="inlineStr">
        <is>
          <t>配票/反向</t>
        </is>
      </c>
      <c r="F123" s="2" t="inlineStr">
        <is>
          <t>配票</t>
        </is>
      </c>
      <c r="G123" s="2" t="inlineStr">
        <is>
          <t>林凯</t>
        </is>
      </c>
      <c r="H123" s="2" t="inlineStr">
        <is>
          <t>林凯车队</t>
        </is>
      </c>
      <c r="I123" s="2" t="inlineStr">
        <is>
          <t>废钢压块类</t>
        </is>
      </c>
      <c r="J123" s="2" t="inlineStr">
        <is>
          <t>废钢压块3</t>
        </is>
      </c>
      <c r="K123" s="9" t="n">
        <v>0.18</v>
      </c>
      <c r="L123" s="9" t="n">
        <v>10.188</v>
      </c>
      <c r="M123" s="12" t="n">
        <v>2290</v>
      </c>
      <c r="N123" s="10" t="n">
        <v>30</v>
      </c>
      <c r="O123" s="10" t="n">
        <v>23300.52</v>
      </c>
    </row>
    <row r="124">
      <c r="A124" s="2" t="n">
        <v>97</v>
      </c>
      <c r="B124" s="8" t="n">
        <v>46284</v>
      </c>
      <c r="C124" s="2" t="inlineStr">
        <is>
          <t>皖SG1498</t>
        </is>
      </c>
      <c r="D124" s="2" t="inlineStr">
        <is>
          <t>车</t>
        </is>
      </c>
      <c r="E124" s="2" t="inlineStr">
        <is>
          <t>带票带货</t>
        </is>
      </c>
      <c r="F124" s="2" t="inlineStr">
        <is>
          <t>直签带票</t>
        </is>
      </c>
      <c r="G124" s="2" t="inlineStr">
        <is>
          <t>林凯</t>
        </is>
      </c>
      <c r="H124" s="2" t="inlineStr">
        <is>
          <t>兴德</t>
        </is>
      </c>
      <c r="I124" s="2" t="inlineStr">
        <is>
          <t>废钢</t>
        </is>
      </c>
      <c r="J124" s="2" t="inlineStr">
        <is>
          <t>重废3</t>
        </is>
      </c>
      <c r="K124" s="9" t="n">
        <v>5.6</v>
      </c>
      <c r="L124" s="9" t="n">
        <v>30.06</v>
      </c>
      <c r="M124" s="12" t="n">
        <v>2510</v>
      </c>
      <c r="N124" s="10" t="n">
        <v>0</v>
      </c>
      <c r="O124" s="10" t="n">
        <v>75450.60000000001</v>
      </c>
    </row>
    <row r="125">
      <c r="A125" s="2" t="n">
        <v>98</v>
      </c>
      <c r="B125" s="8" t="n">
        <v>46285</v>
      </c>
      <c r="C125" s="2" t="inlineStr">
        <is>
          <t>苏DBB772</t>
        </is>
      </c>
      <c r="D125" s="2" t="inlineStr">
        <is>
          <t>车</t>
        </is>
      </c>
      <c r="E125" s="2" t="inlineStr">
        <is>
          <t>带票带货</t>
        </is>
      </c>
      <c r="F125" s="2" t="inlineStr">
        <is>
          <t>直签带票</t>
        </is>
      </c>
      <c r="G125" s="2" t="inlineStr">
        <is>
          <t>林凯</t>
        </is>
      </c>
      <c r="H125" s="2" t="inlineStr">
        <is>
          <t>君盛</t>
        </is>
      </c>
      <c r="I125" s="2" t="inlineStr">
        <is>
          <t>废钢压块类</t>
        </is>
      </c>
      <c r="J125" s="2" t="inlineStr">
        <is>
          <t>废钢压块2</t>
        </is>
      </c>
      <c r="K125" s="9" t="n">
        <v>0.49</v>
      </c>
      <c r="L125" s="9" t="n">
        <v>22.484</v>
      </c>
      <c r="M125" s="12" t="n">
        <v>2290</v>
      </c>
      <c r="N125" s="10" t="n">
        <v>0</v>
      </c>
      <c r="O125" s="10" t="n">
        <v>51488.36</v>
      </c>
    </row>
    <row r="126">
      <c r="A126" s="2" t="n">
        <v>98</v>
      </c>
      <c r="B126" s="8" t="n">
        <v>46285</v>
      </c>
      <c r="C126" s="2" t="inlineStr">
        <is>
          <t>苏DBB772</t>
        </is>
      </c>
      <c r="D126" s="2" t="inlineStr">
        <is>
          <t>车</t>
        </is>
      </c>
      <c r="E126" s="2" t="inlineStr">
        <is>
          <t>带票带货</t>
        </is>
      </c>
      <c r="F126" s="2" t="inlineStr">
        <is>
          <t>直签带票</t>
        </is>
      </c>
      <c r="G126" s="2" t="inlineStr">
        <is>
          <t>林凯</t>
        </is>
      </c>
      <c r="H126" s="2" t="inlineStr">
        <is>
          <t>君盛</t>
        </is>
      </c>
      <c r="I126" s="2" t="inlineStr">
        <is>
          <t>废钢压块类</t>
        </is>
      </c>
      <c r="J126" s="2" t="inlineStr">
        <is>
          <t>废钢压块3</t>
        </is>
      </c>
      <c r="K126" s="9" t="n">
        <v>0.21</v>
      </c>
      <c r="L126" s="9" t="n">
        <v>9.635999999999999</v>
      </c>
      <c r="M126" s="12" t="n">
        <v>2330</v>
      </c>
      <c r="N126" s="10" t="n">
        <v>0</v>
      </c>
      <c r="O126" s="10" t="n">
        <v>22451.88</v>
      </c>
    </row>
    <row r="127">
      <c r="A127" s="2" t="n">
        <v>99</v>
      </c>
      <c r="B127" s="8" t="n">
        <v>46285</v>
      </c>
      <c r="C127" s="2" t="inlineStr">
        <is>
          <t>苏DBE075</t>
        </is>
      </c>
      <c r="D127" s="2" t="inlineStr">
        <is>
          <t>车</t>
        </is>
      </c>
      <c r="E127" s="2" t="inlineStr">
        <is>
          <t>带票带货</t>
        </is>
      </c>
      <c r="F127" s="2" t="inlineStr">
        <is>
          <t>直签带票</t>
        </is>
      </c>
      <c r="G127" s="2" t="inlineStr">
        <is>
          <t>林凯</t>
        </is>
      </c>
      <c r="H127" s="2" t="inlineStr">
        <is>
          <t>君盛</t>
        </is>
      </c>
      <c r="I127" s="2" t="inlineStr">
        <is>
          <t>废钢压块类</t>
        </is>
      </c>
      <c r="J127" s="2" t="inlineStr">
        <is>
          <t>废钢压块2</t>
        </is>
      </c>
      <c r="K127" s="9" t="n">
        <v>0.42</v>
      </c>
      <c r="L127" s="9" t="n">
        <v>22.904</v>
      </c>
      <c r="M127" s="12" t="n">
        <v>2290</v>
      </c>
      <c r="N127" s="10" t="n">
        <v>0</v>
      </c>
      <c r="O127" s="10" t="n">
        <v>52450.16</v>
      </c>
    </row>
    <row r="128">
      <c r="A128" s="2" t="n">
        <v>99</v>
      </c>
      <c r="B128" s="8" t="n">
        <v>46285</v>
      </c>
      <c r="C128" s="2" t="inlineStr">
        <is>
          <t>苏DBE075</t>
        </is>
      </c>
      <c r="D128" s="2" t="inlineStr">
        <is>
          <t>车</t>
        </is>
      </c>
      <c r="E128" s="2" t="inlineStr">
        <is>
          <t>带票带货</t>
        </is>
      </c>
      <c r="F128" s="2" t="inlineStr">
        <is>
          <t>直签带票</t>
        </is>
      </c>
      <c r="G128" s="2" t="inlineStr">
        <is>
          <t>林凯</t>
        </is>
      </c>
      <c r="H128" s="2" t="inlineStr">
        <is>
          <t>君盛</t>
        </is>
      </c>
      <c r="I128" s="2" t="inlineStr">
        <is>
          <t>废钢压块类</t>
        </is>
      </c>
      <c r="J128" s="2" t="inlineStr">
        <is>
          <t>废钢压块3</t>
        </is>
      </c>
      <c r="K128" s="9" t="n">
        <v>0.18</v>
      </c>
      <c r="L128" s="9" t="n">
        <v>9.816000000000001</v>
      </c>
      <c r="M128" s="12" t="n">
        <v>2330</v>
      </c>
      <c r="N128" s="10" t="n">
        <v>0</v>
      </c>
      <c r="O128" s="10" t="n">
        <v>22871.28</v>
      </c>
    </row>
    <row r="129">
      <c r="A129" s="2" t="n">
        <v>100</v>
      </c>
      <c r="B129" s="8" t="n">
        <v>46285</v>
      </c>
      <c r="C129" s="2" t="inlineStr">
        <is>
          <t>苏BYR535</t>
        </is>
      </c>
      <c r="D129" s="2" t="inlineStr">
        <is>
          <t>车</t>
        </is>
      </c>
      <c r="E129" s="2" t="inlineStr">
        <is>
          <t>带票带货</t>
        </is>
      </c>
      <c r="F129" s="2" t="inlineStr">
        <is>
          <t>直签带票</t>
        </is>
      </c>
      <c r="G129" s="2" t="inlineStr">
        <is>
          <t>林凯</t>
        </is>
      </c>
      <c r="H129" s="2" t="inlineStr">
        <is>
          <t>兴德</t>
        </is>
      </c>
      <c r="I129" s="2" t="inlineStr">
        <is>
          <t>废钢</t>
        </is>
      </c>
      <c r="J129" s="2" t="inlineStr">
        <is>
          <t>重废1</t>
        </is>
      </c>
      <c r="K129" s="9" t="n">
        <v>3</v>
      </c>
      <c r="L129" s="9" t="n">
        <v>57.86</v>
      </c>
      <c r="M129" s="12" t="n">
        <v>2550</v>
      </c>
      <c r="N129" s="10" t="n">
        <v>0</v>
      </c>
      <c r="O129" s="10" t="n">
        <v>147543</v>
      </c>
    </row>
    <row r="130">
      <c r="A130" s="2" t="n">
        <v>101</v>
      </c>
      <c r="B130" s="8" t="n">
        <v>46285</v>
      </c>
      <c r="C130" s="2" t="inlineStr">
        <is>
          <t>冀A224E6</t>
        </is>
      </c>
      <c r="D130" s="2" t="inlineStr">
        <is>
          <t>车</t>
        </is>
      </c>
      <c r="E130" s="2" t="inlineStr">
        <is>
          <t>带票带货</t>
        </is>
      </c>
      <c r="F130" s="2" t="inlineStr">
        <is>
          <t>直签带票</t>
        </is>
      </c>
      <c r="G130" s="2" t="inlineStr">
        <is>
          <t>林凯</t>
        </is>
      </c>
      <c r="H130" s="2" t="inlineStr">
        <is>
          <t>兴德</t>
        </is>
      </c>
      <c r="I130" s="2" t="inlineStr">
        <is>
          <t>废钢</t>
        </is>
      </c>
      <c r="J130" s="2" t="inlineStr">
        <is>
          <t>重废1</t>
        </is>
      </c>
      <c r="K130" s="9" t="n">
        <v>5</v>
      </c>
      <c r="L130" s="9" t="n">
        <v>42.94</v>
      </c>
      <c r="M130" s="12" t="n">
        <v>2550</v>
      </c>
      <c r="N130" s="10" t="n">
        <v>0</v>
      </c>
      <c r="O130" s="10" t="n">
        <v>109497</v>
      </c>
    </row>
    <row r="131">
      <c r="A131" s="2" t="n">
        <v>102</v>
      </c>
      <c r="B131" s="8" t="n">
        <v>46285</v>
      </c>
      <c r="C131" s="2" t="inlineStr">
        <is>
          <t>苏DBB772</t>
        </is>
      </c>
      <c r="D131" s="2" t="inlineStr">
        <is>
          <t>车</t>
        </is>
      </c>
      <c r="E131" s="2" t="inlineStr">
        <is>
          <t>带票带货</t>
        </is>
      </c>
      <c r="F131" s="2" t="inlineStr">
        <is>
          <t>直签带票</t>
        </is>
      </c>
      <c r="G131" s="2" t="inlineStr">
        <is>
          <t>林凯</t>
        </is>
      </c>
      <c r="H131" s="2" t="inlineStr">
        <is>
          <t>兴德</t>
        </is>
      </c>
      <c r="I131" s="2" t="inlineStr">
        <is>
          <t>铁水罐压块类</t>
        </is>
      </c>
      <c r="J131" s="2" t="inlineStr">
        <is>
          <t>钢筋压块</t>
        </is>
      </c>
      <c r="K131" s="9" t="n">
        <v>0.3</v>
      </c>
      <c r="L131" s="9" t="n">
        <v>75.44</v>
      </c>
      <c r="M131" s="12" t="n">
        <v>2610</v>
      </c>
      <c r="N131" s="10" t="n">
        <v>0</v>
      </c>
      <c r="O131" s="10" t="n">
        <v>196898.4</v>
      </c>
    </row>
  </sheetData>
  <autoFilter ref="A1:O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9" customWidth="1" min="4" max="4"/>
    <col width="20" customWidth="1" min="5" max="5"/>
    <col width="11" customWidth="1" min="6" max="6"/>
    <col width="6" customWidth="1" min="7" max="7"/>
    <col width="10" customWidth="1" min="8" max="8"/>
    <col width="12" customWidth="1" min="9" max="9"/>
    <col width="16" customWidth="1" min="10" max="10"/>
    <col width="14" customWidth="1" min="11" max="11"/>
    <col width="12" customWidth="1" min="12" max="12"/>
    <col width="12" customWidth="1" min="13" max="13"/>
    <col width="20" customWidth="1" min="14" max="14"/>
    <col width="8" customWidth="1" min="15" max="15"/>
    <col width="10" customWidth="1" min="16" max="16"/>
  </cols>
  <sheetData>
    <row r="1">
      <c r="A1" s="3" t="inlineStr">
        <is>
          <t>车次ID</t>
        </is>
      </c>
      <c r="B1" s="3" t="inlineStr">
        <is>
          <t>结算日期</t>
        </is>
      </c>
      <c r="C1" s="3" t="inlineStr">
        <is>
          <t>车号/船号</t>
        </is>
      </c>
      <c r="D1" s="3" t="inlineStr">
        <is>
          <t>路径</t>
        </is>
      </c>
      <c r="E1" s="3" t="inlineStr">
        <is>
          <t>开票路径</t>
        </is>
      </c>
      <c r="F1" s="3" t="inlineStr">
        <is>
          <t>供货厂/车队</t>
        </is>
      </c>
      <c r="G1" s="3" t="inlineStr">
        <is>
          <t>线</t>
        </is>
      </c>
      <c r="H1" s="3" t="inlineStr">
        <is>
          <t>环节</t>
        </is>
      </c>
      <c r="I1" s="3" t="inlineStr">
        <is>
          <t>从</t>
        </is>
      </c>
      <c r="J1" s="3" t="inlineStr">
        <is>
          <t>到</t>
        </is>
      </c>
      <c r="K1" s="3" t="inlineStr">
        <is>
          <t>应登记(票额)(元)</t>
        </is>
      </c>
      <c r="L1" s="3" t="inlineStr">
        <is>
          <t>已登记(元)</t>
        </is>
      </c>
      <c r="M1" s="3" t="inlineStr">
        <is>
          <t>待登记(元)</t>
        </is>
      </c>
      <c r="N1" s="3" t="inlineStr">
        <is>
          <t>状态</t>
        </is>
      </c>
      <c r="O1" s="3" t="inlineStr">
        <is>
          <t>账龄(天)</t>
        </is>
      </c>
      <c r="P1" s="3" t="inlineStr">
        <is>
          <t>批次ID</t>
        </is>
      </c>
    </row>
    <row r="2">
      <c r="A2" s="2" t="n">
        <v>1</v>
      </c>
      <c r="B2" s="8" t="n">
        <v>46253</v>
      </c>
      <c r="C2" s="2" t="inlineStr">
        <is>
          <t>苏DBB772</t>
        </is>
      </c>
      <c r="D2" s="2" t="inlineStr">
        <is>
          <t>配票/反向</t>
        </is>
      </c>
      <c r="E2" s="2" t="inlineStr">
        <is>
          <t>我们配票（经俊兴）</t>
        </is>
      </c>
      <c r="F2" s="2" t="inlineStr">
        <is>
          <t>林凯车队</t>
        </is>
      </c>
      <c r="G2" s="2" t="inlineStr">
        <is>
          <t>开票</t>
        </is>
      </c>
      <c r="H2" s="2" t="inlineStr">
        <is>
          <t>销项→欧冶</t>
        </is>
      </c>
      <c r="I2" s="2" t="inlineStr">
        <is>
          <t>俊兴</t>
        </is>
      </c>
      <c r="J2" s="2" t="inlineStr">
        <is>
          <t>欧冶物宝</t>
        </is>
      </c>
      <c r="K2" s="10" t="n">
        <v>166805.86</v>
      </c>
      <c r="L2" s="10" t="n">
        <v>0</v>
      </c>
      <c r="M2" s="10">
        <f>IF(OR(N2="已登记",LEFT(N2,2)="按状"),0,K2-L2)</f>
        <v/>
      </c>
      <c r="N2" s="2" t="inlineStr">
        <is>
          <t>按状态视为已完成(历史)</t>
        </is>
      </c>
      <c r="O2" s="2" t="n"/>
      <c r="P2" s="2" t="n"/>
    </row>
    <row r="3">
      <c r="A3" s="2" t="n">
        <v>1</v>
      </c>
      <c r="B3" s="8" t="n">
        <v>46253</v>
      </c>
      <c r="C3" s="2" t="inlineStr">
        <is>
          <t>苏DBB772</t>
        </is>
      </c>
      <c r="D3" s="2" t="inlineStr">
        <is>
          <t>配票/反向</t>
        </is>
      </c>
      <c r="E3" s="2" t="inlineStr">
        <is>
          <t>我们配票（经俊兴）</t>
        </is>
      </c>
      <c r="F3" s="2" t="inlineStr">
        <is>
          <t>林凯车队</t>
        </is>
      </c>
      <c r="G3" s="2" t="inlineStr">
        <is>
          <t>回款</t>
        </is>
      </c>
      <c r="H3" s="2" t="inlineStr">
        <is>
          <t>欧冶回款</t>
        </is>
      </c>
      <c r="I3" s="2" t="inlineStr">
        <is>
          <t>欧冶物宝</t>
        </is>
      </c>
      <c r="J3" s="2" t="inlineStr">
        <is>
          <t>俊兴</t>
        </is>
      </c>
      <c r="K3" s="10" t="n">
        <v>166805.86</v>
      </c>
      <c r="L3" s="10" t="n">
        <v>0</v>
      </c>
      <c r="M3" s="10">
        <f>IF(OR(N3="已登记",LEFT(N3,2)="按状"),0,K3-L3)</f>
        <v/>
      </c>
      <c r="N3" s="2" t="inlineStr">
        <is>
          <t>待登记</t>
        </is>
      </c>
      <c r="O3" s="2" t="n">
        <v>0</v>
      </c>
      <c r="P3" s="2" t="n"/>
    </row>
    <row r="4">
      <c r="A4" s="2" t="n">
        <v>1</v>
      </c>
      <c r="B4" s="8" t="n">
        <v>46253</v>
      </c>
      <c r="C4" s="2" t="inlineStr">
        <is>
          <t>苏DBB772</t>
        </is>
      </c>
      <c r="D4" s="2" t="inlineStr">
        <is>
          <t>配票/反向</t>
        </is>
      </c>
      <c r="E4" s="2" t="inlineStr">
        <is>
          <t>我们配票（经俊兴）</t>
        </is>
      </c>
      <c r="F4" s="2" t="inlineStr">
        <is>
          <t>林凯车队</t>
        </is>
      </c>
      <c r="G4" s="2" t="inlineStr">
        <is>
          <t>回款</t>
        </is>
      </c>
      <c r="H4" s="2" t="inlineStr">
        <is>
          <t>到客户账户</t>
        </is>
      </c>
      <c r="I4" s="2" t="inlineStr">
        <is>
          <t>俊兴</t>
        </is>
      </c>
      <c r="J4" s="2" t="inlineStr">
        <is>
          <t>林凯车队·客户账户</t>
        </is>
      </c>
      <c r="K4" s="10" t="n">
        <v>166805.86</v>
      </c>
      <c r="L4" s="10" t="n">
        <v>0</v>
      </c>
      <c r="M4" s="10">
        <f>IF(OR(N4="已登记",LEFT(N4,2)="按状"),0,K4-L4)</f>
        <v/>
      </c>
      <c r="N4" s="2" t="inlineStr">
        <is>
          <t>未开始(前一环节未完成)</t>
        </is>
      </c>
      <c r="O4" s="2" t="n"/>
      <c r="P4" s="2" t="n"/>
    </row>
    <row r="5">
      <c r="A5" s="2" t="n">
        <v>2</v>
      </c>
      <c r="B5" s="8" t="n">
        <v>46254</v>
      </c>
      <c r="C5" s="2" t="inlineStr">
        <is>
          <t>苏DFM060</t>
        </is>
      </c>
      <c r="D5" s="2" t="inlineStr">
        <is>
          <t>配票/反向</t>
        </is>
      </c>
      <c r="E5" s="2" t="inlineStr">
        <is>
          <t>我们配票（经俊兴）</t>
        </is>
      </c>
      <c r="F5" s="2" t="inlineStr">
        <is>
          <t>林凯车队</t>
        </is>
      </c>
      <c r="G5" s="2" t="inlineStr">
        <is>
          <t>开票</t>
        </is>
      </c>
      <c r="H5" s="2" t="inlineStr">
        <is>
          <t>销项→欧冶</t>
        </is>
      </c>
      <c r="I5" s="2" t="inlineStr">
        <is>
          <t>俊兴</t>
        </is>
      </c>
      <c r="J5" s="2" t="inlineStr">
        <is>
          <t>欧冶物宝</t>
        </is>
      </c>
      <c r="K5" s="10" t="n">
        <v>83763.60000000001</v>
      </c>
      <c r="L5" s="10" t="n">
        <v>0</v>
      </c>
      <c r="M5" s="10">
        <f>IF(OR(N5="已登记",LEFT(N5,2)="按状"),0,K5-L5)</f>
        <v/>
      </c>
      <c r="N5" s="2" t="inlineStr">
        <is>
          <t>按状态视为已完成(历史)</t>
        </is>
      </c>
      <c r="O5" s="2" t="n"/>
      <c r="P5" s="2" t="n"/>
    </row>
    <row r="6">
      <c r="A6" s="2" t="n">
        <v>2</v>
      </c>
      <c r="B6" s="8" t="n">
        <v>46254</v>
      </c>
      <c r="C6" s="2" t="inlineStr">
        <is>
          <t>苏DFM060</t>
        </is>
      </c>
      <c r="D6" s="2" t="inlineStr">
        <is>
          <t>配票/反向</t>
        </is>
      </c>
      <c r="E6" s="2" t="inlineStr">
        <is>
          <t>我们配票（经俊兴）</t>
        </is>
      </c>
      <c r="F6" s="2" t="inlineStr">
        <is>
          <t>林凯车队</t>
        </is>
      </c>
      <c r="G6" s="2" t="inlineStr">
        <is>
          <t>回款</t>
        </is>
      </c>
      <c r="H6" s="2" t="inlineStr">
        <is>
          <t>欧冶回款</t>
        </is>
      </c>
      <c r="I6" s="2" t="inlineStr">
        <is>
          <t>欧冶物宝</t>
        </is>
      </c>
      <c r="J6" s="2" t="inlineStr">
        <is>
          <t>俊兴</t>
        </is>
      </c>
      <c r="K6" s="10" t="n">
        <v>83763.60000000001</v>
      </c>
      <c r="L6" s="10" t="n">
        <v>0</v>
      </c>
      <c r="M6" s="10">
        <f>IF(OR(N6="已登记",LEFT(N6,2)="按状"),0,K6-L6)</f>
        <v/>
      </c>
      <c r="N6" s="2" t="inlineStr">
        <is>
          <t>待登记</t>
        </is>
      </c>
      <c r="O6" s="2" t="n">
        <v>32</v>
      </c>
      <c r="P6" s="2" t="n"/>
    </row>
    <row r="7">
      <c r="A7" s="2" t="n">
        <v>2</v>
      </c>
      <c r="B7" s="8" t="n">
        <v>46254</v>
      </c>
      <c r="C7" s="2" t="inlineStr">
        <is>
          <t>苏DFM060</t>
        </is>
      </c>
      <c r="D7" s="2" t="inlineStr">
        <is>
          <t>配票/反向</t>
        </is>
      </c>
      <c r="E7" s="2" t="inlineStr">
        <is>
          <t>我们配票（经俊兴）</t>
        </is>
      </c>
      <c r="F7" s="2" t="inlineStr">
        <is>
          <t>林凯车队</t>
        </is>
      </c>
      <c r="G7" s="2" t="inlineStr">
        <is>
          <t>回款</t>
        </is>
      </c>
      <c r="H7" s="2" t="inlineStr">
        <is>
          <t>到客户账户</t>
        </is>
      </c>
      <c r="I7" s="2" t="inlineStr">
        <is>
          <t>俊兴</t>
        </is>
      </c>
      <c r="J7" s="2" t="inlineStr">
        <is>
          <t>林凯车队·客户账户</t>
        </is>
      </c>
      <c r="K7" s="10" t="n">
        <v>83763.60000000001</v>
      </c>
      <c r="L7" s="10" t="n">
        <v>0</v>
      </c>
      <c r="M7" s="10">
        <f>IF(OR(N7="已登记",LEFT(N7,2)="按状"),0,K7-L7)</f>
        <v/>
      </c>
      <c r="N7" s="2" t="inlineStr">
        <is>
          <t>未开始(前一环节未完成)</t>
        </is>
      </c>
      <c r="O7" s="2" t="n"/>
      <c r="P7" s="2" t="n"/>
    </row>
    <row r="8">
      <c r="A8" s="2" t="n">
        <v>3</v>
      </c>
      <c r="B8" s="8" t="n">
        <v>46255</v>
      </c>
      <c r="C8" s="2" t="inlineStr">
        <is>
          <t>苏DBB772</t>
        </is>
      </c>
      <c r="D8" s="2" t="inlineStr">
        <is>
          <t>配票/反向</t>
        </is>
      </c>
      <c r="E8" s="2" t="inlineStr">
        <is>
          <t>我们配票（经俊兴）</t>
        </is>
      </c>
      <c r="F8" s="2" t="inlineStr">
        <is>
          <t>林凯车队</t>
        </is>
      </c>
      <c r="G8" s="2" t="inlineStr">
        <is>
          <t>开票</t>
        </is>
      </c>
      <c r="H8" s="2" t="inlineStr">
        <is>
          <t>销项→欧冶</t>
        </is>
      </c>
      <c r="I8" s="2" t="inlineStr">
        <is>
          <t>俊兴</t>
        </is>
      </c>
      <c r="J8" s="2" t="inlineStr">
        <is>
          <t>欧冶物宝</t>
        </is>
      </c>
      <c r="K8" s="10" t="n">
        <v>199410.12</v>
      </c>
      <c r="L8" s="10" t="n">
        <v>0</v>
      </c>
      <c r="M8" s="10">
        <f>IF(OR(N8="已登记",LEFT(N8,2)="按状"),0,K8-L8)</f>
        <v/>
      </c>
      <c r="N8" s="2" t="inlineStr">
        <is>
          <t>按状态视为已完成(历史)</t>
        </is>
      </c>
      <c r="O8" s="2" t="n"/>
      <c r="P8" s="2" t="n"/>
    </row>
    <row r="9">
      <c r="A9" s="2" t="n">
        <v>3</v>
      </c>
      <c r="B9" s="8" t="n">
        <v>46255</v>
      </c>
      <c r="C9" s="2" t="inlineStr">
        <is>
          <t>苏DBB772</t>
        </is>
      </c>
      <c r="D9" s="2" t="inlineStr">
        <is>
          <t>配票/反向</t>
        </is>
      </c>
      <c r="E9" s="2" t="inlineStr">
        <is>
          <t>我们配票（经俊兴）</t>
        </is>
      </c>
      <c r="F9" s="2" t="inlineStr">
        <is>
          <t>林凯车队</t>
        </is>
      </c>
      <c r="G9" s="2" t="inlineStr">
        <is>
          <t>回款</t>
        </is>
      </c>
      <c r="H9" s="2" t="inlineStr">
        <is>
          <t>欧冶回款</t>
        </is>
      </c>
      <c r="I9" s="2" t="inlineStr">
        <is>
          <t>欧冶物宝</t>
        </is>
      </c>
      <c r="J9" s="2" t="inlineStr">
        <is>
          <t>俊兴</t>
        </is>
      </c>
      <c r="K9" s="10" t="n">
        <v>199410.12</v>
      </c>
      <c r="L9" s="10" t="n">
        <v>0</v>
      </c>
      <c r="M9" s="10">
        <f>IF(OR(N9="已登记",LEFT(N9,2)="按状"),0,K9-L9)</f>
        <v/>
      </c>
      <c r="N9" s="2" t="inlineStr">
        <is>
          <t>待登记</t>
        </is>
      </c>
      <c r="O9" s="2" t="n">
        <v>31</v>
      </c>
      <c r="P9" s="2" t="n"/>
    </row>
    <row r="10">
      <c r="A10" s="2" t="n">
        <v>3</v>
      </c>
      <c r="B10" s="8" t="n">
        <v>46255</v>
      </c>
      <c r="C10" s="2" t="inlineStr">
        <is>
          <t>苏DBB772</t>
        </is>
      </c>
      <c r="D10" s="2" t="inlineStr">
        <is>
          <t>配票/反向</t>
        </is>
      </c>
      <c r="E10" s="2" t="inlineStr">
        <is>
          <t>我们配票（经俊兴）</t>
        </is>
      </c>
      <c r="F10" s="2" t="inlineStr">
        <is>
          <t>林凯车队</t>
        </is>
      </c>
      <c r="G10" s="2" t="inlineStr">
        <is>
          <t>回款</t>
        </is>
      </c>
      <c r="H10" s="2" t="inlineStr">
        <is>
          <t>到客户账户</t>
        </is>
      </c>
      <c r="I10" s="2" t="inlineStr">
        <is>
          <t>俊兴</t>
        </is>
      </c>
      <c r="J10" s="2" t="inlineStr">
        <is>
          <t>林凯车队·客户账户</t>
        </is>
      </c>
      <c r="K10" s="10" t="n">
        <v>199410.12</v>
      </c>
      <c r="L10" s="10" t="n">
        <v>0</v>
      </c>
      <c r="M10" s="10">
        <f>IF(OR(N10="已登记",LEFT(N10,2)="按状"),0,K10-L10)</f>
        <v/>
      </c>
      <c r="N10" s="2" t="inlineStr">
        <is>
          <t>未开始(前一环节未完成)</t>
        </is>
      </c>
      <c r="O10" s="2" t="n"/>
      <c r="P10" s="2" t="n"/>
    </row>
    <row r="11">
      <c r="A11" s="2" t="n">
        <v>4</v>
      </c>
      <c r="B11" s="8" t="n">
        <v>46255</v>
      </c>
      <c r="C11" s="2" t="inlineStr">
        <is>
          <t>皖M2A505</t>
        </is>
      </c>
      <c r="D11" s="2" t="inlineStr">
        <is>
          <t>配票/反向</t>
        </is>
      </c>
      <c r="E11" s="2" t="inlineStr">
        <is>
          <t>我们配票（经俊兴）</t>
        </is>
      </c>
      <c r="F11" s="2" t="inlineStr">
        <is>
          <t>俊兴</t>
        </is>
      </c>
      <c r="G11" s="2" t="inlineStr">
        <is>
          <t>开票</t>
        </is>
      </c>
      <c r="H11" s="2" t="inlineStr">
        <is>
          <t>销项→欧冶</t>
        </is>
      </c>
      <c r="I11" s="2" t="inlineStr">
        <is>
          <t>俊兴</t>
        </is>
      </c>
      <c r="J11" s="2" t="inlineStr">
        <is>
          <t>欧冶物宝</t>
        </is>
      </c>
      <c r="K11" s="10" t="n">
        <v>82428.12</v>
      </c>
      <c r="L11" s="10" t="n">
        <v>0</v>
      </c>
      <c r="M11" s="10">
        <f>IF(OR(N11="已登记",LEFT(N11,2)="按状"),0,K11-L11)</f>
        <v/>
      </c>
      <c r="N11" s="2" t="inlineStr">
        <is>
          <t>按状态视为已完成(历史)</t>
        </is>
      </c>
      <c r="O11" s="2" t="n"/>
      <c r="P11" s="2" t="n"/>
    </row>
    <row r="12">
      <c r="A12" s="2" t="n">
        <v>4</v>
      </c>
      <c r="B12" s="8" t="n">
        <v>46255</v>
      </c>
      <c r="C12" s="2" t="inlineStr">
        <is>
          <t>皖M2A505</t>
        </is>
      </c>
      <c r="D12" s="2" t="inlineStr">
        <is>
          <t>配票/反向</t>
        </is>
      </c>
      <c r="E12" s="2" t="inlineStr">
        <is>
          <t>我们配票（经俊兴）</t>
        </is>
      </c>
      <c r="F12" s="2" t="inlineStr">
        <is>
          <t>俊兴</t>
        </is>
      </c>
      <c r="G12" s="2" t="inlineStr">
        <is>
          <t>回款</t>
        </is>
      </c>
      <c r="H12" s="2" t="inlineStr">
        <is>
          <t>欧冶回款</t>
        </is>
      </c>
      <c r="I12" s="2" t="inlineStr">
        <is>
          <t>欧冶物宝</t>
        </is>
      </c>
      <c r="J12" s="2" t="inlineStr">
        <is>
          <t>俊兴</t>
        </is>
      </c>
      <c r="K12" s="10" t="n">
        <v>82428.12</v>
      </c>
      <c r="L12" s="10" t="n">
        <v>0</v>
      </c>
      <c r="M12" s="10">
        <f>IF(OR(N12="已登记",LEFT(N12,2)="按状"),0,K12-L12)</f>
        <v/>
      </c>
      <c r="N12" s="2" t="inlineStr">
        <is>
          <t>待登记</t>
        </is>
      </c>
      <c r="O12" s="2" t="n">
        <v>31</v>
      </c>
      <c r="P12" s="2" t="n"/>
    </row>
    <row r="13">
      <c r="A13" s="2" t="n">
        <v>4</v>
      </c>
      <c r="B13" s="8" t="n">
        <v>46255</v>
      </c>
      <c r="C13" s="2" t="inlineStr">
        <is>
          <t>皖M2A505</t>
        </is>
      </c>
      <c r="D13" s="2" t="inlineStr">
        <is>
          <t>配票/反向</t>
        </is>
      </c>
      <c r="E13" s="2" t="inlineStr">
        <is>
          <t>我们配票（经俊兴）</t>
        </is>
      </c>
      <c r="F13" s="2" t="inlineStr">
        <is>
          <t>俊兴</t>
        </is>
      </c>
      <c r="G13" s="2" t="inlineStr">
        <is>
          <t>回款</t>
        </is>
      </c>
      <c r="H13" s="2" t="inlineStr">
        <is>
          <t>到客户账户</t>
        </is>
      </c>
      <c r="I13" s="2" t="inlineStr">
        <is>
          <t>俊兴</t>
        </is>
      </c>
      <c r="J13" s="2" t="inlineStr">
        <is>
          <t>俊兴·客户账户</t>
        </is>
      </c>
      <c r="K13" s="10" t="n">
        <v>82428.12</v>
      </c>
      <c r="L13" s="10" t="n">
        <v>0</v>
      </c>
      <c r="M13" s="10">
        <f>IF(OR(N13="已登记",LEFT(N13,2)="按状"),0,K13-L13)</f>
        <v/>
      </c>
      <c r="N13" s="2" t="inlineStr">
        <is>
          <t>未开始(前一环节未完成)</t>
        </is>
      </c>
      <c r="O13" s="2" t="n"/>
      <c r="P13" s="2" t="n"/>
    </row>
    <row r="14">
      <c r="A14" s="2" t="n">
        <v>5</v>
      </c>
      <c r="B14" s="8" t="n">
        <v>46255</v>
      </c>
      <c r="C14" s="2" t="inlineStr">
        <is>
          <t>苏EQB977</t>
        </is>
      </c>
      <c r="D14" s="2" t="inlineStr">
        <is>
          <t>配票/反向</t>
        </is>
      </c>
      <c r="E14" s="2" t="inlineStr">
        <is>
          <t>我们配票（经俊兴）</t>
        </is>
      </c>
      <c r="F14" s="2" t="inlineStr">
        <is>
          <t>俊兴</t>
        </is>
      </c>
      <c r="G14" s="2" t="inlineStr">
        <is>
          <t>开票</t>
        </is>
      </c>
      <c r="H14" s="2" t="inlineStr">
        <is>
          <t>销项→欧冶</t>
        </is>
      </c>
      <c r="I14" s="2" t="inlineStr">
        <is>
          <t>俊兴</t>
        </is>
      </c>
      <c r="J14" s="2" t="inlineStr">
        <is>
          <t>欧冶物宝</t>
        </is>
      </c>
      <c r="K14" s="10" t="n">
        <v>74674.98</v>
      </c>
      <c r="L14" s="10" t="n">
        <v>0</v>
      </c>
      <c r="M14" s="10">
        <f>IF(OR(N14="已登记",LEFT(N14,2)="按状"),0,K14-L14)</f>
        <v/>
      </c>
      <c r="N14" s="2" t="inlineStr">
        <is>
          <t>按状态视为已完成(历史)</t>
        </is>
      </c>
      <c r="O14" s="2" t="n"/>
      <c r="P14" s="2" t="n"/>
    </row>
    <row r="15">
      <c r="A15" s="2" t="n">
        <v>5</v>
      </c>
      <c r="B15" s="8" t="n">
        <v>46255</v>
      </c>
      <c r="C15" s="2" t="inlineStr">
        <is>
          <t>苏EQB977</t>
        </is>
      </c>
      <c r="D15" s="2" t="inlineStr">
        <is>
          <t>配票/反向</t>
        </is>
      </c>
      <c r="E15" s="2" t="inlineStr">
        <is>
          <t>我们配票（经俊兴）</t>
        </is>
      </c>
      <c r="F15" s="2" t="inlineStr">
        <is>
          <t>俊兴</t>
        </is>
      </c>
      <c r="G15" s="2" t="inlineStr">
        <is>
          <t>回款</t>
        </is>
      </c>
      <c r="H15" s="2" t="inlineStr">
        <is>
          <t>欧冶回款</t>
        </is>
      </c>
      <c r="I15" s="2" t="inlineStr">
        <is>
          <t>欧冶物宝</t>
        </is>
      </c>
      <c r="J15" s="2" t="inlineStr">
        <is>
          <t>俊兴</t>
        </is>
      </c>
      <c r="K15" s="10" t="n">
        <v>74674.98</v>
      </c>
      <c r="L15" s="10" t="n">
        <v>0</v>
      </c>
      <c r="M15" s="10">
        <f>IF(OR(N15="已登记",LEFT(N15,2)="按状"),0,K15-L15)</f>
        <v/>
      </c>
      <c r="N15" s="2" t="inlineStr">
        <is>
          <t>待登记</t>
        </is>
      </c>
      <c r="O15" s="2" t="n">
        <v>31</v>
      </c>
      <c r="P15" s="2" t="n"/>
    </row>
    <row r="16">
      <c r="A16" s="2" t="n">
        <v>5</v>
      </c>
      <c r="B16" s="8" t="n">
        <v>46255</v>
      </c>
      <c r="C16" s="2" t="inlineStr">
        <is>
          <t>苏EQB977</t>
        </is>
      </c>
      <c r="D16" s="2" t="inlineStr">
        <is>
          <t>配票/反向</t>
        </is>
      </c>
      <c r="E16" s="2" t="inlineStr">
        <is>
          <t>我们配票（经俊兴）</t>
        </is>
      </c>
      <c r="F16" s="2" t="inlineStr">
        <is>
          <t>俊兴</t>
        </is>
      </c>
      <c r="G16" s="2" t="inlineStr">
        <is>
          <t>回款</t>
        </is>
      </c>
      <c r="H16" s="2" t="inlineStr">
        <is>
          <t>到客户账户</t>
        </is>
      </c>
      <c r="I16" s="2" t="inlineStr">
        <is>
          <t>俊兴</t>
        </is>
      </c>
      <c r="J16" s="2" t="inlineStr">
        <is>
          <t>俊兴·客户账户</t>
        </is>
      </c>
      <c r="K16" s="10" t="n">
        <v>74674.98</v>
      </c>
      <c r="L16" s="10" t="n">
        <v>0</v>
      </c>
      <c r="M16" s="10">
        <f>IF(OR(N16="已登记",LEFT(N16,2)="按状"),0,K16-L16)</f>
        <v/>
      </c>
      <c r="N16" s="2" t="inlineStr">
        <is>
          <t>未开始(前一环节未完成)</t>
        </is>
      </c>
      <c r="O16" s="2" t="n"/>
      <c r="P16" s="2" t="n"/>
    </row>
    <row r="17">
      <c r="A17" s="2" t="n">
        <v>6</v>
      </c>
      <c r="B17" s="8" t="n">
        <v>46255</v>
      </c>
      <c r="C17" s="2" t="inlineStr">
        <is>
          <t>苏BUK952</t>
        </is>
      </c>
      <c r="D17" s="2" t="inlineStr">
        <is>
          <t>配票/反向</t>
        </is>
      </c>
      <c r="E17" s="2" t="inlineStr">
        <is>
          <t>我们配票（经俊兴）</t>
        </is>
      </c>
      <c r="F17" s="2" t="inlineStr">
        <is>
          <t>林凯车队</t>
        </is>
      </c>
      <c r="G17" s="2" t="inlineStr">
        <is>
          <t>开票</t>
        </is>
      </c>
      <c r="H17" s="2" t="inlineStr">
        <is>
          <t>销项→欧冶</t>
        </is>
      </c>
      <c r="I17" s="2" t="inlineStr">
        <is>
          <t>俊兴</t>
        </is>
      </c>
      <c r="J17" s="2" t="inlineStr">
        <is>
          <t>欧冶物宝</t>
        </is>
      </c>
      <c r="K17" s="10" t="n">
        <v>58461.95</v>
      </c>
      <c r="L17" s="10" t="n">
        <v>0</v>
      </c>
      <c r="M17" s="10">
        <f>IF(OR(N17="已登记",LEFT(N17,2)="按状"),0,K17-L17)</f>
        <v/>
      </c>
      <c r="N17" s="2" t="inlineStr">
        <is>
          <t>按状态视为已完成(历史)</t>
        </is>
      </c>
      <c r="O17" s="2" t="n"/>
      <c r="P17" s="2" t="n"/>
    </row>
    <row r="18">
      <c r="A18" s="2" t="n">
        <v>6</v>
      </c>
      <c r="B18" s="8" t="n">
        <v>46255</v>
      </c>
      <c r="C18" s="2" t="inlineStr">
        <is>
          <t>苏BUK952</t>
        </is>
      </c>
      <c r="D18" s="2" t="inlineStr">
        <is>
          <t>配票/反向</t>
        </is>
      </c>
      <c r="E18" s="2" t="inlineStr">
        <is>
          <t>我们配票（经俊兴）</t>
        </is>
      </c>
      <c r="F18" s="2" t="inlineStr">
        <is>
          <t>林凯车队</t>
        </is>
      </c>
      <c r="G18" s="2" t="inlineStr">
        <is>
          <t>回款</t>
        </is>
      </c>
      <c r="H18" s="2" t="inlineStr">
        <is>
          <t>欧冶回款</t>
        </is>
      </c>
      <c r="I18" s="2" t="inlineStr">
        <is>
          <t>欧冶物宝</t>
        </is>
      </c>
      <c r="J18" s="2" t="inlineStr">
        <is>
          <t>俊兴</t>
        </is>
      </c>
      <c r="K18" s="10" t="n">
        <v>58461.95</v>
      </c>
      <c r="L18" s="10" t="n">
        <v>0</v>
      </c>
      <c r="M18" s="10">
        <f>IF(OR(N18="已登记",LEFT(N18,2)="按状"),0,K18-L18)</f>
        <v/>
      </c>
      <c r="N18" s="2" t="inlineStr">
        <is>
          <t>待登记</t>
        </is>
      </c>
      <c r="O18" s="2" t="n">
        <v>31</v>
      </c>
      <c r="P18" s="2" t="n"/>
    </row>
    <row r="19">
      <c r="A19" s="2" t="n">
        <v>6</v>
      </c>
      <c r="B19" s="8" t="n">
        <v>46255</v>
      </c>
      <c r="C19" s="2" t="inlineStr">
        <is>
          <t>苏BUK952</t>
        </is>
      </c>
      <c r="D19" s="2" t="inlineStr">
        <is>
          <t>配票/反向</t>
        </is>
      </c>
      <c r="E19" s="2" t="inlineStr">
        <is>
          <t>我们配票（经俊兴）</t>
        </is>
      </c>
      <c r="F19" s="2" t="inlineStr">
        <is>
          <t>林凯车队</t>
        </is>
      </c>
      <c r="G19" s="2" t="inlineStr">
        <is>
          <t>回款</t>
        </is>
      </c>
      <c r="H19" s="2" t="inlineStr">
        <is>
          <t>到客户账户</t>
        </is>
      </c>
      <c r="I19" s="2" t="inlineStr">
        <is>
          <t>俊兴</t>
        </is>
      </c>
      <c r="J19" s="2" t="inlineStr">
        <is>
          <t>林凯车队·客户账户</t>
        </is>
      </c>
      <c r="K19" s="10" t="n">
        <v>58461.95</v>
      </c>
      <c r="L19" s="10" t="n">
        <v>0</v>
      </c>
      <c r="M19" s="10">
        <f>IF(OR(N19="已登记",LEFT(N19,2)="按状"),0,K19-L19)</f>
        <v/>
      </c>
      <c r="N19" s="2" t="inlineStr">
        <is>
          <t>未开始(前一环节未完成)</t>
        </is>
      </c>
      <c r="O19" s="2" t="n"/>
      <c r="P19" s="2" t="n"/>
    </row>
    <row r="20">
      <c r="A20" s="2" t="n">
        <v>7</v>
      </c>
      <c r="B20" s="8" t="n">
        <v>46256</v>
      </c>
      <c r="C20" s="2" t="inlineStr">
        <is>
          <t>苏DBB772</t>
        </is>
      </c>
      <c r="D20" s="2" t="inlineStr">
        <is>
          <t>配票/反向</t>
        </is>
      </c>
      <c r="E20" s="2" t="inlineStr">
        <is>
          <t>我们配票（经俊兴）</t>
        </is>
      </c>
      <c r="F20" s="2" t="inlineStr">
        <is>
          <t>林凯车队</t>
        </is>
      </c>
      <c r="G20" s="2" t="inlineStr">
        <is>
          <t>开票</t>
        </is>
      </c>
      <c r="H20" s="2" t="inlineStr">
        <is>
          <t>销项→欧冶</t>
        </is>
      </c>
      <c r="I20" s="2" t="inlineStr">
        <is>
          <t>俊兴</t>
        </is>
      </c>
      <c r="J20" s="2" t="inlineStr">
        <is>
          <t>欧冶物宝</t>
        </is>
      </c>
      <c r="K20" s="10" t="n">
        <v>157556.5</v>
      </c>
      <c r="L20" s="10" t="n">
        <v>0</v>
      </c>
      <c r="M20" s="10">
        <f>IF(OR(N20="已登记",LEFT(N20,2)="按状"),0,K20-L20)</f>
        <v/>
      </c>
      <c r="N20" s="2" t="inlineStr">
        <is>
          <t>按状态视为已完成(历史)</t>
        </is>
      </c>
      <c r="O20" s="2" t="n"/>
      <c r="P20" s="2" t="n"/>
    </row>
    <row r="21">
      <c r="A21" s="2" t="n">
        <v>7</v>
      </c>
      <c r="B21" s="8" t="n">
        <v>46256</v>
      </c>
      <c r="C21" s="2" t="inlineStr">
        <is>
          <t>苏DBB772</t>
        </is>
      </c>
      <c r="D21" s="2" t="inlineStr">
        <is>
          <t>配票/反向</t>
        </is>
      </c>
      <c r="E21" s="2" t="inlineStr">
        <is>
          <t>我们配票（经俊兴）</t>
        </is>
      </c>
      <c r="F21" s="2" t="inlineStr">
        <is>
          <t>林凯车队</t>
        </is>
      </c>
      <c r="G21" s="2" t="inlineStr">
        <is>
          <t>回款</t>
        </is>
      </c>
      <c r="H21" s="2" t="inlineStr">
        <is>
          <t>欧冶回款</t>
        </is>
      </c>
      <c r="I21" s="2" t="inlineStr">
        <is>
          <t>欧冶物宝</t>
        </is>
      </c>
      <c r="J21" s="2" t="inlineStr">
        <is>
          <t>俊兴</t>
        </is>
      </c>
      <c r="K21" s="10" t="n">
        <v>157556.5</v>
      </c>
      <c r="L21" s="10" t="n">
        <v>0</v>
      </c>
      <c r="M21" s="10">
        <f>IF(OR(N21="已登记",LEFT(N21,2)="按状"),0,K21-L21)</f>
        <v/>
      </c>
      <c r="N21" s="2" t="inlineStr">
        <is>
          <t>待登记</t>
        </is>
      </c>
      <c r="O21" s="2" t="n">
        <v>30</v>
      </c>
      <c r="P21" s="2" t="n"/>
    </row>
    <row r="22">
      <c r="A22" s="2" t="n">
        <v>7</v>
      </c>
      <c r="B22" s="8" t="n">
        <v>46256</v>
      </c>
      <c r="C22" s="2" t="inlineStr">
        <is>
          <t>苏DBB772</t>
        </is>
      </c>
      <c r="D22" s="2" t="inlineStr">
        <is>
          <t>配票/反向</t>
        </is>
      </c>
      <c r="E22" s="2" t="inlineStr">
        <is>
          <t>我们配票（经俊兴）</t>
        </is>
      </c>
      <c r="F22" s="2" t="inlineStr">
        <is>
          <t>林凯车队</t>
        </is>
      </c>
      <c r="G22" s="2" t="inlineStr">
        <is>
          <t>回款</t>
        </is>
      </c>
      <c r="H22" s="2" t="inlineStr">
        <is>
          <t>到客户账户</t>
        </is>
      </c>
      <c r="I22" s="2" t="inlineStr">
        <is>
          <t>俊兴</t>
        </is>
      </c>
      <c r="J22" s="2" t="inlineStr">
        <is>
          <t>林凯车队·客户账户</t>
        </is>
      </c>
      <c r="K22" s="10" t="n">
        <v>157556.5</v>
      </c>
      <c r="L22" s="10" t="n">
        <v>0</v>
      </c>
      <c r="M22" s="10">
        <f>IF(OR(N22="已登记",LEFT(N22,2)="按状"),0,K22-L22)</f>
        <v/>
      </c>
      <c r="N22" s="2" t="inlineStr">
        <is>
          <t>未开始(前一环节未完成)</t>
        </is>
      </c>
      <c r="O22" s="2" t="n"/>
      <c r="P22" s="2" t="n"/>
    </row>
    <row r="23">
      <c r="A23" s="2" t="n">
        <v>8</v>
      </c>
      <c r="B23" s="8" t="n">
        <v>46256</v>
      </c>
      <c r="C23" s="2" t="inlineStr">
        <is>
          <t>苏E9W908</t>
        </is>
      </c>
      <c r="D23" s="2" t="inlineStr">
        <is>
          <t>配票/反向</t>
        </is>
      </c>
      <c r="E23" s="2" t="inlineStr">
        <is>
          <t>我们配票（经俊兴）</t>
        </is>
      </c>
      <c r="F23" s="2" t="inlineStr">
        <is>
          <t>邓晶焱车队</t>
        </is>
      </c>
      <c r="G23" s="2" t="inlineStr">
        <is>
          <t>开票</t>
        </is>
      </c>
      <c r="H23" s="2" t="inlineStr">
        <is>
          <t>销项→欧冶</t>
        </is>
      </c>
      <c r="I23" s="2" t="inlineStr">
        <is>
          <t>俊兴</t>
        </is>
      </c>
      <c r="J23" s="2" t="inlineStr">
        <is>
          <t>欧冶物宝</t>
        </is>
      </c>
      <c r="K23" s="10" t="n">
        <v>90342.12</v>
      </c>
      <c r="L23" s="10" t="n">
        <v>0</v>
      </c>
      <c r="M23" s="10">
        <f>IF(OR(N23="已登记",LEFT(N23,2)="按状"),0,K23-L23)</f>
        <v/>
      </c>
      <c r="N23" s="2" t="inlineStr">
        <is>
          <t>按状态视为已完成(历史)</t>
        </is>
      </c>
      <c r="O23" s="2" t="n"/>
      <c r="P23" s="2" t="n"/>
    </row>
    <row r="24">
      <c r="A24" s="2" t="n">
        <v>8</v>
      </c>
      <c r="B24" s="8" t="n">
        <v>46256</v>
      </c>
      <c r="C24" s="2" t="inlineStr">
        <is>
          <t>苏E9W908</t>
        </is>
      </c>
      <c r="D24" s="2" t="inlineStr">
        <is>
          <t>配票/反向</t>
        </is>
      </c>
      <c r="E24" s="2" t="inlineStr">
        <is>
          <t>我们配票（经俊兴）</t>
        </is>
      </c>
      <c r="F24" s="2" t="inlineStr">
        <is>
          <t>邓晶焱车队</t>
        </is>
      </c>
      <c r="G24" s="2" t="inlineStr">
        <is>
          <t>回款</t>
        </is>
      </c>
      <c r="H24" s="2" t="inlineStr">
        <is>
          <t>欧冶回款</t>
        </is>
      </c>
      <c r="I24" s="2" t="inlineStr">
        <is>
          <t>欧冶物宝</t>
        </is>
      </c>
      <c r="J24" s="2" t="inlineStr">
        <is>
          <t>俊兴</t>
        </is>
      </c>
      <c r="K24" s="10" t="n">
        <v>90342.12</v>
      </c>
      <c r="L24" s="10" t="n">
        <v>0</v>
      </c>
      <c r="M24" s="10">
        <f>IF(OR(N24="已登记",LEFT(N24,2)="按状"),0,K24-L24)</f>
        <v/>
      </c>
      <c r="N24" s="2" t="inlineStr">
        <is>
          <t>待登记</t>
        </is>
      </c>
      <c r="O24" s="2" t="n">
        <v>30</v>
      </c>
      <c r="P24" s="2" t="n"/>
    </row>
    <row r="25">
      <c r="A25" s="2" t="n">
        <v>8</v>
      </c>
      <c r="B25" s="8" t="n">
        <v>46256</v>
      </c>
      <c r="C25" s="2" t="inlineStr">
        <is>
          <t>苏E9W908</t>
        </is>
      </c>
      <c r="D25" s="2" t="inlineStr">
        <is>
          <t>配票/反向</t>
        </is>
      </c>
      <c r="E25" s="2" t="inlineStr">
        <is>
          <t>我们配票（经俊兴）</t>
        </is>
      </c>
      <c r="F25" s="2" t="inlineStr">
        <is>
          <t>邓晶焱车队</t>
        </is>
      </c>
      <c r="G25" s="2" t="inlineStr">
        <is>
          <t>回款</t>
        </is>
      </c>
      <c r="H25" s="2" t="inlineStr">
        <is>
          <t>到客户账户</t>
        </is>
      </c>
      <c r="I25" s="2" t="inlineStr">
        <is>
          <t>俊兴</t>
        </is>
      </c>
      <c r="J25" s="2" t="inlineStr">
        <is>
          <t>邓晶焱车队·客户账户</t>
        </is>
      </c>
      <c r="K25" s="10" t="n">
        <v>90342.12</v>
      </c>
      <c r="L25" s="10" t="n">
        <v>0</v>
      </c>
      <c r="M25" s="10">
        <f>IF(OR(N25="已登记",LEFT(N25,2)="按状"),0,K25-L25)</f>
        <v/>
      </c>
      <c r="N25" s="2" t="inlineStr">
        <is>
          <t>未开始(前一环节未完成)</t>
        </is>
      </c>
      <c r="O25" s="2" t="n"/>
      <c r="P25" s="2" t="n"/>
    </row>
    <row r="26">
      <c r="A26" s="2" t="n">
        <v>9</v>
      </c>
      <c r="B26" s="8" t="n">
        <v>46256</v>
      </c>
      <c r="C26" s="2" t="inlineStr">
        <is>
          <t>苏MAK862</t>
        </is>
      </c>
      <c r="D26" s="2" t="inlineStr">
        <is>
          <t>配票/反向</t>
        </is>
      </c>
      <c r="E26" s="2" t="inlineStr">
        <is>
          <t>我们配票（经俊兴）</t>
        </is>
      </c>
      <c r="F26" s="2" t="inlineStr">
        <is>
          <t>俊兴</t>
        </is>
      </c>
      <c r="G26" s="2" t="inlineStr">
        <is>
          <t>开票</t>
        </is>
      </c>
      <c r="H26" s="2" t="inlineStr">
        <is>
          <t>销项→欧冶</t>
        </is>
      </c>
      <c r="I26" s="2" t="inlineStr">
        <is>
          <t>俊兴</t>
        </is>
      </c>
      <c r="J26" s="2" t="inlineStr">
        <is>
          <t>欧冶物宝</t>
        </is>
      </c>
      <c r="K26" s="10" t="n">
        <v>77622.08</v>
      </c>
      <c r="L26" s="10" t="n">
        <v>0</v>
      </c>
      <c r="M26" s="10">
        <f>IF(OR(N26="已登记",LEFT(N26,2)="按状"),0,K26-L26)</f>
        <v/>
      </c>
      <c r="N26" s="2" t="inlineStr">
        <is>
          <t>按状态视为已完成(历史)</t>
        </is>
      </c>
      <c r="O26" s="2" t="n"/>
      <c r="P26" s="2" t="n"/>
    </row>
    <row r="27">
      <c r="A27" s="2" t="n">
        <v>9</v>
      </c>
      <c r="B27" s="8" t="n">
        <v>46256</v>
      </c>
      <c r="C27" s="2" t="inlineStr">
        <is>
          <t>苏MAK862</t>
        </is>
      </c>
      <c r="D27" s="2" t="inlineStr">
        <is>
          <t>配票/反向</t>
        </is>
      </c>
      <c r="E27" s="2" t="inlineStr">
        <is>
          <t>我们配票（经俊兴）</t>
        </is>
      </c>
      <c r="F27" s="2" t="inlineStr">
        <is>
          <t>俊兴</t>
        </is>
      </c>
      <c r="G27" s="2" t="inlineStr">
        <is>
          <t>回款</t>
        </is>
      </c>
      <c r="H27" s="2" t="inlineStr">
        <is>
          <t>欧冶回款</t>
        </is>
      </c>
      <c r="I27" s="2" t="inlineStr">
        <is>
          <t>欧冶物宝</t>
        </is>
      </c>
      <c r="J27" s="2" t="inlineStr">
        <is>
          <t>俊兴</t>
        </is>
      </c>
      <c r="K27" s="10" t="n">
        <v>77622.08</v>
      </c>
      <c r="L27" s="10" t="n">
        <v>0</v>
      </c>
      <c r="M27" s="10">
        <f>IF(OR(N27="已登记",LEFT(N27,2)="按状"),0,K27-L27)</f>
        <v/>
      </c>
      <c r="N27" s="2" t="inlineStr">
        <is>
          <t>待登记</t>
        </is>
      </c>
      <c r="O27" s="2" t="n">
        <v>30</v>
      </c>
      <c r="P27" s="2" t="n"/>
    </row>
    <row r="28">
      <c r="A28" s="2" t="n">
        <v>9</v>
      </c>
      <c r="B28" s="8" t="n">
        <v>46256</v>
      </c>
      <c r="C28" s="2" t="inlineStr">
        <is>
          <t>苏MAK862</t>
        </is>
      </c>
      <c r="D28" s="2" t="inlineStr">
        <is>
          <t>配票/反向</t>
        </is>
      </c>
      <c r="E28" s="2" t="inlineStr">
        <is>
          <t>我们配票（经俊兴）</t>
        </is>
      </c>
      <c r="F28" s="2" t="inlineStr">
        <is>
          <t>俊兴</t>
        </is>
      </c>
      <c r="G28" s="2" t="inlineStr">
        <is>
          <t>回款</t>
        </is>
      </c>
      <c r="H28" s="2" t="inlineStr">
        <is>
          <t>到客户账户</t>
        </is>
      </c>
      <c r="I28" s="2" t="inlineStr">
        <is>
          <t>俊兴</t>
        </is>
      </c>
      <c r="J28" s="2" t="inlineStr">
        <is>
          <t>俊兴·客户账户</t>
        </is>
      </c>
      <c r="K28" s="10" t="n">
        <v>77622.08</v>
      </c>
      <c r="L28" s="10" t="n">
        <v>0</v>
      </c>
      <c r="M28" s="10">
        <f>IF(OR(N28="已登记",LEFT(N28,2)="按状"),0,K28-L28)</f>
        <v/>
      </c>
      <c r="N28" s="2" t="inlineStr">
        <is>
          <t>未开始(前一环节未完成)</t>
        </is>
      </c>
      <c r="O28" s="2" t="n"/>
      <c r="P28" s="2" t="n"/>
    </row>
    <row r="29">
      <c r="A29" s="2" t="n">
        <v>10</v>
      </c>
      <c r="B29" s="8" t="n">
        <v>46259</v>
      </c>
      <c r="C29" s="2" t="inlineStr">
        <is>
          <t>苏DBE075</t>
        </is>
      </c>
      <c r="D29" s="2" t="inlineStr">
        <is>
          <t>配票/反向</t>
        </is>
      </c>
      <c r="E29" s="2" t="inlineStr">
        <is>
          <t>我们配票（经俊兴）</t>
        </is>
      </c>
      <c r="F29" s="2" t="inlineStr">
        <is>
          <t>林凯车队</t>
        </is>
      </c>
      <c r="G29" s="2" t="inlineStr">
        <is>
          <t>开票</t>
        </is>
      </c>
      <c r="H29" s="2" t="inlineStr">
        <is>
          <t>销项→欧冶</t>
        </is>
      </c>
      <c r="I29" s="2" t="inlineStr">
        <is>
          <t>俊兴</t>
        </is>
      </c>
      <c r="J29" s="2" t="inlineStr">
        <is>
          <t>欧冶物宝</t>
        </is>
      </c>
      <c r="K29" s="10" t="n">
        <v>182169</v>
      </c>
      <c r="L29" s="10" t="n">
        <v>0</v>
      </c>
      <c r="M29" s="10">
        <f>IF(OR(N29="已登记",LEFT(N29,2)="按状"),0,K29-L29)</f>
        <v/>
      </c>
      <c r="N29" s="2" t="inlineStr">
        <is>
          <t>按状态视为已完成(历史)</t>
        </is>
      </c>
      <c r="O29" s="2" t="n"/>
      <c r="P29" s="2" t="n"/>
    </row>
    <row r="30">
      <c r="A30" s="2" t="n">
        <v>10</v>
      </c>
      <c r="B30" s="8" t="n">
        <v>46259</v>
      </c>
      <c r="C30" s="2" t="inlineStr">
        <is>
          <t>苏DBE075</t>
        </is>
      </c>
      <c r="D30" s="2" t="inlineStr">
        <is>
          <t>配票/反向</t>
        </is>
      </c>
      <c r="E30" s="2" t="inlineStr">
        <is>
          <t>我们配票（经俊兴）</t>
        </is>
      </c>
      <c r="F30" s="2" t="inlineStr">
        <is>
          <t>林凯车队</t>
        </is>
      </c>
      <c r="G30" s="2" t="inlineStr">
        <is>
          <t>回款</t>
        </is>
      </c>
      <c r="H30" s="2" t="inlineStr">
        <is>
          <t>欧冶回款</t>
        </is>
      </c>
      <c r="I30" s="2" t="inlineStr">
        <is>
          <t>欧冶物宝</t>
        </is>
      </c>
      <c r="J30" s="2" t="inlineStr">
        <is>
          <t>俊兴</t>
        </is>
      </c>
      <c r="K30" s="10" t="n">
        <v>182169</v>
      </c>
      <c r="L30" s="10" t="n">
        <v>0</v>
      </c>
      <c r="M30" s="10">
        <f>IF(OR(N30="已登记",LEFT(N30,2)="按状"),0,K30-L30)</f>
        <v/>
      </c>
      <c r="N30" s="2" t="inlineStr">
        <is>
          <t>待登记</t>
        </is>
      </c>
      <c r="O30" s="2" t="n">
        <v>27</v>
      </c>
      <c r="P30" s="2" t="n"/>
    </row>
    <row r="31">
      <c r="A31" s="2" t="n">
        <v>10</v>
      </c>
      <c r="B31" s="8" t="n">
        <v>46259</v>
      </c>
      <c r="C31" s="2" t="inlineStr">
        <is>
          <t>苏DBE075</t>
        </is>
      </c>
      <c r="D31" s="2" t="inlineStr">
        <is>
          <t>配票/反向</t>
        </is>
      </c>
      <c r="E31" s="2" t="inlineStr">
        <is>
          <t>我们配票（经俊兴）</t>
        </is>
      </c>
      <c r="F31" s="2" t="inlineStr">
        <is>
          <t>林凯车队</t>
        </is>
      </c>
      <c r="G31" s="2" t="inlineStr">
        <is>
          <t>回款</t>
        </is>
      </c>
      <c r="H31" s="2" t="inlineStr">
        <is>
          <t>到客户账户</t>
        </is>
      </c>
      <c r="I31" s="2" t="inlineStr">
        <is>
          <t>俊兴</t>
        </is>
      </c>
      <c r="J31" s="2" t="inlineStr">
        <is>
          <t>林凯车队·客户账户</t>
        </is>
      </c>
      <c r="K31" s="10" t="n">
        <v>182169</v>
      </c>
      <c r="L31" s="10" t="n">
        <v>0</v>
      </c>
      <c r="M31" s="10">
        <f>IF(OR(N31="已登记",LEFT(N31,2)="按状"),0,K31-L31)</f>
        <v/>
      </c>
      <c r="N31" s="2" t="inlineStr">
        <is>
          <t>未开始(前一环节未完成)</t>
        </is>
      </c>
      <c r="O31" s="2" t="n"/>
      <c r="P31" s="2" t="n"/>
    </row>
    <row r="32">
      <c r="A32" s="2" t="n">
        <v>11</v>
      </c>
      <c r="B32" s="8" t="n">
        <v>46261</v>
      </c>
      <c r="C32" s="2" t="inlineStr">
        <is>
          <t>苏淮货16776</t>
        </is>
      </c>
      <c r="D32" s="2" t="inlineStr">
        <is>
          <t>配票/反向</t>
        </is>
      </c>
      <c r="E32" s="2" t="inlineStr">
        <is>
          <t>我们配票（经俊兴）</t>
        </is>
      </c>
      <c r="F32" s="2" t="inlineStr">
        <is>
          <t>俊兴</t>
        </is>
      </c>
      <c r="G32" s="2" t="inlineStr">
        <is>
          <t>开票</t>
        </is>
      </c>
      <c r="H32" s="2" t="inlineStr">
        <is>
          <t>销项→欧冶</t>
        </is>
      </c>
      <c r="I32" s="2" t="inlineStr">
        <is>
          <t>俊兴</t>
        </is>
      </c>
      <c r="J32" s="2" t="inlineStr">
        <is>
          <t>欧冶物宝</t>
        </is>
      </c>
      <c r="K32" s="10" t="n">
        <v>1331226.92</v>
      </c>
      <c r="L32" s="10" t="n">
        <v>0</v>
      </c>
      <c r="M32" s="10">
        <f>IF(OR(N32="已登记",LEFT(N32,2)="按状"),0,K32-L32)</f>
        <v/>
      </c>
      <c r="N32" s="2" t="inlineStr">
        <is>
          <t>按状态视为已完成(历史)</t>
        </is>
      </c>
      <c r="O32" s="2" t="n"/>
      <c r="P32" s="2" t="n"/>
    </row>
    <row r="33">
      <c r="A33" s="2" t="n">
        <v>11</v>
      </c>
      <c r="B33" s="8" t="n">
        <v>46261</v>
      </c>
      <c r="C33" s="2" t="inlineStr">
        <is>
          <t>苏淮货16776</t>
        </is>
      </c>
      <c r="D33" s="2" t="inlineStr">
        <is>
          <t>配票/反向</t>
        </is>
      </c>
      <c r="E33" s="2" t="inlineStr">
        <is>
          <t>我们配票（经俊兴）</t>
        </is>
      </c>
      <c r="F33" s="2" t="inlineStr">
        <is>
          <t>俊兴</t>
        </is>
      </c>
      <c r="G33" s="2" t="inlineStr">
        <is>
          <t>回款</t>
        </is>
      </c>
      <c r="H33" s="2" t="inlineStr">
        <is>
          <t>欧冶回款</t>
        </is>
      </c>
      <c r="I33" s="2" t="inlineStr">
        <is>
          <t>欧冶物宝</t>
        </is>
      </c>
      <c r="J33" s="2" t="inlineStr">
        <is>
          <t>俊兴</t>
        </is>
      </c>
      <c r="K33" s="10" t="n">
        <v>1331226.92</v>
      </c>
      <c r="L33" s="10" t="n">
        <v>0</v>
      </c>
      <c r="M33" s="10">
        <f>IF(OR(N33="已登记",LEFT(N33,2)="按状"),0,K33-L33)</f>
        <v/>
      </c>
      <c r="N33" s="2" t="inlineStr">
        <is>
          <t>待登记</t>
        </is>
      </c>
      <c r="O33" s="2" t="n">
        <v>25</v>
      </c>
      <c r="P33" s="2" t="n"/>
    </row>
    <row r="34">
      <c r="A34" s="2" t="n">
        <v>11</v>
      </c>
      <c r="B34" s="8" t="n">
        <v>46261</v>
      </c>
      <c r="C34" s="2" t="inlineStr">
        <is>
          <t>苏淮货16776</t>
        </is>
      </c>
      <c r="D34" s="2" t="inlineStr">
        <is>
          <t>配票/反向</t>
        </is>
      </c>
      <c r="E34" s="2" t="inlineStr">
        <is>
          <t>我们配票（经俊兴）</t>
        </is>
      </c>
      <c r="F34" s="2" t="inlineStr">
        <is>
          <t>俊兴</t>
        </is>
      </c>
      <c r="G34" s="2" t="inlineStr">
        <is>
          <t>回款</t>
        </is>
      </c>
      <c r="H34" s="2" t="inlineStr">
        <is>
          <t>到客户账户</t>
        </is>
      </c>
      <c r="I34" s="2" t="inlineStr">
        <is>
          <t>俊兴</t>
        </is>
      </c>
      <c r="J34" s="2" t="inlineStr">
        <is>
          <t>俊兴·客户账户</t>
        </is>
      </c>
      <c r="K34" s="10" t="n">
        <v>1331226.92</v>
      </c>
      <c r="L34" s="10" t="n">
        <v>0</v>
      </c>
      <c r="M34" s="10">
        <f>IF(OR(N34="已登记",LEFT(N34,2)="按状"),0,K34-L34)</f>
        <v/>
      </c>
      <c r="N34" s="2" t="inlineStr">
        <is>
          <t>未开始(前一环节未完成)</t>
        </is>
      </c>
      <c r="O34" s="2" t="n"/>
      <c r="P34" s="2" t="n"/>
    </row>
    <row r="35">
      <c r="A35" s="2" t="n">
        <v>12</v>
      </c>
      <c r="B35" s="8" t="n">
        <v>46261</v>
      </c>
      <c r="C35" s="2" t="inlineStr">
        <is>
          <t>苏NEX375</t>
        </is>
      </c>
      <c r="D35" s="2" t="inlineStr">
        <is>
          <t>配票/反向</t>
        </is>
      </c>
      <c r="E35" s="2" t="inlineStr">
        <is>
          <t>我们配票（经俊兴）</t>
        </is>
      </c>
      <c r="F35" s="2" t="inlineStr">
        <is>
          <t>林凯车队</t>
        </is>
      </c>
      <c r="G35" s="2" t="inlineStr">
        <is>
          <t>开票</t>
        </is>
      </c>
      <c r="H35" s="2" t="inlineStr">
        <is>
          <t>销项→欧冶</t>
        </is>
      </c>
      <c r="I35" s="2" t="inlineStr">
        <is>
          <t>俊兴</t>
        </is>
      </c>
      <c r="J35" s="2" t="inlineStr">
        <is>
          <t>欧冶物宝</t>
        </is>
      </c>
      <c r="K35" s="10" t="n">
        <v>92500.19</v>
      </c>
      <c r="L35" s="10" t="n">
        <v>0</v>
      </c>
      <c r="M35" s="10">
        <f>IF(OR(N35="已登记",LEFT(N35,2)="按状"),0,K35-L35)</f>
        <v/>
      </c>
      <c r="N35" s="2" t="inlineStr">
        <is>
          <t>按状态视为已完成(历史)</t>
        </is>
      </c>
      <c r="O35" s="2" t="n"/>
      <c r="P35" s="2" t="n"/>
    </row>
    <row r="36">
      <c r="A36" s="2" t="n">
        <v>12</v>
      </c>
      <c r="B36" s="8" t="n">
        <v>46261</v>
      </c>
      <c r="C36" s="2" t="inlineStr">
        <is>
          <t>苏NEX375</t>
        </is>
      </c>
      <c r="D36" s="2" t="inlineStr">
        <is>
          <t>配票/反向</t>
        </is>
      </c>
      <c r="E36" s="2" t="inlineStr">
        <is>
          <t>我们配票（经俊兴）</t>
        </is>
      </c>
      <c r="F36" s="2" t="inlineStr">
        <is>
          <t>林凯车队</t>
        </is>
      </c>
      <c r="G36" s="2" t="inlineStr">
        <is>
          <t>回款</t>
        </is>
      </c>
      <c r="H36" s="2" t="inlineStr">
        <is>
          <t>欧冶回款</t>
        </is>
      </c>
      <c r="I36" s="2" t="inlineStr">
        <is>
          <t>欧冶物宝</t>
        </is>
      </c>
      <c r="J36" s="2" t="inlineStr">
        <is>
          <t>俊兴</t>
        </is>
      </c>
      <c r="K36" s="10" t="n">
        <v>92500.19</v>
      </c>
      <c r="L36" s="10" t="n">
        <v>0</v>
      </c>
      <c r="M36" s="10">
        <f>IF(OR(N36="已登记",LEFT(N36,2)="按状"),0,K36-L36)</f>
        <v/>
      </c>
      <c r="N36" s="2" t="inlineStr">
        <is>
          <t>待登记</t>
        </is>
      </c>
      <c r="O36" s="2" t="n">
        <v>25</v>
      </c>
      <c r="P36" s="2" t="n"/>
    </row>
    <row r="37">
      <c r="A37" s="2" t="n">
        <v>12</v>
      </c>
      <c r="B37" s="8" t="n">
        <v>46261</v>
      </c>
      <c r="C37" s="2" t="inlineStr">
        <is>
          <t>苏NEX375</t>
        </is>
      </c>
      <c r="D37" s="2" t="inlineStr">
        <is>
          <t>配票/反向</t>
        </is>
      </c>
      <c r="E37" s="2" t="inlineStr">
        <is>
          <t>我们配票（经俊兴）</t>
        </is>
      </c>
      <c r="F37" s="2" t="inlineStr">
        <is>
          <t>林凯车队</t>
        </is>
      </c>
      <c r="G37" s="2" t="inlineStr">
        <is>
          <t>回款</t>
        </is>
      </c>
      <c r="H37" s="2" t="inlineStr">
        <is>
          <t>到客户账户</t>
        </is>
      </c>
      <c r="I37" s="2" t="inlineStr">
        <is>
          <t>俊兴</t>
        </is>
      </c>
      <c r="J37" s="2" t="inlineStr">
        <is>
          <t>林凯车队·客户账户</t>
        </is>
      </c>
      <c r="K37" s="10" t="n">
        <v>92500.19</v>
      </c>
      <c r="L37" s="10" t="n">
        <v>0</v>
      </c>
      <c r="M37" s="10">
        <f>IF(OR(N37="已登记",LEFT(N37,2)="按状"),0,K37-L37)</f>
        <v/>
      </c>
      <c r="N37" s="2" t="inlineStr">
        <is>
          <t>未开始(前一环节未完成)</t>
        </is>
      </c>
      <c r="O37" s="2" t="n"/>
      <c r="P37" s="2" t="n"/>
    </row>
    <row r="38">
      <c r="A38" s="2" t="n">
        <v>13</v>
      </c>
      <c r="B38" s="8" t="n">
        <v>46261</v>
      </c>
      <c r="C38" s="2" t="inlineStr">
        <is>
          <t>苏DFM060</t>
        </is>
      </c>
      <c r="D38" s="2" t="inlineStr">
        <is>
          <t>配票/反向</t>
        </is>
      </c>
      <c r="E38" s="2" t="inlineStr">
        <is>
          <t>我们配票（经俊兴）</t>
        </is>
      </c>
      <c r="F38" s="2" t="inlineStr">
        <is>
          <t>林凯车队</t>
        </is>
      </c>
      <c r="G38" s="2" t="inlineStr">
        <is>
          <t>开票</t>
        </is>
      </c>
      <c r="H38" s="2" t="inlineStr">
        <is>
          <t>销项→欧冶</t>
        </is>
      </c>
      <c r="I38" s="2" t="inlineStr">
        <is>
          <t>俊兴</t>
        </is>
      </c>
      <c r="J38" s="2" t="inlineStr">
        <is>
          <t>欧冶物宝</t>
        </is>
      </c>
      <c r="K38" s="10" t="n">
        <v>83417.60000000001</v>
      </c>
      <c r="L38" s="10" t="n">
        <v>0</v>
      </c>
      <c r="M38" s="10">
        <f>IF(OR(N38="已登记",LEFT(N38,2)="按状"),0,K38-L38)</f>
        <v/>
      </c>
      <c r="N38" s="2" t="inlineStr">
        <is>
          <t>按状态视为已完成(历史)</t>
        </is>
      </c>
      <c r="O38" s="2" t="n"/>
      <c r="P38" s="2" t="n"/>
    </row>
    <row r="39">
      <c r="A39" s="2" t="n">
        <v>13</v>
      </c>
      <c r="B39" s="8" t="n">
        <v>46261</v>
      </c>
      <c r="C39" s="2" t="inlineStr">
        <is>
          <t>苏DFM060</t>
        </is>
      </c>
      <c r="D39" s="2" t="inlineStr">
        <is>
          <t>配票/反向</t>
        </is>
      </c>
      <c r="E39" s="2" t="inlineStr">
        <is>
          <t>我们配票（经俊兴）</t>
        </is>
      </c>
      <c r="F39" s="2" t="inlineStr">
        <is>
          <t>林凯车队</t>
        </is>
      </c>
      <c r="G39" s="2" t="inlineStr">
        <is>
          <t>回款</t>
        </is>
      </c>
      <c r="H39" s="2" t="inlineStr">
        <is>
          <t>欧冶回款</t>
        </is>
      </c>
      <c r="I39" s="2" t="inlineStr">
        <is>
          <t>欧冶物宝</t>
        </is>
      </c>
      <c r="J39" s="2" t="inlineStr">
        <is>
          <t>俊兴</t>
        </is>
      </c>
      <c r="K39" s="10" t="n">
        <v>83417.60000000001</v>
      </c>
      <c r="L39" s="10" t="n">
        <v>0</v>
      </c>
      <c r="M39" s="10">
        <f>IF(OR(N39="已登记",LEFT(N39,2)="按状"),0,K39-L39)</f>
        <v/>
      </c>
      <c r="N39" s="2" t="inlineStr">
        <is>
          <t>待登记</t>
        </is>
      </c>
      <c r="O39" s="2" t="n">
        <v>25</v>
      </c>
      <c r="P39" s="2" t="n"/>
    </row>
    <row r="40">
      <c r="A40" s="2" t="n">
        <v>13</v>
      </c>
      <c r="B40" s="8" t="n">
        <v>46261</v>
      </c>
      <c r="C40" s="2" t="inlineStr">
        <is>
          <t>苏DFM060</t>
        </is>
      </c>
      <c r="D40" s="2" t="inlineStr">
        <is>
          <t>配票/反向</t>
        </is>
      </c>
      <c r="E40" s="2" t="inlineStr">
        <is>
          <t>我们配票（经俊兴）</t>
        </is>
      </c>
      <c r="F40" s="2" t="inlineStr">
        <is>
          <t>林凯车队</t>
        </is>
      </c>
      <c r="G40" s="2" t="inlineStr">
        <is>
          <t>回款</t>
        </is>
      </c>
      <c r="H40" s="2" t="inlineStr">
        <is>
          <t>到客户账户</t>
        </is>
      </c>
      <c r="I40" s="2" t="inlineStr">
        <is>
          <t>俊兴</t>
        </is>
      </c>
      <c r="J40" s="2" t="inlineStr">
        <is>
          <t>林凯车队·客户账户</t>
        </is>
      </c>
      <c r="K40" s="10" t="n">
        <v>83417.60000000001</v>
      </c>
      <c r="L40" s="10" t="n">
        <v>0</v>
      </c>
      <c r="M40" s="10">
        <f>IF(OR(N40="已登记",LEFT(N40,2)="按状"),0,K40-L40)</f>
        <v/>
      </c>
      <c r="N40" s="2" t="inlineStr">
        <is>
          <t>未开始(前一环节未完成)</t>
        </is>
      </c>
      <c r="O40" s="2" t="n"/>
      <c r="P40" s="2" t="n"/>
    </row>
    <row r="41">
      <c r="A41" s="2" t="n">
        <v>14</v>
      </c>
      <c r="B41" s="8" t="n">
        <v>46261</v>
      </c>
      <c r="C41" s="2" t="inlineStr">
        <is>
          <t>苏DBB772</t>
        </is>
      </c>
      <c r="D41" s="2" t="inlineStr">
        <is>
          <t>配票/反向</t>
        </is>
      </c>
      <c r="E41" s="2" t="inlineStr">
        <is>
          <t>供货厂自带票（带票带货）</t>
        </is>
      </c>
      <c r="F41" s="2" t="inlineStr">
        <is>
          <t>君盛</t>
        </is>
      </c>
      <c r="G41" s="2" t="inlineStr">
        <is>
          <t>开票</t>
        </is>
      </c>
      <c r="H41" s="2" t="inlineStr">
        <is>
          <t>销项→欧冶</t>
        </is>
      </c>
      <c r="I41" s="2" t="inlineStr">
        <is>
          <t>君盛</t>
        </is>
      </c>
      <c r="J41" s="2" t="inlineStr">
        <is>
          <t>欧冶物宝</t>
        </is>
      </c>
      <c r="K41" s="10" t="n">
        <v>146809.74</v>
      </c>
      <c r="L41" s="10" t="n">
        <v>0</v>
      </c>
      <c r="M41" s="10">
        <f>IF(OR(N41="已登记",LEFT(N41,2)="按状"),0,K41-L41)</f>
        <v/>
      </c>
      <c r="N41" s="2" t="inlineStr">
        <is>
          <t>按状态视为已完成(历史)</t>
        </is>
      </c>
      <c r="O41" s="2" t="n"/>
      <c r="P41" s="2" t="n"/>
    </row>
    <row r="42">
      <c r="A42" s="2" t="n">
        <v>14</v>
      </c>
      <c r="B42" s="8" t="n">
        <v>46261</v>
      </c>
      <c r="C42" s="2" t="inlineStr">
        <is>
          <t>苏DBB772</t>
        </is>
      </c>
      <c r="D42" s="2" t="inlineStr">
        <is>
          <t>配票/反向</t>
        </is>
      </c>
      <c r="E42" s="2" t="inlineStr">
        <is>
          <t>供货厂自带票（带票带货）</t>
        </is>
      </c>
      <c r="F42" s="2" t="inlineStr">
        <is>
          <t>君盛</t>
        </is>
      </c>
      <c r="G42" s="2" t="inlineStr">
        <is>
          <t>回款</t>
        </is>
      </c>
      <c r="H42" s="2" t="inlineStr">
        <is>
          <t>欧冶回款</t>
        </is>
      </c>
      <c r="I42" s="2" t="inlineStr">
        <is>
          <t>欧冶物宝</t>
        </is>
      </c>
      <c r="J42" s="2" t="inlineStr">
        <is>
          <t>君盛</t>
        </is>
      </c>
      <c r="K42" s="10" t="n">
        <v>146809.74</v>
      </c>
      <c r="L42" s="10" t="n">
        <v>0</v>
      </c>
      <c r="M42" s="10">
        <f>IF(OR(N42="已登记",LEFT(N42,2)="按状"),0,K42-L42)</f>
        <v/>
      </c>
      <c r="N42" s="2" t="inlineStr">
        <is>
          <t>待登记</t>
        </is>
      </c>
      <c r="O42" s="2" t="n">
        <v>25</v>
      </c>
      <c r="P42" s="2" t="n"/>
    </row>
    <row r="43">
      <c r="A43" s="2" t="n">
        <v>15</v>
      </c>
      <c r="B43" s="8" t="n">
        <v>46261</v>
      </c>
      <c r="C43" s="2" t="inlineStr">
        <is>
          <t>苏BDK567</t>
        </is>
      </c>
      <c r="D43" s="2" t="inlineStr">
        <is>
          <t>配票/反向</t>
        </is>
      </c>
      <c r="E43" s="2" t="inlineStr">
        <is>
          <t>我们配票（经俊兴）</t>
        </is>
      </c>
      <c r="F43" s="2" t="inlineStr">
        <is>
          <t>林凯车队</t>
        </is>
      </c>
      <c r="G43" s="2" t="inlineStr">
        <is>
          <t>开票</t>
        </is>
      </c>
      <c r="H43" s="2" t="inlineStr">
        <is>
          <t>销项→欧冶</t>
        </is>
      </c>
      <c r="I43" s="2" t="inlineStr">
        <is>
          <t>俊兴</t>
        </is>
      </c>
      <c r="J43" s="2" t="inlineStr">
        <is>
          <t>欧冶物宝</t>
        </is>
      </c>
      <c r="K43" s="10" t="n">
        <v>77945.60000000001</v>
      </c>
      <c r="L43" s="10" t="n">
        <v>0</v>
      </c>
      <c r="M43" s="10">
        <f>IF(OR(N43="已登记",LEFT(N43,2)="按状"),0,K43-L43)</f>
        <v/>
      </c>
      <c r="N43" s="2" t="inlineStr">
        <is>
          <t>按状态视为已完成(历史)</t>
        </is>
      </c>
      <c r="O43" s="2" t="n"/>
      <c r="P43" s="2" t="n"/>
    </row>
    <row r="44">
      <c r="A44" s="2" t="n">
        <v>15</v>
      </c>
      <c r="B44" s="8" t="n">
        <v>46261</v>
      </c>
      <c r="C44" s="2" t="inlineStr">
        <is>
          <t>苏BDK567</t>
        </is>
      </c>
      <c r="D44" s="2" t="inlineStr">
        <is>
          <t>配票/反向</t>
        </is>
      </c>
      <c r="E44" s="2" t="inlineStr">
        <is>
          <t>我们配票（经俊兴）</t>
        </is>
      </c>
      <c r="F44" s="2" t="inlineStr">
        <is>
          <t>林凯车队</t>
        </is>
      </c>
      <c r="G44" s="2" t="inlineStr">
        <is>
          <t>回款</t>
        </is>
      </c>
      <c r="H44" s="2" t="inlineStr">
        <is>
          <t>欧冶回款</t>
        </is>
      </c>
      <c r="I44" s="2" t="inlineStr">
        <is>
          <t>欧冶物宝</t>
        </is>
      </c>
      <c r="J44" s="2" t="inlineStr">
        <is>
          <t>俊兴</t>
        </is>
      </c>
      <c r="K44" s="10" t="n">
        <v>77945.60000000001</v>
      </c>
      <c r="L44" s="10" t="n">
        <v>0</v>
      </c>
      <c r="M44" s="10">
        <f>IF(OR(N44="已登记",LEFT(N44,2)="按状"),0,K44-L44)</f>
        <v/>
      </c>
      <c r="N44" s="2" t="inlineStr">
        <is>
          <t>待登记</t>
        </is>
      </c>
      <c r="O44" s="2" t="n">
        <v>25</v>
      </c>
      <c r="P44" s="2" t="n"/>
    </row>
    <row r="45">
      <c r="A45" s="2" t="n">
        <v>15</v>
      </c>
      <c r="B45" s="8" t="n">
        <v>46261</v>
      </c>
      <c r="C45" s="2" t="inlineStr">
        <is>
          <t>苏BDK567</t>
        </is>
      </c>
      <c r="D45" s="2" t="inlineStr">
        <is>
          <t>配票/反向</t>
        </is>
      </c>
      <c r="E45" s="2" t="inlineStr">
        <is>
          <t>我们配票（经俊兴）</t>
        </is>
      </c>
      <c r="F45" s="2" t="inlineStr">
        <is>
          <t>林凯车队</t>
        </is>
      </c>
      <c r="G45" s="2" t="inlineStr">
        <is>
          <t>回款</t>
        </is>
      </c>
      <c r="H45" s="2" t="inlineStr">
        <is>
          <t>到客户账户</t>
        </is>
      </c>
      <c r="I45" s="2" t="inlineStr">
        <is>
          <t>俊兴</t>
        </is>
      </c>
      <c r="J45" s="2" t="inlineStr">
        <is>
          <t>林凯车队·客户账户</t>
        </is>
      </c>
      <c r="K45" s="10" t="n">
        <v>77945.60000000001</v>
      </c>
      <c r="L45" s="10" t="n">
        <v>0</v>
      </c>
      <c r="M45" s="10">
        <f>IF(OR(N45="已登记",LEFT(N45,2)="按状"),0,K45-L45)</f>
        <v/>
      </c>
      <c r="N45" s="2" t="inlineStr">
        <is>
          <t>未开始(前一环节未完成)</t>
        </is>
      </c>
      <c r="O45" s="2" t="n"/>
      <c r="P45" s="2" t="n"/>
    </row>
    <row r="46">
      <c r="A46" s="2" t="n">
        <v>16</v>
      </c>
      <c r="B46" s="8" t="n">
        <v>46261</v>
      </c>
      <c r="C46" s="2" t="inlineStr">
        <is>
          <t>苏BZP839</t>
        </is>
      </c>
      <c r="D46" s="2" t="inlineStr">
        <is>
          <t>配票/反向</t>
        </is>
      </c>
      <c r="E46" s="2" t="inlineStr">
        <is>
          <t>我们配票（经俊兴）</t>
        </is>
      </c>
      <c r="F46" s="2" t="inlineStr">
        <is>
          <t>林凯车队</t>
        </is>
      </c>
      <c r="G46" s="2" t="inlineStr">
        <is>
          <t>开票</t>
        </is>
      </c>
      <c r="H46" s="2" t="inlineStr">
        <is>
          <t>销项→欧冶</t>
        </is>
      </c>
      <c r="I46" s="2" t="inlineStr">
        <is>
          <t>俊兴</t>
        </is>
      </c>
      <c r="J46" s="2" t="inlineStr">
        <is>
          <t>欧冶物宝</t>
        </is>
      </c>
      <c r="K46" s="10" t="n">
        <v>67914.83</v>
      </c>
      <c r="L46" s="10" t="n">
        <v>0</v>
      </c>
      <c r="M46" s="10">
        <f>IF(OR(N46="已登记",LEFT(N46,2)="按状"),0,K46-L46)</f>
        <v/>
      </c>
      <c r="N46" s="2" t="inlineStr">
        <is>
          <t>按状态视为已完成(历史)</t>
        </is>
      </c>
      <c r="O46" s="2" t="n"/>
      <c r="P46" s="2" t="n"/>
    </row>
    <row r="47">
      <c r="A47" s="2" t="n">
        <v>16</v>
      </c>
      <c r="B47" s="8" t="n">
        <v>46261</v>
      </c>
      <c r="C47" s="2" t="inlineStr">
        <is>
          <t>苏BZP839</t>
        </is>
      </c>
      <c r="D47" s="2" t="inlineStr">
        <is>
          <t>配票/反向</t>
        </is>
      </c>
      <c r="E47" s="2" t="inlineStr">
        <is>
          <t>我们配票（经俊兴）</t>
        </is>
      </c>
      <c r="F47" s="2" t="inlineStr">
        <is>
          <t>林凯车队</t>
        </is>
      </c>
      <c r="G47" s="2" t="inlineStr">
        <is>
          <t>回款</t>
        </is>
      </c>
      <c r="H47" s="2" t="inlineStr">
        <is>
          <t>欧冶回款</t>
        </is>
      </c>
      <c r="I47" s="2" t="inlineStr">
        <is>
          <t>欧冶物宝</t>
        </is>
      </c>
      <c r="J47" s="2" t="inlineStr">
        <is>
          <t>俊兴</t>
        </is>
      </c>
      <c r="K47" s="10" t="n">
        <v>67914.83</v>
      </c>
      <c r="L47" s="10" t="n">
        <v>0</v>
      </c>
      <c r="M47" s="10">
        <f>IF(OR(N47="已登记",LEFT(N47,2)="按状"),0,K47-L47)</f>
        <v/>
      </c>
      <c r="N47" s="2" t="inlineStr">
        <is>
          <t>待登记</t>
        </is>
      </c>
      <c r="O47" s="2" t="n">
        <v>25</v>
      </c>
      <c r="P47" s="2" t="n"/>
    </row>
    <row r="48">
      <c r="A48" s="2" t="n">
        <v>16</v>
      </c>
      <c r="B48" s="8" t="n">
        <v>46261</v>
      </c>
      <c r="C48" s="2" t="inlineStr">
        <is>
          <t>苏BZP839</t>
        </is>
      </c>
      <c r="D48" s="2" t="inlineStr">
        <is>
          <t>配票/反向</t>
        </is>
      </c>
      <c r="E48" s="2" t="inlineStr">
        <is>
          <t>我们配票（经俊兴）</t>
        </is>
      </c>
      <c r="F48" s="2" t="inlineStr">
        <is>
          <t>林凯车队</t>
        </is>
      </c>
      <c r="G48" s="2" t="inlineStr">
        <is>
          <t>回款</t>
        </is>
      </c>
      <c r="H48" s="2" t="inlineStr">
        <is>
          <t>到客户账户</t>
        </is>
      </c>
      <c r="I48" s="2" t="inlineStr">
        <is>
          <t>俊兴</t>
        </is>
      </c>
      <c r="J48" s="2" t="inlineStr">
        <is>
          <t>林凯车队·客户账户</t>
        </is>
      </c>
      <c r="K48" s="10" t="n">
        <v>67914.83</v>
      </c>
      <c r="L48" s="10" t="n">
        <v>0</v>
      </c>
      <c r="M48" s="10">
        <f>IF(OR(N48="已登记",LEFT(N48,2)="按状"),0,K48-L48)</f>
        <v/>
      </c>
      <c r="N48" s="2" t="inlineStr">
        <is>
          <t>未开始(前一环节未完成)</t>
        </is>
      </c>
      <c r="O48" s="2" t="n"/>
      <c r="P48" s="2" t="n"/>
    </row>
    <row r="49">
      <c r="A49" s="2" t="n">
        <v>17</v>
      </c>
      <c r="B49" s="8" t="n">
        <v>46261</v>
      </c>
      <c r="C49" s="2" t="inlineStr">
        <is>
          <t>苏NEV615</t>
        </is>
      </c>
      <c r="D49" s="2" t="inlineStr">
        <is>
          <t>配票/反向</t>
        </is>
      </c>
      <c r="E49" s="2" t="inlineStr">
        <is>
          <t>我们配票（经俊兴）</t>
        </is>
      </c>
      <c r="F49" s="2" t="inlineStr">
        <is>
          <t>俊兴</t>
        </is>
      </c>
      <c r="G49" s="2" t="inlineStr">
        <is>
          <t>开票</t>
        </is>
      </c>
      <c r="H49" s="2" t="inlineStr">
        <is>
          <t>销项→欧冶</t>
        </is>
      </c>
      <c r="I49" s="2" t="inlineStr">
        <is>
          <t>俊兴</t>
        </is>
      </c>
      <c r="J49" s="2" t="inlineStr">
        <is>
          <t>欧冶物宝</t>
        </is>
      </c>
      <c r="K49" s="10" t="n">
        <v>89077.66</v>
      </c>
      <c r="L49" s="10" t="n">
        <v>0</v>
      </c>
      <c r="M49" s="10">
        <f>IF(OR(N49="已登记",LEFT(N49,2)="按状"),0,K49-L49)</f>
        <v/>
      </c>
      <c r="N49" s="2" t="inlineStr">
        <is>
          <t>按状态视为已完成(历史)</t>
        </is>
      </c>
      <c r="O49" s="2" t="n"/>
      <c r="P49" s="2" t="n"/>
    </row>
    <row r="50">
      <c r="A50" s="2" t="n">
        <v>17</v>
      </c>
      <c r="B50" s="8" t="n">
        <v>46261</v>
      </c>
      <c r="C50" s="2" t="inlineStr">
        <is>
          <t>苏NEV615</t>
        </is>
      </c>
      <c r="D50" s="2" t="inlineStr">
        <is>
          <t>配票/反向</t>
        </is>
      </c>
      <c r="E50" s="2" t="inlineStr">
        <is>
          <t>我们配票（经俊兴）</t>
        </is>
      </c>
      <c r="F50" s="2" t="inlineStr">
        <is>
          <t>俊兴</t>
        </is>
      </c>
      <c r="G50" s="2" t="inlineStr">
        <is>
          <t>回款</t>
        </is>
      </c>
      <c r="H50" s="2" t="inlineStr">
        <is>
          <t>欧冶回款</t>
        </is>
      </c>
      <c r="I50" s="2" t="inlineStr">
        <is>
          <t>欧冶物宝</t>
        </is>
      </c>
      <c r="J50" s="2" t="inlineStr">
        <is>
          <t>俊兴</t>
        </is>
      </c>
      <c r="K50" s="10" t="n">
        <v>89077.66</v>
      </c>
      <c r="L50" s="10" t="n">
        <v>0</v>
      </c>
      <c r="M50" s="10">
        <f>IF(OR(N50="已登记",LEFT(N50,2)="按状"),0,K50-L50)</f>
        <v/>
      </c>
      <c r="N50" s="2" t="inlineStr">
        <is>
          <t>待登记</t>
        </is>
      </c>
      <c r="O50" s="2" t="n">
        <v>25</v>
      </c>
      <c r="P50" s="2" t="n"/>
    </row>
    <row r="51">
      <c r="A51" s="2" t="n">
        <v>17</v>
      </c>
      <c r="B51" s="8" t="n">
        <v>46261</v>
      </c>
      <c r="C51" s="2" t="inlineStr">
        <is>
          <t>苏NEV615</t>
        </is>
      </c>
      <c r="D51" s="2" t="inlineStr">
        <is>
          <t>配票/反向</t>
        </is>
      </c>
      <c r="E51" s="2" t="inlineStr">
        <is>
          <t>我们配票（经俊兴）</t>
        </is>
      </c>
      <c r="F51" s="2" t="inlineStr">
        <is>
          <t>俊兴</t>
        </is>
      </c>
      <c r="G51" s="2" t="inlineStr">
        <is>
          <t>回款</t>
        </is>
      </c>
      <c r="H51" s="2" t="inlineStr">
        <is>
          <t>到客户账户</t>
        </is>
      </c>
      <c r="I51" s="2" t="inlineStr">
        <is>
          <t>俊兴</t>
        </is>
      </c>
      <c r="J51" s="2" t="inlineStr">
        <is>
          <t>俊兴·客户账户</t>
        </is>
      </c>
      <c r="K51" s="10" t="n">
        <v>89077.66</v>
      </c>
      <c r="L51" s="10" t="n">
        <v>0</v>
      </c>
      <c r="M51" s="10">
        <f>IF(OR(N51="已登记",LEFT(N51,2)="按状"),0,K51-L51)</f>
        <v/>
      </c>
      <c r="N51" s="2" t="inlineStr">
        <is>
          <t>未开始(前一环节未完成)</t>
        </is>
      </c>
      <c r="O51" s="2" t="n"/>
      <c r="P51" s="2" t="n"/>
    </row>
    <row r="52">
      <c r="A52" s="2" t="n">
        <v>18</v>
      </c>
      <c r="B52" s="8" t="n">
        <v>46261</v>
      </c>
      <c r="C52" s="2" t="inlineStr">
        <is>
          <t>苏ERS080</t>
        </is>
      </c>
      <c r="D52" s="2" t="inlineStr">
        <is>
          <t>配票/反向</t>
        </is>
      </c>
      <c r="E52" s="2" t="inlineStr">
        <is>
          <t>我们配票（经俊兴）</t>
        </is>
      </c>
      <c r="F52" s="2" t="inlineStr">
        <is>
          <t>林凯车队</t>
        </is>
      </c>
      <c r="G52" s="2" t="inlineStr">
        <is>
          <t>开票</t>
        </is>
      </c>
      <c r="H52" s="2" t="inlineStr">
        <is>
          <t>销项→欧冶</t>
        </is>
      </c>
      <c r="I52" s="2" t="inlineStr">
        <is>
          <t>俊兴</t>
        </is>
      </c>
      <c r="J52" s="2" t="inlineStr">
        <is>
          <t>欧冶物宝</t>
        </is>
      </c>
      <c r="K52" s="10" t="n">
        <v>114999.26</v>
      </c>
      <c r="L52" s="10" t="n">
        <v>0</v>
      </c>
      <c r="M52" s="10">
        <f>IF(OR(N52="已登记",LEFT(N52,2)="按状"),0,K52-L52)</f>
        <v/>
      </c>
      <c r="N52" s="2" t="inlineStr">
        <is>
          <t>按状态视为已完成(历史)</t>
        </is>
      </c>
      <c r="O52" s="2" t="n"/>
      <c r="P52" s="2" t="n"/>
    </row>
    <row r="53">
      <c r="A53" s="2" t="n">
        <v>18</v>
      </c>
      <c r="B53" s="8" t="n">
        <v>46261</v>
      </c>
      <c r="C53" s="2" t="inlineStr">
        <is>
          <t>苏ERS080</t>
        </is>
      </c>
      <c r="D53" s="2" t="inlineStr">
        <is>
          <t>配票/反向</t>
        </is>
      </c>
      <c r="E53" s="2" t="inlineStr">
        <is>
          <t>我们配票（经俊兴）</t>
        </is>
      </c>
      <c r="F53" s="2" t="inlineStr">
        <is>
          <t>林凯车队</t>
        </is>
      </c>
      <c r="G53" s="2" t="inlineStr">
        <is>
          <t>回款</t>
        </is>
      </c>
      <c r="H53" s="2" t="inlineStr">
        <is>
          <t>欧冶回款</t>
        </is>
      </c>
      <c r="I53" s="2" t="inlineStr">
        <is>
          <t>欧冶物宝</t>
        </is>
      </c>
      <c r="J53" s="2" t="inlineStr">
        <is>
          <t>俊兴</t>
        </is>
      </c>
      <c r="K53" s="10" t="n">
        <v>114999.26</v>
      </c>
      <c r="L53" s="10" t="n">
        <v>0</v>
      </c>
      <c r="M53" s="10">
        <f>IF(OR(N53="已登记",LEFT(N53,2)="按状"),0,K53-L53)</f>
        <v/>
      </c>
      <c r="N53" s="2" t="inlineStr">
        <is>
          <t>待登记</t>
        </is>
      </c>
      <c r="O53" s="2" t="n">
        <v>25</v>
      </c>
      <c r="P53" s="2" t="n"/>
    </row>
    <row r="54">
      <c r="A54" s="2" t="n">
        <v>18</v>
      </c>
      <c r="B54" s="8" t="n">
        <v>46261</v>
      </c>
      <c r="C54" s="2" t="inlineStr">
        <is>
          <t>苏ERS080</t>
        </is>
      </c>
      <c r="D54" s="2" t="inlineStr">
        <is>
          <t>配票/反向</t>
        </is>
      </c>
      <c r="E54" s="2" t="inlineStr">
        <is>
          <t>我们配票（经俊兴）</t>
        </is>
      </c>
      <c r="F54" s="2" t="inlineStr">
        <is>
          <t>林凯车队</t>
        </is>
      </c>
      <c r="G54" s="2" t="inlineStr">
        <is>
          <t>回款</t>
        </is>
      </c>
      <c r="H54" s="2" t="inlineStr">
        <is>
          <t>到客户账户</t>
        </is>
      </c>
      <c r="I54" s="2" t="inlineStr">
        <is>
          <t>俊兴</t>
        </is>
      </c>
      <c r="J54" s="2" t="inlineStr">
        <is>
          <t>林凯车队·客户账户</t>
        </is>
      </c>
      <c r="K54" s="10" t="n">
        <v>114999.26</v>
      </c>
      <c r="L54" s="10" t="n">
        <v>0</v>
      </c>
      <c r="M54" s="10">
        <f>IF(OR(N54="已登记",LEFT(N54,2)="按状"),0,K54-L54)</f>
        <v/>
      </c>
      <c r="N54" s="2" t="inlineStr">
        <is>
          <t>未开始(前一环节未完成)</t>
        </is>
      </c>
      <c r="O54" s="2" t="n"/>
      <c r="P54" s="2" t="n"/>
    </row>
    <row r="55">
      <c r="A55" s="2" t="n">
        <v>19</v>
      </c>
      <c r="B55" s="8" t="n">
        <v>46261</v>
      </c>
      <c r="C55" s="2" t="inlineStr">
        <is>
          <t>鲁济宁货4095</t>
        </is>
      </c>
      <c r="D55" s="2" t="inlineStr">
        <is>
          <t>配票/反向</t>
        </is>
      </c>
      <c r="E55" s="2" t="inlineStr">
        <is>
          <t>我们配票（经俊兴）</t>
        </is>
      </c>
      <c r="F55" s="2" t="inlineStr">
        <is>
          <t>俊兴</t>
        </is>
      </c>
      <c r="G55" s="2" t="inlineStr">
        <is>
          <t>开票</t>
        </is>
      </c>
      <c r="H55" s="2" t="inlineStr">
        <is>
          <t>销项→欧冶</t>
        </is>
      </c>
      <c r="I55" s="2" t="inlineStr">
        <is>
          <t>俊兴</t>
        </is>
      </c>
      <c r="J55" s="2" t="inlineStr">
        <is>
          <t>欧冶物宝</t>
        </is>
      </c>
      <c r="K55" s="10" t="n">
        <v>1259333.92</v>
      </c>
      <c r="L55" s="10" t="n">
        <v>0</v>
      </c>
      <c r="M55" s="10">
        <f>IF(OR(N55="已登记",LEFT(N55,2)="按状"),0,K55-L55)</f>
        <v/>
      </c>
      <c r="N55" s="2" t="inlineStr">
        <is>
          <t>按状态视为已完成(历史)</t>
        </is>
      </c>
      <c r="O55" s="2" t="n"/>
      <c r="P55" s="2" t="n"/>
    </row>
    <row r="56">
      <c r="A56" s="2" t="n">
        <v>19</v>
      </c>
      <c r="B56" s="8" t="n">
        <v>46261</v>
      </c>
      <c r="C56" s="2" t="inlineStr">
        <is>
          <t>鲁济宁货4095</t>
        </is>
      </c>
      <c r="D56" s="2" t="inlineStr">
        <is>
          <t>配票/反向</t>
        </is>
      </c>
      <c r="E56" s="2" t="inlineStr">
        <is>
          <t>我们配票（经俊兴）</t>
        </is>
      </c>
      <c r="F56" s="2" t="inlineStr">
        <is>
          <t>俊兴</t>
        </is>
      </c>
      <c r="G56" s="2" t="inlineStr">
        <is>
          <t>回款</t>
        </is>
      </c>
      <c r="H56" s="2" t="inlineStr">
        <is>
          <t>欧冶回款</t>
        </is>
      </c>
      <c r="I56" s="2" t="inlineStr">
        <is>
          <t>欧冶物宝</t>
        </is>
      </c>
      <c r="J56" s="2" t="inlineStr">
        <is>
          <t>俊兴</t>
        </is>
      </c>
      <c r="K56" s="10" t="n">
        <v>1259333.92</v>
      </c>
      <c r="L56" s="10" t="n">
        <v>0</v>
      </c>
      <c r="M56" s="10">
        <f>IF(OR(N56="已登记",LEFT(N56,2)="按状"),0,K56-L56)</f>
        <v/>
      </c>
      <c r="N56" s="2" t="inlineStr">
        <is>
          <t>待登记</t>
        </is>
      </c>
      <c r="O56" s="2" t="n">
        <v>25</v>
      </c>
      <c r="P56" s="2" t="n"/>
    </row>
    <row r="57">
      <c r="A57" s="2" t="n">
        <v>19</v>
      </c>
      <c r="B57" s="8" t="n">
        <v>46261</v>
      </c>
      <c r="C57" s="2" t="inlineStr">
        <is>
          <t>鲁济宁货4095</t>
        </is>
      </c>
      <c r="D57" s="2" t="inlineStr">
        <is>
          <t>配票/反向</t>
        </is>
      </c>
      <c r="E57" s="2" t="inlineStr">
        <is>
          <t>我们配票（经俊兴）</t>
        </is>
      </c>
      <c r="F57" s="2" t="inlineStr">
        <is>
          <t>俊兴</t>
        </is>
      </c>
      <c r="G57" s="2" t="inlineStr">
        <is>
          <t>回款</t>
        </is>
      </c>
      <c r="H57" s="2" t="inlineStr">
        <is>
          <t>到客户账户</t>
        </is>
      </c>
      <c r="I57" s="2" t="inlineStr">
        <is>
          <t>俊兴</t>
        </is>
      </c>
      <c r="J57" s="2" t="inlineStr">
        <is>
          <t>俊兴·客户账户</t>
        </is>
      </c>
      <c r="K57" s="10" t="n">
        <v>1259333.92</v>
      </c>
      <c r="L57" s="10" t="n">
        <v>0</v>
      </c>
      <c r="M57" s="10">
        <f>IF(OR(N57="已登记",LEFT(N57,2)="按状"),0,K57-L57)</f>
        <v/>
      </c>
      <c r="N57" s="2" t="inlineStr">
        <is>
          <t>未开始(前一环节未完成)</t>
        </is>
      </c>
      <c r="O57" s="2" t="n"/>
      <c r="P57" s="2" t="n"/>
    </row>
    <row r="58">
      <c r="A58" s="2" t="n">
        <v>20</v>
      </c>
      <c r="B58" s="8" t="n">
        <v>46262</v>
      </c>
      <c r="C58" s="2" t="inlineStr">
        <is>
          <t>苏DBE075</t>
        </is>
      </c>
      <c r="D58" s="2" t="inlineStr">
        <is>
          <t>配票/反向</t>
        </is>
      </c>
      <c r="E58" s="2" t="inlineStr">
        <is>
          <t>我们配票（经俊兴）</t>
        </is>
      </c>
      <c r="F58" s="2" t="inlineStr">
        <is>
          <t>林凯车队</t>
        </is>
      </c>
      <c r="G58" s="2" t="inlineStr">
        <is>
          <t>开票</t>
        </is>
      </c>
      <c r="H58" s="2" t="inlineStr">
        <is>
          <t>销项→欧冶</t>
        </is>
      </c>
      <c r="I58" s="2" t="inlineStr">
        <is>
          <t>俊兴</t>
        </is>
      </c>
      <c r="J58" s="2" t="inlineStr">
        <is>
          <t>欧冶物宝</t>
        </is>
      </c>
      <c r="K58" s="10" t="n">
        <v>87745.39999999999</v>
      </c>
      <c r="L58" s="10" t="n">
        <v>0</v>
      </c>
      <c r="M58" s="10">
        <f>IF(OR(N58="已登记",LEFT(N58,2)="按状"),0,K58-L58)</f>
        <v/>
      </c>
      <c r="N58" s="2" t="inlineStr">
        <is>
          <t>按状态视为已完成(历史)</t>
        </is>
      </c>
      <c r="O58" s="2" t="n"/>
      <c r="P58" s="2" t="n"/>
    </row>
    <row r="59">
      <c r="A59" s="2" t="n">
        <v>20</v>
      </c>
      <c r="B59" s="8" t="n">
        <v>46262</v>
      </c>
      <c r="C59" s="2" t="inlineStr">
        <is>
          <t>苏DBE075</t>
        </is>
      </c>
      <c r="D59" s="2" t="inlineStr">
        <is>
          <t>配票/反向</t>
        </is>
      </c>
      <c r="E59" s="2" t="inlineStr">
        <is>
          <t>我们配票（经俊兴）</t>
        </is>
      </c>
      <c r="F59" s="2" t="inlineStr">
        <is>
          <t>林凯车队</t>
        </is>
      </c>
      <c r="G59" s="2" t="inlineStr">
        <is>
          <t>回款</t>
        </is>
      </c>
      <c r="H59" s="2" t="inlineStr">
        <is>
          <t>欧冶回款</t>
        </is>
      </c>
      <c r="I59" s="2" t="inlineStr">
        <is>
          <t>欧冶物宝</t>
        </is>
      </c>
      <c r="J59" s="2" t="inlineStr">
        <is>
          <t>俊兴</t>
        </is>
      </c>
      <c r="K59" s="10" t="n">
        <v>87745.39999999999</v>
      </c>
      <c r="L59" s="10" t="n">
        <v>0</v>
      </c>
      <c r="M59" s="10">
        <f>IF(OR(N59="已登记",LEFT(N59,2)="按状"),0,K59-L59)</f>
        <v/>
      </c>
      <c r="N59" s="2" t="inlineStr">
        <is>
          <t>待登记</t>
        </is>
      </c>
      <c r="O59" s="2" t="n">
        <v>24</v>
      </c>
      <c r="P59" s="2" t="n"/>
    </row>
    <row r="60">
      <c r="A60" s="2" t="n">
        <v>20</v>
      </c>
      <c r="B60" s="8" t="n">
        <v>46262</v>
      </c>
      <c r="C60" s="2" t="inlineStr">
        <is>
          <t>苏DBE075</t>
        </is>
      </c>
      <c r="D60" s="2" t="inlineStr">
        <is>
          <t>配票/反向</t>
        </is>
      </c>
      <c r="E60" s="2" t="inlineStr">
        <is>
          <t>我们配票（经俊兴）</t>
        </is>
      </c>
      <c r="F60" s="2" t="inlineStr">
        <is>
          <t>林凯车队</t>
        </is>
      </c>
      <c r="G60" s="2" t="inlineStr">
        <is>
          <t>回款</t>
        </is>
      </c>
      <c r="H60" s="2" t="inlineStr">
        <is>
          <t>到客户账户</t>
        </is>
      </c>
      <c r="I60" s="2" t="inlineStr">
        <is>
          <t>俊兴</t>
        </is>
      </c>
      <c r="J60" s="2" t="inlineStr">
        <is>
          <t>林凯车队·客户账户</t>
        </is>
      </c>
      <c r="K60" s="10" t="n">
        <v>87745.39999999999</v>
      </c>
      <c r="L60" s="10" t="n">
        <v>0</v>
      </c>
      <c r="M60" s="10">
        <f>IF(OR(N60="已登记",LEFT(N60,2)="按状"),0,K60-L60)</f>
        <v/>
      </c>
      <c r="N60" s="2" t="inlineStr">
        <is>
          <t>未开始(前一环节未完成)</t>
        </is>
      </c>
      <c r="O60" s="2" t="n"/>
      <c r="P60" s="2" t="n"/>
    </row>
    <row r="61">
      <c r="A61" s="2" t="n">
        <v>21</v>
      </c>
      <c r="B61" s="8" t="n">
        <v>46262</v>
      </c>
      <c r="C61" s="2" t="inlineStr">
        <is>
          <t>苏DBX137</t>
        </is>
      </c>
      <c r="D61" s="2" t="inlineStr">
        <is>
          <t>配票/反向</t>
        </is>
      </c>
      <c r="E61" s="2" t="inlineStr">
        <is>
          <t>我们配票（经俊兴）</t>
        </is>
      </c>
      <c r="F61" s="2" t="inlineStr">
        <is>
          <t>林凯车队</t>
        </is>
      </c>
      <c r="G61" s="2" t="inlineStr">
        <is>
          <t>开票</t>
        </is>
      </c>
      <c r="H61" s="2" t="inlineStr">
        <is>
          <t>销项→欧冶</t>
        </is>
      </c>
      <c r="I61" s="2" t="inlineStr">
        <is>
          <t>俊兴</t>
        </is>
      </c>
      <c r="J61" s="2" t="inlineStr">
        <is>
          <t>欧冶物宝</t>
        </is>
      </c>
      <c r="K61" s="10" t="n">
        <v>44022.04</v>
      </c>
      <c r="L61" s="10" t="n">
        <v>0</v>
      </c>
      <c r="M61" s="10">
        <f>IF(OR(N61="已登记",LEFT(N61,2)="按状"),0,K61-L61)</f>
        <v/>
      </c>
      <c r="N61" s="2" t="inlineStr">
        <is>
          <t>按状态视为已完成(历史)</t>
        </is>
      </c>
      <c r="O61" s="2" t="n"/>
      <c r="P61" s="2" t="n"/>
    </row>
    <row r="62">
      <c r="A62" s="2" t="n">
        <v>21</v>
      </c>
      <c r="B62" s="8" t="n">
        <v>46262</v>
      </c>
      <c r="C62" s="2" t="inlineStr">
        <is>
          <t>苏DBX137</t>
        </is>
      </c>
      <c r="D62" s="2" t="inlineStr">
        <is>
          <t>配票/反向</t>
        </is>
      </c>
      <c r="E62" s="2" t="inlineStr">
        <is>
          <t>我们配票（经俊兴）</t>
        </is>
      </c>
      <c r="F62" s="2" t="inlineStr">
        <is>
          <t>林凯车队</t>
        </is>
      </c>
      <c r="G62" s="2" t="inlineStr">
        <is>
          <t>回款</t>
        </is>
      </c>
      <c r="H62" s="2" t="inlineStr">
        <is>
          <t>欧冶回款</t>
        </is>
      </c>
      <c r="I62" s="2" t="inlineStr">
        <is>
          <t>欧冶物宝</t>
        </is>
      </c>
      <c r="J62" s="2" t="inlineStr">
        <is>
          <t>俊兴</t>
        </is>
      </c>
      <c r="K62" s="10" t="n">
        <v>44022.04</v>
      </c>
      <c r="L62" s="10" t="n">
        <v>0</v>
      </c>
      <c r="M62" s="10">
        <f>IF(OR(N62="已登记",LEFT(N62,2)="按状"),0,K62-L62)</f>
        <v/>
      </c>
      <c r="N62" s="2" t="inlineStr">
        <is>
          <t>待登记</t>
        </is>
      </c>
      <c r="O62" s="2" t="n">
        <v>24</v>
      </c>
      <c r="P62" s="2" t="n"/>
    </row>
    <row r="63">
      <c r="A63" s="2" t="n">
        <v>21</v>
      </c>
      <c r="B63" s="8" t="n">
        <v>46262</v>
      </c>
      <c r="C63" s="2" t="inlineStr">
        <is>
          <t>苏DBX137</t>
        </is>
      </c>
      <c r="D63" s="2" t="inlineStr">
        <is>
          <t>配票/反向</t>
        </is>
      </c>
      <c r="E63" s="2" t="inlineStr">
        <is>
          <t>我们配票（经俊兴）</t>
        </is>
      </c>
      <c r="F63" s="2" t="inlineStr">
        <is>
          <t>林凯车队</t>
        </is>
      </c>
      <c r="G63" s="2" t="inlineStr">
        <is>
          <t>回款</t>
        </is>
      </c>
      <c r="H63" s="2" t="inlineStr">
        <is>
          <t>到客户账户</t>
        </is>
      </c>
      <c r="I63" s="2" t="inlineStr">
        <is>
          <t>俊兴</t>
        </is>
      </c>
      <c r="J63" s="2" t="inlineStr">
        <is>
          <t>林凯车队·客户账户</t>
        </is>
      </c>
      <c r="K63" s="10" t="n">
        <v>44022.04</v>
      </c>
      <c r="L63" s="10" t="n">
        <v>0</v>
      </c>
      <c r="M63" s="10">
        <f>IF(OR(N63="已登记",LEFT(N63,2)="按状"),0,K63-L63)</f>
        <v/>
      </c>
      <c r="N63" s="2" t="inlineStr">
        <is>
          <t>未开始(前一环节未完成)</t>
        </is>
      </c>
      <c r="O63" s="2" t="n"/>
      <c r="P63" s="2" t="n"/>
    </row>
    <row r="64">
      <c r="A64" s="2" t="n">
        <v>22</v>
      </c>
      <c r="B64" s="8" t="n">
        <v>46262</v>
      </c>
      <c r="C64" s="2" t="inlineStr">
        <is>
          <t>苏DFB287</t>
        </is>
      </c>
      <c r="D64" s="2" t="inlineStr">
        <is>
          <t>配票/反向</t>
        </is>
      </c>
      <c r="E64" s="2" t="inlineStr">
        <is>
          <t>我们配票（经俊兴）</t>
        </is>
      </c>
      <c r="F64" s="2" t="inlineStr">
        <is>
          <t>林凯车队</t>
        </is>
      </c>
      <c r="G64" s="2" t="inlineStr">
        <is>
          <t>开票</t>
        </is>
      </c>
      <c r="H64" s="2" t="inlineStr">
        <is>
          <t>销项→欧冶</t>
        </is>
      </c>
      <c r="I64" s="2" t="inlineStr">
        <is>
          <t>俊兴</t>
        </is>
      </c>
      <c r="J64" s="2" t="inlineStr">
        <is>
          <t>欧冶物宝</t>
        </is>
      </c>
      <c r="K64" s="10" t="n">
        <v>189762.3</v>
      </c>
      <c r="L64" s="10" t="n">
        <v>0</v>
      </c>
      <c r="M64" s="10">
        <f>IF(OR(N64="已登记",LEFT(N64,2)="按状"),0,K64-L64)</f>
        <v/>
      </c>
      <c r="N64" s="2" t="inlineStr">
        <is>
          <t>按状态视为已完成(历史)</t>
        </is>
      </c>
      <c r="O64" s="2" t="n"/>
      <c r="P64" s="2" t="n"/>
    </row>
    <row r="65">
      <c r="A65" s="2" t="n">
        <v>22</v>
      </c>
      <c r="B65" s="8" t="n">
        <v>46262</v>
      </c>
      <c r="C65" s="2" t="inlineStr">
        <is>
          <t>苏DFB287</t>
        </is>
      </c>
      <c r="D65" s="2" t="inlineStr">
        <is>
          <t>配票/反向</t>
        </is>
      </c>
      <c r="E65" s="2" t="inlineStr">
        <is>
          <t>我们配票（经俊兴）</t>
        </is>
      </c>
      <c r="F65" s="2" t="inlineStr">
        <is>
          <t>林凯车队</t>
        </is>
      </c>
      <c r="G65" s="2" t="inlineStr">
        <is>
          <t>回款</t>
        </is>
      </c>
      <c r="H65" s="2" t="inlineStr">
        <is>
          <t>欧冶回款</t>
        </is>
      </c>
      <c r="I65" s="2" t="inlineStr">
        <is>
          <t>欧冶物宝</t>
        </is>
      </c>
      <c r="J65" s="2" t="inlineStr">
        <is>
          <t>俊兴</t>
        </is>
      </c>
      <c r="K65" s="10" t="n">
        <v>189762.3</v>
      </c>
      <c r="L65" s="10" t="n">
        <v>0</v>
      </c>
      <c r="M65" s="10">
        <f>IF(OR(N65="已登记",LEFT(N65,2)="按状"),0,K65-L65)</f>
        <v/>
      </c>
      <c r="N65" s="2" t="inlineStr">
        <is>
          <t>待登记</t>
        </is>
      </c>
      <c r="O65" s="2" t="n">
        <v>24</v>
      </c>
      <c r="P65" s="2" t="n"/>
    </row>
    <row r="66">
      <c r="A66" s="2" t="n">
        <v>22</v>
      </c>
      <c r="B66" s="8" t="n">
        <v>46262</v>
      </c>
      <c r="C66" s="2" t="inlineStr">
        <is>
          <t>苏DFB287</t>
        </is>
      </c>
      <c r="D66" s="2" t="inlineStr">
        <is>
          <t>配票/反向</t>
        </is>
      </c>
      <c r="E66" s="2" t="inlineStr">
        <is>
          <t>我们配票（经俊兴）</t>
        </is>
      </c>
      <c r="F66" s="2" t="inlineStr">
        <is>
          <t>林凯车队</t>
        </is>
      </c>
      <c r="G66" s="2" t="inlineStr">
        <is>
          <t>回款</t>
        </is>
      </c>
      <c r="H66" s="2" t="inlineStr">
        <is>
          <t>到客户账户</t>
        </is>
      </c>
      <c r="I66" s="2" t="inlineStr">
        <is>
          <t>俊兴</t>
        </is>
      </c>
      <c r="J66" s="2" t="inlineStr">
        <is>
          <t>林凯车队·客户账户</t>
        </is>
      </c>
      <c r="K66" s="10" t="n">
        <v>189762.3</v>
      </c>
      <c r="L66" s="10" t="n">
        <v>0</v>
      </c>
      <c r="M66" s="10">
        <f>IF(OR(N66="已登记",LEFT(N66,2)="按状"),0,K66-L66)</f>
        <v/>
      </c>
      <c r="N66" s="2" t="inlineStr">
        <is>
          <t>未开始(前一环节未完成)</t>
        </is>
      </c>
      <c r="O66" s="2" t="n"/>
      <c r="P66" s="2" t="n"/>
    </row>
    <row r="67">
      <c r="A67" s="2" t="n">
        <v>23</v>
      </c>
      <c r="B67" s="8" t="n">
        <v>46262</v>
      </c>
      <c r="C67" s="2" t="inlineStr">
        <is>
          <t>苏DFM060</t>
        </is>
      </c>
      <c r="D67" s="2" t="inlineStr">
        <is>
          <t>配票/反向</t>
        </is>
      </c>
      <c r="E67" s="2" t="inlineStr">
        <is>
          <t>我们配票（经俊兴）</t>
        </is>
      </c>
      <c r="F67" s="2" t="inlineStr">
        <is>
          <t>林凯车队</t>
        </is>
      </c>
      <c r="G67" s="2" t="inlineStr">
        <is>
          <t>开票</t>
        </is>
      </c>
      <c r="H67" s="2" t="inlineStr">
        <is>
          <t>销项→欧冶</t>
        </is>
      </c>
      <c r="I67" s="2" t="inlineStr">
        <is>
          <t>俊兴</t>
        </is>
      </c>
      <c r="J67" s="2" t="inlineStr">
        <is>
          <t>欧冶物宝</t>
        </is>
      </c>
      <c r="K67" s="10" t="n">
        <v>128955.66</v>
      </c>
      <c r="L67" s="10" t="n">
        <v>0</v>
      </c>
      <c r="M67" s="10">
        <f>IF(OR(N67="已登记",LEFT(N67,2)="按状"),0,K67-L67)</f>
        <v/>
      </c>
      <c r="N67" s="2" t="inlineStr">
        <is>
          <t>按状态视为已完成(历史)</t>
        </is>
      </c>
      <c r="O67" s="2" t="n"/>
      <c r="P67" s="2" t="n"/>
    </row>
    <row r="68">
      <c r="A68" s="2" t="n">
        <v>23</v>
      </c>
      <c r="B68" s="8" t="n">
        <v>46262</v>
      </c>
      <c r="C68" s="2" t="inlineStr">
        <is>
          <t>苏DFM060</t>
        </is>
      </c>
      <c r="D68" s="2" t="inlineStr">
        <is>
          <t>配票/反向</t>
        </is>
      </c>
      <c r="E68" s="2" t="inlineStr">
        <is>
          <t>我们配票（经俊兴）</t>
        </is>
      </c>
      <c r="F68" s="2" t="inlineStr">
        <is>
          <t>林凯车队</t>
        </is>
      </c>
      <c r="G68" s="2" t="inlineStr">
        <is>
          <t>回款</t>
        </is>
      </c>
      <c r="H68" s="2" t="inlineStr">
        <is>
          <t>欧冶回款</t>
        </is>
      </c>
      <c r="I68" s="2" t="inlineStr">
        <is>
          <t>欧冶物宝</t>
        </is>
      </c>
      <c r="J68" s="2" t="inlineStr">
        <is>
          <t>俊兴</t>
        </is>
      </c>
      <c r="K68" s="10" t="n">
        <v>128955.66</v>
      </c>
      <c r="L68" s="10" t="n">
        <v>0</v>
      </c>
      <c r="M68" s="10">
        <f>IF(OR(N68="已登记",LEFT(N68,2)="按状"),0,K68-L68)</f>
        <v/>
      </c>
      <c r="N68" s="2" t="inlineStr">
        <is>
          <t>待登记</t>
        </is>
      </c>
      <c r="O68" s="2" t="n">
        <v>24</v>
      </c>
      <c r="P68" s="2" t="n"/>
    </row>
    <row r="69">
      <c r="A69" s="2" t="n">
        <v>23</v>
      </c>
      <c r="B69" s="8" t="n">
        <v>46262</v>
      </c>
      <c r="C69" s="2" t="inlineStr">
        <is>
          <t>苏DFM060</t>
        </is>
      </c>
      <c r="D69" s="2" t="inlineStr">
        <is>
          <t>配票/反向</t>
        </is>
      </c>
      <c r="E69" s="2" t="inlineStr">
        <is>
          <t>我们配票（经俊兴）</t>
        </is>
      </c>
      <c r="F69" s="2" t="inlineStr">
        <is>
          <t>林凯车队</t>
        </is>
      </c>
      <c r="G69" s="2" t="inlineStr">
        <is>
          <t>回款</t>
        </is>
      </c>
      <c r="H69" s="2" t="inlineStr">
        <is>
          <t>到客户账户</t>
        </is>
      </c>
      <c r="I69" s="2" t="inlineStr">
        <is>
          <t>俊兴</t>
        </is>
      </c>
      <c r="J69" s="2" t="inlineStr">
        <is>
          <t>林凯车队·客户账户</t>
        </is>
      </c>
      <c r="K69" s="10" t="n">
        <v>128955.66</v>
      </c>
      <c r="L69" s="10" t="n">
        <v>0</v>
      </c>
      <c r="M69" s="10">
        <f>IF(OR(N69="已登记",LEFT(N69,2)="按状"),0,K69-L69)</f>
        <v/>
      </c>
      <c r="N69" s="2" t="inlineStr">
        <is>
          <t>未开始(前一环节未完成)</t>
        </is>
      </c>
      <c r="O69" s="2" t="n"/>
      <c r="P69" s="2" t="n"/>
    </row>
    <row r="70">
      <c r="A70" s="2" t="n">
        <v>24</v>
      </c>
      <c r="B70" s="8" t="n">
        <v>46262</v>
      </c>
      <c r="C70" s="2" t="inlineStr">
        <is>
          <t>苏DBB772</t>
        </is>
      </c>
      <c r="D70" s="2" t="inlineStr">
        <is>
          <t>配票/反向</t>
        </is>
      </c>
      <c r="E70" s="2" t="inlineStr">
        <is>
          <t>我们配票（经俊兴）</t>
        </is>
      </c>
      <c r="F70" s="2" t="inlineStr">
        <is>
          <t>林凯车队</t>
        </is>
      </c>
      <c r="G70" s="2" t="inlineStr">
        <is>
          <t>开票</t>
        </is>
      </c>
      <c r="H70" s="2" t="inlineStr">
        <is>
          <t>销项→欧冶</t>
        </is>
      </c>
      <c r="I70" s="2" t="inlineStr">
        <is>
          <t>俊兴</t>
        </is>
      </c>
      <c r="J70" s="2" t="inlineStr">
        <is>
          <t>欧冶物宝</t>
        </is>
      </c>
      <c r="K70" s="10" t="n">
        <v>151899.8</v>
      </c>
      <c r="L70" s="10" t="n">
        <v>0</v>
      </c>
      <c r="M70" s="10">
        <f>IF(OR(N70="已登记",LEFT(N70,2)="按状"),0,K70-L70)</f>
        <v/>
      </c>
      <c r="N70" s="2" t="inlineStr">
        <is>
          <t>按状态视为已完成(历史)</t>
        </is>
      </c>
      <c r="O70" s="2" t="n"/>
      <c r="P70" s="2" t="n"/>
    </row>
    <row r="71">
      <c r="A71" s="2" t="n">
        <v>24</v>
      </c>
      <c r="B71" s="8" t="n">
        <v>46262</v>
      </c>
      <c r="C71" s="2" t="inlineStr">
        <is>
          <t>苏DBB772</t>
        </is>
      </c>
      <c r="D71" s="2" t="inlineStr">
        <is>
          <t>配票/反向</t>
        </is>
      </c>
      <c r="E71" s="2" t="inlineStr">
        <is>
          <t>我们配票（经俊兴）</t>
        </is>
      </c>
      <c r="F71" s="2" t="inlineStr">
        <is>
          <t>林凯车队</t>
        </is>
      </c>
      <c r="G71" s="2" t="inlineStr">
        <is>
          <t>回款</t>
        </is>
      </c>
      <c r="H71" s="2" t="inlineStr">
        <is>
          <t>欧冶回款</t>
        </is>
      </c>
      <c r="I71" s="2" t="inlineStr">
        <is>
          <t>欧冶物宝</t>
        </is>
      </c>
      <c r="J71" s="2" t="inlineStr">
        <is>
          <t>俊兴</t>
        </is>
      </c>
      <c r="K71" s="10" t="n">
        <v>151899.8</v>
      </c>
      <c r="L71" s="10" t="n">
        <v>0</v>
      </c>
      <c r="M71" s="10">
        <f>IF(OR(N71="已登记",LEFT(N71,2)="按状"),0,K71-L71)</f>
        <v/>
      </c>
      <c r="N71" s="2" t="inlineStr">
        <is>
          <t>待登记</t>
        </is>
      </c>
      <c r="O71" s="2" t="n">
        <v>24</v>
      </c>
      <c r="P71" s="2" t="n"/>
    </row>
    <row r="72">
      <c r="A72" s="2" t="n">
        <v>24</v>
      </c>
      <c r="B72" s="8" t="n">
        <v>46262</v>
      </c>
      <c r="C72" s="2" t="inlineStr">
        <is>
          <t>苏DBB772</t>
        </is>
      </c>
      <c r="D72" s="2" t="inlineStr">
        <is>
          <t>配票/反向</t>
        </is>
      </c>
      <c r="E72" s="2" t="inlineStr">
        <is>
          <t>我们配票（经俊兴）</t>
        </is>
      </c>
      <c r="F72" s="2" t="inlineStr">
        <is>
          <t>林凯车队</t>
        </is>
      </c>
      <c r="G72" s="2" t="inlineStr">
        <is>
          <t>回款</t>
        </is>
      </c>
      <c r="H72" s="2" t="inlineStr">
        <is>
          <t>到客户账户</t>
        </is>
      </c>
      <c r="I72" s="2" t="inlineStr">
        <is>
          <t>俊兴</t>
        </is>
      </c>
      <c r="J72" s="2" t="inlineStr">
        <is>
          <t>林凯车队·客户账户</t>
        </is>
      </c>
      <c r="K72" s="10" t="n">
        <v>151899.8</v>
      </c>
      <c r="L72" s="10" t="n">
        <v>0</v>
      </c>
      <c r="M72" s="10">
        <f>IF(OR(N72="已登记",LEFT(N72,2)="按状"),0,K72-L72)</f>
        <v/>
      </c>
      <c r="N72" s="2" t="inlineStr">
        <is>
          <t>未开始(前一环节未完成)</t>
        </is>
      </c>
      <c r="O72" s="2" t="n"/>
      <c r="P72" s="2" t="n"/>
    </row>
    <row r="73">
      <c r="A73" s="2" t="n">
        <v>25</v>
      </c>
      <c r="B73" s="8" t="n">
        <v>46262</v>
      </c>
      <c r="C73" s="2" t="inlineStr">
        <is>
          <t>苏BDK567</t>
        </is>
      </c>
      <c r="D73" s="2" t="inlineStr">
        <is>
          <t>配票/反向</t>
        </is>
      </c>
      <c r="E73" s="2" t="inlineStr">
        <is>
          <t>我们配票（经俊兴）</t>
        </is>
      </c>
      <c r="F73" s="2" t="inlineStr">
        <is>
          <t>林凯车队</t>
        </is>
      </c>
      <c r="G73" s="2" t="inlineStr">
        <is>
          <t>开票</t>
        </is>
      </c>
      <c r="H73" s="2" t="inlineStr">
        <is>
          <t>销项→欧冶</t>
        </is>
      </c>
      <c r="I73" s="2" t="inlineStr">
        <is>
          <t>俊兴</t>
        </is>
      </c>
      <c r="J73" s="2" t="inlineStr">
        <is>
          <t>欧冶物宝</t>
        </is>
      </c>
      <c r="K73" s="10" t="n">
        <v>82709.74000000001</v>
      </c>
      <c r="L73" s="10" t="n">
        <v>0</v>
      </c>
      <c r="M73" s="10">
        <f>IF(OR(N73="已登记",LEFT(N73,2)="按状"),0,K73-L73)</f>
        <v/>
      </c>
      <c r="N73" s="2" t="inlineStr">
        <is>
          <t>按状态视为已完成(历史)</t>
        </is>
      </c>
      <c r="O73" s="2" t="n"/>
      <c r="P73" s="2" t="n"/>
    </row>
    <row r="74">
      <c r="A74" s="2" t="n">
        <v>25</v>
      </c>
      <c r="B74" s="8" t="n">
        <v>46262</v>
      </c>
      <c r="C74" s="2" t="inlineStr">
        <is>
          <t>苏BDK567</t>
        </is>
      </c>
      <c r="D74" s="2" t="inlineStr">
        <is>
          <t>配票/反向</t>
        </is>
      </c>
      <c r="E74" s="2" t="inlineStr">
        <is>
          <t>我们配票（经俊兴）</t>
        </is>
      </c>
      <c r="F74" s="2" t="inlineStr">
        <is>
          <t>林凯车队</t>
        </is>
      </c>
      <c r="G74" s="2" t="inlineStr">
        <is>
          <t>回款</t>
        </is>
      </c>
      <c r="H74" s="2" t="inlineStr">
        <is>
          <t>欧冶回款</t>
        </is>
      </c>
      <c r="I74" s="2" t="inlineStr">
        <is>
          <t>欧冶物宝</t>
        </is>
      </c>
      <c r="J74" s="2" t="inlineStr">
        <is>
          <t>俊兴</t>
        </is>
      </c>
      <c r="K74" s="10" t="n">
        <v>82709.74000000001</v>
      </c>
      <c r="L74" s="10" t="n">
        <v>0</v>
      </c>
      <c r="M74" s="10">
        <f>IF(OR(N74="已登记",LEFT(N74,2)="按状"),0,K74-L74)</f>
        <v/>
      </c>
      <c r="N74" s="2" t="inlineStr">
        <is>
          <t>待登记</t>
        </is>
      </c>
      <c r="O74" s="2" t="n">
        <v>24</v>
      </c>
      <c r="P74" s="2" t="n"/>
    </row>
    <row r="75">
      <c r="A75" s="2" t="n">
        <v>25</v>
      </c>
      <c r="B75" s="8" t="n">
        <v>46262</v>
      </c>
      <c r="C75" s="2" t="inlineStr">
        <is>
          <t>苏BDK567</t>
        </is>
      </c>
      <c r="D75" s="2" t="inlineStr">
        <is>
          <t>配票/反向</t>
        </is>
      </c>
      <c r="E75" s="2" t="inlineStr">
        <is>
          <t>我们配票（经俊兴）</t>
        </is>
      </c>
      <c r="F75" s="2" t="inlineStr">
        <is>
          <t>林凯车队</t>
        </is>
      </c>
      <c r="G75" s="2" t="inlineStr">
        <is>
          <t>回款</t>
        </is>
      </c>
      <c r="H75" s="2" t="inlineStr">
        <is>
          <t>到客户账户</t>
        </is>
      </c>
      <c r="I75" s="2" t="inlineStr">
        <is>
          <t>俊兴</t>
        </is>
      </c>
      <c r="J75" s="2" t="inlineStr">
        <is>
          <t>林凯车队·客户账户</t>
        </is>
      </c>
      <c r="K75" s="10" t="n">
        <v>82709.74000000001</v>
      </c>
      <c r="L75" s="10" t="n">
        <v>0</v>
      </c>
      <c r="M75" s="10">
        <f>IF(OR(N75="已登记",LEFT(N75,2)="按状"),0,K75-L75)</f>
        <v/>
      </c>
      <c r="N75" s="2" t="inlineStr">
        <is>
          <t>未开始(前一环节未完成)</t>
        </is>
      </c>
      <c r="O75" s="2" t="n"/>
      <c r="P75" s="2" t="n"/>
    </row>
    <row r="76">
      <c r="A76" s="2" t="n">
        <v>26</v>
      </c>
      <c r="B76" s="8" t="n">
        <v>46262</v>
      </c>
      <c r="C76" s="2" t="inlineStr">
        <is>
          <t>苏BUK952</t>
        </is>
      </c>
      <c r="D76" s="2" t="inlineStr">
        <is>
          <t>配票/反向</t>
        </is>
      </c>
      <c r="E76" s="2" t="inlineStr">
        <is>
          <t>我们配票（经俊兴）</t>
        </is>
      </c>
      <c r="F76" s="2" t="inlineStr">
        <is>
          <t>林凯车队</t>
        </is>
      </c>
      <c r="G76" s="2" t="inlineStr">
        <is>
          <t>开票</t>
        </is>
      </c>
      <c r="H76" s="2" t="inlineStr">
        <is>
          <t>销项→欧冶</t>
        </is>
      </c>
      <c r="I76" s="2" t="inlineStr">
        <is>
          <t>俊兴</t>
        </is>
      </c>
      <c r="J76" s="2" t="inlineStr">
        <is>
          <t>欧冶物宝</t>
        </is>
      </c>
      <c r="K76" s="10" t="n">
        <v>65790.74000000001</v>
      </c>
      <c r="L76" s="10" t="n">
        <v>0</v>
      </c>
      <c r="M76" s="10">
        <f>IF(OR(N76="已登记",LEFT(N76,2)="按状"),0,K76-L76)</f>
        <v/>
      </c>
      <c r="N76" s="2" t="inlineStr">
        <is>
          <t>按状态视为已完成(历史)</t>
        </is>
      </c>
      <c r="O76" s="2" t="n"/>
      <c r="P76" s="2" t="n"/>
    </row>
    <row r="77">
      <c r="A77" s="2" t="n">
        <v>26</v>
      </c>
      <c r="B77" s="8" t="n">
        <v>46262</v>
      </c>
      <c r="C77" s="2" t="inlineStr">
        <is>
          <t>苏BUK952</t>
        </is>
      </c>
      <c r="D77" s="2" t="inlineStr">
        <is>
          <t>配票/反向</t>
        </is>
      </c>
      <c r="E77" s="2" t="inlineStr">
        <is>
          <t>我们配票（经俊兴）</t>
        </is>
      </c>
      <c r="F77" s="2" t="inlineStr">
        <is>
          <t>林凯车队</t>
        </is>
      </c>
      <c r="G77" s="2" t="inlineStr">
        <is>
          <t>回款</t>
        </is>
      </c>
      <c r="H77" s="2" t="inlineStr">
        <is>
          <t>欧冶回款</t>
        </is>
      </c>
      <c r="I77" s="2" t="inlineStr">
        <is>
          <t>欧冶物宝</t>
        </is>
      </c>
      <c r="J77" s="2" t="inlineStr">
        <is>
          <t>俊兴</t>
        </is>
      </c>
      <c r="K77" s="10" t="n">
        <v>65790.74000000001</v>
      </c>
      <c r="L77" s="10" t="n">
        <v>0</v>
      </c>
      <c r="M77" s="10">
        <f>IF(OR(N77="已登记",LEFT(N77,2)="按状"),0,K77-L77)</f>
        <v/>
      </c>
      <c r="N77" s="2" t="inlineStr">
        <is>
          <t>待登记</t>
        </is>
      </c>
      <c r="O77" s="2" t="n">
        <v>24</v>
      </c>
      <c r="P77" s="2" t="n"/>
    </row>
    <row r="78">
      <c r="A78" s="2" t="n">
        <v>26</v>
      </c>
      <c r="B78" s="8" t="n">
        <v>46262</v>
      </c>
      <c r="C78" s="2" t="inlineStr">
        <is>
          <t>苏BUK952</t>
        </is>
      </c>
      <c r="D78" s="2" t="inlineStr">
        <is>
          <t>配票/反向</t>
        </is>
      </c>
      <c r="E78" s="2" t="inlineStr">
        <is>
          <t>我们配票（经俊兴）</t>
        </is>
      </c>
      <c r="F78" s="2" t="inlineStr">
        <is>
          <t>林凯车队</t>
        </is>
      </c>
      <c r="G78" s="2" t="inlineStr">
        <is>
          <t>回款</t>
        </is>
      </c>
      <c r="H78" s="2" t="inlineStr">
        <is>
          <t>到客户账户</t>
        </is>
      </c>
      <c r="I78" s="2" t="inlineStr">
        <is>
          <t>俊兴</t>
        </is>
      </c>
      <c r="J78" s="2" t="inlineStr">
        <is>
          <t>林凯车队·客户账户</t>
        </is>
      </c>
      <c r="K78" s="10" t="n">
        <v>65790.74000000001</v>
      </c>
      <c r="L78" s="10" t="n">
        <v>0</v>
      </c>
      <c r="M78" s="10">
        <f>IF(OR(N78="已登记",LEFT(N78,2)="按状"),0,K78-L78)</f>
        <v/>
      </c>
      <c r="N78" s="2" t="inlineStr">
        <is>
          <t>未开始(前一环节未完成)</t>
        </is>
      </c>
      <c r="O78" s="2" t="n"/>
      <c r="P78" s="2" t="n"/>
    </row>
    <row r="79">
      <c r="A79" s="2" t="n">
        <v>27</v>
      </c>
      <c r="B79" s="8" t="n">
        <v>46262</v>
      </c>
      <c r="C79" s="2" t="inlineStr">
        <is>
          <t>皖KQ1052</t>
        </is>
      </c>
      <c r="D79" s="2" t="inlineStr">
        <is>
          <t>配票/反向</t>
        </is>
      </c>
      <c r="E79" s="2" t="inlineStr">
        <is>
          <t>我们配票（经俊兴）</t>
        </is>
      </c>
      <c r="F79" s="2" t="inlineStr">
        <is>
          <t>俊兴</t>
        </is>
      </c>
      <c r="G79" s="2" t="inlineStr">
        <is>
          <t>开票</t>
        </is>
      </c>
      <c r="H79" s="2" t="inlineStr">
        <is>
          <t>销项→欧冶</t>
        </is>
      </c>
      <c r="I79" s="2" t="inlineStr">
        <is>
          <t>俊兴</t>
        </is>
      </c>
      <c r="J79" s="2" t="inlineStr">
        <is>
          <t>欧冶物宝</t>
        </is>
      </c>
      <c r="K79" s="10" t="n">
        <v>79637.41</v>
      </c>
      <c r="L79" s="10" t="n">
        <v>0</v>
      </c>
      <c r="M79" s="10">
        <f>IF(OR(N79="已登记",LEFT(N79,2)="按状"),0,K79-L79)</f>
        <v/>
      </c>
      <c r="N79" s="2" t="inlineStr">
        <is>
          <t>按状态视为已完成(历史)</t>
        </is>
      </c>
      <c r="O79" s="2" t="n"/>
      <c r="P79" s="2" t="n"/>
    </row>
    <row r="80">
      <c r="A80" s="2" t="n">
        <v>27</v>
      </c>
      <c r="B80" s="8" t="n">
        <v>46262</v>
      </c>
      <c r="C80" s="2" t="inlineStr">
        <is>
          <t>皖KQ1052</t>
        </is>
      </c>
      <c r="D80" s="2" t="inlineStr">
        <is>
          <t>配票/反向</t>
        </is>
      </c>
      <c r="E80" s="2" t="inlineStr">
        <is>
          <t>我们配票（经俊兴）</t>
        </is>
      </c>
      <c r="F80" s="2" t="inlineStr">
        <is>
          <t>俊兴</t>
        </is>
      </c>
      <c r="G80" s="2" t="inlineStr">
        <is>
          <t>回款</t>
        </is>
      </c>
      <c r="H80" s="2" t="inlineStr">
        <is>
          <t>欧冶回款</t>
        </is>
      </c>
      <c r="I80" s="2" t="inlineStr">
        <is>
          <t>欧冶物宝</t>
        </is>
      </c>
      <c r="J80" s="2" t="inlineStr">
        <is>
          <t>俊兴</t>
        </is>
      </c>
      <c r="K80" s="10" t="n">
        <v>79637.41</v>
      </c>
      <c r="L80" s="10" t="n">
        <v>0</v>
      </c>
      <c r="M80" s="10">
        <f>IF(OR(N80="已登记",LEFT(N80,2)="按状"),0,K80-L80)</f>
        <v/>
      </c>
      <c r="N80" s="2" t="inlineStr">
        <is>
          <t>待登记</t>
        </is>
      </c>
      <c r="O80" s="2" t="n">
        <v>24</v>
      </c>
      <c r="P80" s="2" t="n"/>
    </row>
    <row r="81">
      <c r="A81" s="2" t="n">
        <v>27</v>
      </c>
      <c r="B81" s="8" t="n">
        <v>46262</v>
      </c>
      <c r="C81" s="2" t="inlineStr">
        <is>
          <t>皖KQ1052</t>
        </is>
      </c>
      <c r="D81" s="2" t="inlineStr">
        <is>
          <t>配票/反向</t>
        </is>
      </c>
      <c r="E81" s="2" t="inlineStr">
        <is>
          <t>我们配票（经俊兴）</t>
        </is>
      </c>
      <c r="F81" s="2" t="inlineStr">
        <is>
          <t>俊兴</t>
        </is>
      </c>
      <c r="G81" s="2" t="inlineStr">
        <is>
          <t>回款</t>
        </is>
      </c>
      <c r="H81" s="2" t="inlineStr">
        <is>
          <t>到客户账户</t>
        </is>
      </c>
      <c r="I81" s="2" t="inlineStr">
        <is>
          <t>俊兴</t>
        </is>
      </c>
      <c r="J81" s="2" t="inlineStr">
        <is>
          <t>俊兴·客户账户</t>
        </is>
      </c>
      <c r="K81" s="10" t="n">
        <v>79637.41</v>
      </c>
      <c r="L81" s="10" t="n">
        <v>0</v>
      </c>
      <c r="M81" s="10">
        <f>IF(OR(N81="已登记",LEFT(N81,2)="按状"),0,K81-L81)</f>
        <v/>
      </c>
      <c r="N81" s="2" t="inlineStr">
        <is>
          <t>未开始(前一环节未完成)</t>
        </is>
      </c>
      <c r="O81" s="2" t="n"/>
      <c r="P81" s="2" t="n"/>
    </row>
    <row r="82">
      <c r="A82" s="2" t="n">
        <v>28</v>
      </c>
      <c r="B82" s="8" t="n">
        <v>46262</v>
      </c>
      <c r="C82" s="2" t="inlineStr">
        <is>
          <t>苏DBE075</t>
        </is>
      </c>
      <c r="D82" s="2" t="inlineStr">
        <is>
          <t>配票/反向</t>
        </is>
      </c>
      <c r="E82" s="2" t="inlineStr">
        <is>
          <t>我们配票（经俊兴）</t>
        </is>
      </c>
      <c r="F82" s="2" t="inlineStr">
        <is>
          <t>林凯车队</t>
        </is>
      </c>
      <c r="G82" s="2" t="inlineStr">
        <is>
          <t>开票</t>
        </is>
      </c>
      <c r="H82" s="2" t="inlineStr">
        <is>
          <t>销项→欧冶</t>
        </is>
      </c>
      <c r="I82" s="2" t="inlineStr">
        <is>
          <t>俊兴</t>
        </is>
      </c>
      <c r="J82" s="2" t="inlineStr">
        <is>
          <t>欧冶物宝</t>
        </is>
      </c>
      <c r="K82" s="10" t="n">
        <v>150312.6</v>
      </c>
      <c r="L82" s="10" t="n">
        <v>0</v>
      </c>
      <c r="M82" s="10">
        <f>IF(OR(N82="已登记",LEFT(N82,2)="按状"),0,K82-L82)</f>
        <v/>
      </c>
      <c r="N82" s="2" t="inlineStr">
        <is>
          <t>按状态视为已完成(历史)</t>
        </is>
      </c>
      <c r="O82" s="2" t="n"/>
      <c r="P82" s="2" t="n"/>
    </row>
    <row r="83">
      <c r="A83" s="2" t="n">
        <v>28</v>
      </c>
      <c r="B83" s="8" t="n">
        <v>46262</v>
      </c>
      <c r="C83" s="2" t="inlineStr">
        <is>
          <t>苏DBE075</t>
        </is>
      </c>
      <c r="D83" s="2" t="inlineStr">
        <is>
          <t>配票/反向</t>
        </is>
      </c>
      <c r="E83" s="2" t="inlineStr">
        <is>
          <t>我们配票（经俊兴）</t>
        </is>
      </c>
      <c r="F83" s="2" t="inlineStr">
        <is>
          <t>林凯车队</t>
        </is>
      </c>
      <c r="G83" s="2" t="inlineStr">
        <is>
          <t>回款</t>
        </is>
      </c>
      <c r="H83" s="2" t="inlineStr">
        <is>
          <t>欧冶回款</t>
        </is>
      </c>
      <c r="I83" s="2" t="inlineStr">
        <is>
          <t>欧冶物宝</t>
        </is>
      </c>
      <c r="J83" s="2" t="inlineStr">
        <is>
          <t>俊兴</t>
        </is>
      </c>
      <c r="K83" s="10" t="n">
        <v>150312.6</v>
      </c>
      <c r="L83" s="10" t="n">
        <v>0</v>
      </c>
      <c r="M83" s="10">
        <f>IF(OR(N83="已登记",LEFT(N83,2)="按状"),0,K83-L83)</f>
        <v/>
      </c>
      <c r="N83" s="2" t="inlineStr">
        <is>
          <t>待登记</t>
        </is>
      </c>
      <c r="O83" s="2" t="n">
        <v>24</v>
      </c>
      <c r="P83" s="2" t="n"/>
    </row>
    <row r="84">
      <c r="A84" s="2" t="n">
        <v>28</v>
      </c>
      <c r="B84" s="8" t="n">
        <v>46262</v>
      </c>
      <c r="C84" s="2" t="inlineStr">
        <is>
          <t>苏DBE075</t>
        </is>
      </c>
      <c r="D84" s="2" t="inlineStr">
        <is>
          <t>配票/反向</t>
        </is>
      </c>
      <c r="E84" s="2" t="inlineStr">
        <is>
          <t>我们配票（经俊兴）</t>
        </is>
      </c>
      <c r="F84" s="2" t="inlineStr">
        <is>
          <t>林凯车队</t>
        </is>
      </c>
      <c r="G84" s="2" t="inlineStr">
        <is>
          <t>回款</t>
        </is>
      </c>
      <c r="H84" s="2" t="inlineStr">
        <is>
          <t>到客户账户</t>
        </is>
      </c>
      <c r="I84" s="2" t="inlineStr">
        <is>
          <t>俊兴</t>
        </is>
      </c>
      <c r="J84" s="2" t="inlineStr">
        <is>
          <t>林凯车队·客户账户</t>
        </is>
      </c>
      <c r="K84" s="10" t="n">
        <v>150312.6</v>
      </c>
      <c r="L84" s="10" t="n">
        <v>0</v>
      </c>
      <c r="M84" s="10">
        <f>IF(OR(N84="已登记",LEFT(N84,2)="按状"),0,K84-L84)</f>
        <v/>
      </c>
      <c r="N84" s="2" t="inlineStr">
        <is>
          <t>未开始(前一环节未完成)</t>
        </is>
      </c>
      <c r="O84" s="2" t="n"/>
      <c r="P84" s="2" t="n"/>
    </row>
    <row r="85">
      <c r="A85" s="2" t="n">
        <v>29</v>
      </c>
      <c r="B85" s="8" t="n">
        <v>46262</v>
      </c>
      <c r="C85" s="2" t="inlineStr">
        <is>
          <t>冀A224E6</t>
        </is>
      </c>
      <c r="D85" s="2" t="inlineStr">
        <is>
          <t>配票/反向</t>
        </is>
      </c>
      <c r="E85" s="2" t="inlineStr">
        <is>
          <t>我们配票（经俊兴）</t>
        </is>
      </c>
      <c r="F85" s="2" t="inlineStr">
        <is>
          <t>林凯车队</t>
        </is>
      </c>
      <c r="G85" s="2" t="inlineStr">
        <is>
          <t>开票</t>
        </is>
      </c>
      <c r="H85" s="2" t="inlineStr">
        <is>
          <t>销项→欧冶</t>
        </is>
      </c>
      <c r="I85" s="2" t="inlineStr">
        <is>
          <t>俊兴</t>
        </is>
      </c>
      <c r="J85" s="2" t="inlineStr">
        <is>
          <t>欧冶物宝</t>
        </is>
      </c>
      <c r="K85" s="10" t="n">
        <v>70702</v>
      </c>
      <c r="L85" s="10" t="n">
        <v>0</v>
      </c>
      <c r="M85" s="10">
        <f>IF(OR(N85="已登记",LEFT(N85,2)="按状"),0,K85-L85)</f>
        <v/>
      </c>
      <c r="N85" s="2" t="inlineStr">
        <is>
          <t>按状态视为已完成(历史)</t>
        </is>
      </c>
      <c r="O85" s="2" t="n"/>
      <c r="P85" s="2" t="n"/>
    </row>
    <row r="86">
      <c r="A86" s="2" t="n">
        <v>29</v>
      </c>
      <c r="B86" s="8" t="n">
        <v>46262</v>
      </c>
      <c r="C86" s="2" t="inlineStr">
        <is>
          <t>冀A224E6</t>
        </is>
      </c>
      <c r="D86" s="2" t="inlineStr">
        <is>
          <t>配票/反向</t>
        </is>
      </c>
      <c r="E86" s="2" t="inlineStr">
        <is>
          <t>我们配票（经俊兴）</t>
        </is>
      </c>
      <c r="F86" s="2" t="inlineStr">
        <is>
          <t>林凯车队</t>
        </is>
      </c>
      <c r="G86" s="2" t="inlineStr">
        <is>
          <t>回款</t>
        </is>
      </c>
      <c r="H86" s="2" t="inlineStr">
        <is>
          <t>欧冶回款</t>
        </is>
      </c>
      <c r="I86" s="2" t="inlineStr">
        <is>
          <t>欧冶物宝</t>
        </is>
      </c>
      <c r="J86" s="2" t="inlineStr">
        <is>
          <t>俊兴</t>
        </is>
      </c>
      <c r="K86" s="10" t="n">
        <v>70702</v>
      </c>
      <c r="L86" s="10" t="n">
        <v>0</v>
      </c>
      <c r="M86" s="10">
        <f>IF(OR(N86="已登记",LEFT(N86,2)="按状"),0,K86-L86)</f>
        <v/>
      </c>
      <c r="N86" s="2" t="inlineStr">
        <is>
          <t>待登记</t>
        </is>
      </c>
      <c r="O86" s="2" t="n">
        <v>24</v>
      </c>
      <c r="P86" s="2" t="n"/>
    </row>
    <row r="87">
      <c r="A87" s="2" t="n">
        <v>29</v>
      </c>
      <c r="B87" s="8" t="n">
        <v>46262</v>
      </c>
      <c r="C87" s="2" t="inlineStr">
        <is>
          <t>冀A224E6</t>
        </is>
      </c>
      <c r="D87" s="2" t="inlineStr">
        <is>
          <t>配票/反向</t>
        </is>
      </c>
      <c r="E87" s="2" t="inlineStr">
        <is>
          <t>我们配票（经俊兴）</t>
        </is>
      </c>
      <c r="F87" s="2" t="inlineStr">
        <is>
          <t>林凯车队</t>
        </is>
      </c>
      <c r="G87" s="2" t="inlineStr">
        <is>
          <t>回款</t>
        </is>
      </c>
      <c r="H87" s="2" t="inlineStr">
        <is>
          <t>到客户账户</t>
        </is>
      </c>
      <c r="I87" s="2" t="inlineStr">
        <is>
          <t>俊兴</t>
        </is>
      </c>
      <c r="J87" s="2" t="inlineStr">
        <is>
          <t>林凯车队·客户账户</t>
        </is>
      </c>
      <c r="K87" s="10" t="n">
        <v>70702</v>
      </c>
      <c r="L87" s="10" t="n">
        <v>0</v>
      </c>
      <c r="M87" s="10">
        <f>IF(OR(N87="已登记",LEFT(N87,2)="按状"),0,K87-L87)</f>
        <v/>
      </c>
      <c r="N87" s="2" t="inlineStr">
        <is>
          <t>未开始(前一环节未完成)</t>
        </is>
      </c>
      <c r="O87" s="2" t="n"/>
      <c r="P87" s="2" t="n"/>
    </row>
    <row r="88">
      <c r="A88" s="2" t="n">
        <v>30</v>
      </c>
      <c r="B88" s="8" t="n">
        <v>46262</v>
      </c>
      <c r="C88" s="2" t="inlineStr">
        <is>
          <t>苏BWX568</t>
        </is>
      </c>
      <c r="D88" s="2" t="inlineStr">
        <is>
          <t>配票/反向</t>
        </is>
      </c>
      <c r="E88" s="2" t="inlineStr">
        <is>
          <t>我们配票（经俊兴）</t>
        </is>
      </c>
      <c r="F88" s="2" t="inlineStr">
        <is>
          <t>林凯车队</t>
        </is>
      </c>
      <c r="G88" s="2" t="inlineStr">
        <is>
          <t>开票</t>
        </is>
      </c>
      <c r="H88" s="2" t="inlineStr">
        <is>
          <t>销项→欧冶</t>
        </is>
      </c>
      <c r="I88" s="2" t="inlineStr">
        <is>
          <t>俊兴</t>
        </is>
      </c>
      <c r="J88" s="2" t="inlineStr">
        <is>
          <t>欧冶物宝</t>
        </is>
      </c>
      <c r="K88" s="10" t="n">
        <v>77300.03999999999</v>
      </c>
      <c r="L88" s="10" t="n">
        <v>0</v>
      </c>
      <c r="M88" s="10">
        <f>IF(OR(N88="已登记",LEFT(N88,2)="按状"),0,K88-L88)</f>
        <v/>
      </c>
      <c r="N88" s="2" t="inlineStr">
        <is>
          <t>按状态视为已完成(历史)</t>
        </is>
      </c>
      <c r="O88" s="2" t="n"/>
      <c r="P88" s="2" t="n"/>
    </row>
    <row r="89">
      <c r="A89" s="2" t="n">
        <v>30</v>
      </c>
      <c r="B89" s="8" t="n">
        <v>46262</v>
      </c>
      <c r="C89" s="2" t="inlineStr">
        <is>
          <t>苏BWX568</t>
        </is>
      </c>
      <c r="D89" s="2" t="inlineStr">
        <is>
          <t>配票/反向</t>
        </is>
      </c>
      <c r="E89" s="2" t="inlineStr">
        <is>
          <t>我们配票（经俊兴）</t>
        </is>
      </c>
      <c r="F89" s="2" t="inlineStr">
        <is>
          <t>林凯车队</t>
        </is>
      </c>
      <c r="G89" s="2" t="inlineStr">
        <is>
          <t>回款</t>
        </is>
      </c>
      <c r="H89" s="2" t="inlineStr">
        <is>
          <t>欧冶回款</t>
        </is>
      </c>
      <c r="I89" s="2" t="inlineStr">
        <is>
          <t>欧冶物宝</t>
        </is>
      </c>
      <c r="J89" s="2" t="inlineStr">
        <is>
          <t>俊兴</t>
        </is>
      </c>
      <c r="K89" s="10" t="n">
        <v>77300.03999999999</v>
      </c>
      <c r="L89" s="10" t="n">
        <v>0</v>
      </c>
      <c r="M89" s="10">
        <f>IF(OR(N89="已登记",LEFT(N89,2)="按状"),0,K89-L89)</f>
        <v/>
      </c>
      <c r="N89" s="2" t="inlineStr">
        <is>
          <t>待登记</t>
        </is>
      </c>
      <c r="O89" s="2" t="n">
        <v>24</v>
      </c>
      <c r="P89" s="2" t="n"/>
    </row>
    <row r="90">
      <c r="A90" s="2" t="n">
        <v>30</v>
      </c>
      <c r="B90" s="8" t="n">
        <v>46262</v>
      </c>
      <c r="C90" s="2" t="inlineStr">
        <is>
          <t>苏BWX568</t>
        </is>
      </c>
      <c r="D90" s="2" t="inlineStr">
        <is>
          <t>配票/反向</t>
        </is>
      </c>
      <c r="E90" s="2" t="inlineStr">
        <is>
          <t>我们配票（经俊兴）</t>
        </is>
      </c>
      <c r="F90" s="2" t="inlineStr">
        <is>
          <t>林凯车队</t>
        </is>
      </c>
      <c r="G90" s="2" t="inlineStr">
        <is>
          <t>回款</t>
        </is>
      </c>
      <c r="H90" s="2" t="inlineStr">
        <is>
          <t>到客户账户</t>
        </is>
      </c>
      <c r="I90" s="2" t="inlineStr">
        <is>
          <t>俊兴</t>
        </is>
      </c>
      <c r="J90" s="2" t="inlineStr">
        <is>
          <t>林凯车队·客户账户</t>
        </is>
      </c>
      <c r="K90" s="10" t="n">
        <v>77300.03999999999</v>
      </c>
      <c r="L90" s="10" t="n">
        <v>0</v>
      </c>
      <c r="M90" s="10">
        <f>IF(OR(N90="已登记",LEFT(N90,2)="按状"),0,K90-L90)</f>
        <v/>
      </c>
      <c r="N90" s="2" t="inlineStr">
        <is>
          <t>未开始(前一环节未完成)</t>
        </is>
      </c>
      <c r="O90" s="2" t="n"/>
      <c r="P90" s="2" t="n"/>
    </row>
    <row r="91">
      <c r="A91" s="2" t="n">
        <v>31</v>
      </c>
      <c r="B91" s="8" t="n">
        <v>46263</v>
      </c>
      <c r="C91" s="2" t="inlineStr">
        <is>
          <t>苏DBB772</t>
        </is>
      </c>
      <c r="D91" s="2" t="inlineStr">
        <is>
          <t>配票/反向</t>
        </is>
      </c>
      <c r="E91" s="2" t="inlineStr">
        <is>
          <t>我们配票（经俊兴）</t>
        </is>
      </c>
      <c r="F91" s="2" t="inlineStr">
        <is>
          <t>林凯车队</t>
        </is>
      </c>
      <c r="G91" s="2" t="inlineStr">
        <is>
          <t>开票</t>
        </is>
      </c>
      <c r="H91" s="2" t="inlineStr">
        <is>
          <t>销项→欧冶</t>
        </is>
      </c>
      <c r="I91" s="2" t="inlineStr">
        <is>
          <t>俊兴</t>
        </is>
      </c>
      <c r="J91" s="2" t="inlineStr">
        <is>
          <t>欧冶物宝</t>
        </is>
      </c>
      <c r="K91" s="10" t="n">
        <v>202342.32</v>
      </c>
      <c r="L91" s="10" t="n">
        <v>0</v>
      </c>
      <c r="M91" s="10">
        <f>IF(OR(N91="已登记",LEFT(N91,2)="按状"),0,K91-L91)</f>
        <v/>
      </c>
      <c r="N91" s="2" t="inlineStr">
        <is>
          <t>按状态视为已完成(历史)</t>
        </is>
      </c>
      <c r="O91" s="2" t="n"/>
      <c r="P91" s="2" t="n"/>
    </row>
    <row r="92">
      <c r="A92" s="2" t="n">
        <v>31</v>
      </c>
      <c r="B92" s="8" t="n">
        <v>46263</v>
      </c>
      <c r="C92" s="2" t="inlineStr">
        <is>
          <t>苏DBB772</t>
        </is>
      </c>
      <c r="D92" s="2" t="inlineStr">
        <is>
          <t>配票/反向</t>
        </is>
      </c>
      <c r="E92" s="2" t="inlineStr">
        <is>
          <t>我们配票（经俊兴）</t>
        </is>
      </c>
      <c r="F92" s="2" t="inlineStr">
        <is>
          <t>林凯车队</t>
        </is>
      </c>
      <c r="G92" s="2" t="inlineStr">
        <is>
          <t>回款</t>
        </is>
      </c>
      <c r="H92" s="2" t="inlineStr">
        <is>
          <t>欧冶回款</t>
        </is>
      </c>
      <c r="I92" s="2" t="inlineStr">
        <is>
          <t>欧冶物宝</t>
        </is>
      </c>
      <c r="J92" s="2" t="inlineStr">
        <is>
          <t>俊兴</t>
        </is>
      </c>
      <c r="K92" s="10" t="n">
        <v>202342.32</v>
      </c>
      <c r="L92" s="10" t="n">
        <v>0</v>
      </c>
      <c r="M92" s="10">
        <f>IF(OR(N92="已登记",LEFT(N92,2)="按状"),0,K92-L92)</f>
        <v/>
      </c>
      <c r="N92" s="2" t="inlineStr">
        <is>
          <t>待登记</t>
        </is>
      </c>
      <c r="O92" s="2" t="n">
        <v>23</v>
      </c>
      <c r="P92" s="2" t="n"/>
    </row>
    <row r="93">
      <c r="A93" s="2" t="n">
        <v>31</v>
      </c>
      <c r="B93" s="8" t="n">
        <v>46263</v>
      </c>
      <c r="C93" s="2" t="inlineStr">
        <is>
          <t>苏DBB772</t>
        </is>
      </c>
      <c r="D93" s="2" t="inlineStr">
        <is>
          <t>配票/反向</t>
        </is>
      </c>
      <c r="E93" s="2" t="inlineStr">
        <is>
          <t>我们配票（经俊兴）</t>
        </is>
      </c>
      <c r="F93" s="2" t="inlineStr">
        <is>
          <t>林凯车队</t>
        </is>
      </c>
      <c r="G93" s="2" t="inlineStr">
        <is>
          <t>回款</t>
        </is>
      </c>
      <c r="H93" s="2" t="inlineStr">
        <is>
          <t>到客户账户</t>
        </is>
      </c>
      <c r="I93" s="2" t="inlineStr">
        <is>
          <t>俊兴</t>
        </is>
      </c>
      <c r="J93" s="2" t="inlineStr">
        <is>
          <t>林凯车队·客户账户</t>
        </is>
      </c>
      <c r="K93" s="10" t="n">
        <v>202342.32</v>
      </c>
      <c r="L93" s="10" t="n">
        <v>0</v>
      </c>
      <c r="M93" s="10">
        <f>IF(OR(N93="已登记",LEFT(N93,2)="按状"),0,K93-L93)</f>
        <v/>
      </c>
      <c r="N93" s="2" t="inlineStr">
        <is>
          <t>未开始(前一环节未完成)</t>
        </is>
      </c>
      <c r="O93" s="2" t="n"/>
      <c r="P93" s="2" t="n"/>
    </row>
    <row r="94">
      <c r="A94" s="2" t="n">
        <v>32</v>
      </c>
      <c r="B94" s="8" t="n">
        <v>46263</v>
      </c>
      <c r="C94" s="2" t="inlineStr">
        <is>
          <t>苏ERS080</t>
        </is>
      </c>
      <c r="D94" s="2" t="inlineStr">
        <is>
          <t>配票/反向</t>
        </is>
      </c>
      <c r="E94" s="2" t="inlineStr">
        <is>
          <t>我们配票（经俊兴）</t>
        </is>
      </c>
      <c r="F94" s="2" t="inlineStr">
        <is>
          <t>林凯车队</t>
        </is>
      </c>
      <c r="G94" s="2" t="inlineStr">
        <is>
          <t>开票</t>
        </is>
      </c>
      <c r="H94" s="2" t="inlineStr">
        <is>
          <t>销项→欧冶</t>
        </is>
      </c>
      <c r="I94" s="2" t="inlineStr">
        <is>
          <t>俊兴</t>
        </is>
      </c>
      <c r="J94" s="2" t="inlineStr">
        <is>
          <t>欧冶物宝</t>
        </is>
      </c>
      <c r="K94" s="10" t="n">
        <v>115878.75</v>
      </c>
      <c r="L94" s="10" t="n">
        <v>0</v>
      </c>
      <c r="M94" s="10">
        <f>IF(OR(N94="已登记",LEFT(N94,2)="按状"),0,K94-L94)</f>
        <v/>
      </c>
      <c r="N94" s="2" t="inlineStr">
        <is>
          <t>按状态视为已完成(历史)</t>
        </is>
      </c>
      <c r="O94" s="2" t="n"/>
      <c r="P94" s="2" t="n"/>
    </row>
    <row r="95">
      <c r="A95" s="2" t="n">
        <v>32</v>
      </c>
      <c r="B95" s="8" t="n">
        <v>46263</v>
      </c>
      <c r="C95" s="2" t="inlineStr">
        <is>
          <t>苏ERS080</t>
        </is>
      </c>
      <c r="D95" s="2" t="inlineStr">
        <is>
          <t>配票/反向</t>
        </is>
      </c>
      <c r="E95" s="2" t="inlineStr">
        <is>
          <t>我们配票（经俊兴）</t>
        </is>
      </c>
      <c r="F95" s="2" t="inlineStr">
        <is>
          <t>林凯车队</t>
        </is>
      </c>
      <c r="G95" s="2" t="inlineStr">
        <is>
          <t>回款</t>
        </is>
      </c>
      <c r="H95" s="2" t="inlineStr">
        <is>
          <t>欧冶回款</t>
        </is>
      </c>
      <c r="I95" s="2" t="inlineStr">
        <is>
          <t>欧冶物宝</t>
        </is>
      </c>
      <c r="J95" s="2" t="inlineStr">
        <is>
          <t>俊兴</t>
        </is>
      </c>
      <c r="K95" s="10" t="n">
        <v>115878.75</v>
      </c>
      <c r="L95" s="10" t="n">
        <v>0</v>
      </c>
      <c r="M95" s="10">
        <f>IF(OR(N95="已登记",LEFT(N95,2)="按状"),0,K95-L95)</f>
        <v/>
      </c>
      <c r="N95" s="2" t="inlineStr">
        <is>
          <t>待登记</t>
        </is>
      </c>
      <c r="O95" s="2" t="n">
        <v>23</v>
      </c>
      <c r="P95" s="2" t="n"/>
    </row>
    <row r="96">
      <c r="A96" s="2" t="n">
        <v>32</v>
      </c>
      <c r="B96" s="8" t="n">
        <v>46263</v>
      </c>
      <c r="C96" s="2" t="inlineStr">
        <is>
          <t>苏ERS080</t>
        </is>
      </c>
      <c r="D96" s="2" t="inlineStr">
        <is>
          <t>配票/反向</t>
        </is>
      </c>
      <c r="E96" s="2" t="inlineStr">
        <is>
          <t>我们配票（经俊兴）</t>
        </is>
      </c>
      <c r="F96" s="2" t="inlineStr">
        <is>
          <t>林凯车队</t>
        </is>
      </c>
      <c r="G96" s="2" t="inlineStr">
        <is>
          <t>回款</t>
        </is>
      </c>
      <c r="H96" s="2" t="inlineStr">
        <is>
          <t>到客户账户</t>
        </is>
      </c>
      <c r="I96" s="2" t="inlineStr">
        <is>
          <t>俊兴</t>
        </is>
      </c>
      <c r="J96" s="2" t="inlineStr">
        <is>
          <t>林凯车队·客户账户</t>
        </is>
      </c>
      <c r="K96" s="10" t="n">
        <v>115878.75</v>
      </c>
      <c r="L96" s="10" t="n">
        <v>0</v>
      </c>
      <c r="M96" s="10">
        <f>IF(OR(N96="已登记",LEFT(N96,2)="按状"),0,K96-L96)</f>
        <v/>
      </c>
      <c r="N96" s="2" t="inlineStr">
        <is>
          <t>未开始(前一环节未完成)</t>
        </is>
      </c>
      <c r="O96" s="2" t="n"/>
      <c r="P96" s="2" t="n"/>
    </row>
    <row r="97">
      <c r="A97" s="2" t="n">
        <v>33</v>
      </c>
      <c r="B97" s="8" t="n">
        <v>46263</v>
      </c>
      <c r="C97" s="2" t="inlineStr">
        <is>
          <t>苏DBE075</t>
        </is>
      </c>
      <c r="D97" s="2" t="inlineStr">
        <is>
          <t>配票/反向</t>
        </is>
      </c>
      <c r="E97" s="2" t="inlineStr">
        <is>
          <t>我们配票（经俊兴）</t>
        </is>
      </c>
      <c r="F97" s="2" t="inlineStr">
        <is>
          <t>林凯车队</t>
        </is>
      </c>
      <c r="G97" s="2" t="inlineStr">
        <is>
          <t>开票</t>
        </is>
      </c>
      <c r="H97" s="2" t="inlineStr">
        <is>
          <t>销项→欧冶</t>
        </is>
      </c>
      <c r="I97" s="2" t="inlineStr">
        <is>
          <t>俊兴</t>
        </is>
      </c>
      <c r="J97" s="2" t="inlineStr">
        <is>
          <t>欧冶物宝</t>
        </is>
      </c>
      <c r="K97" s="10" t="n">
        <v>198164.16</v>
      </c>
      <c r="L97" s="10" t="n">
        <v>0</v>
      </c>
      <c r="M97" s="10">
        <f>IF(OR(N97="已登记",LEFT(N97,2)="按状"),0,K97-L97)</f>
        <v/>
      </c>
      <c r="N97" s="2" t="inlineStr">
        <is>
          <t>按状态视为已完成(历史)</t>
        </is>
      </c>
      <c r="O97" s="2" t="n"/>
      <c r="P97" s="2" t="n"/>
    </row>
    <row r="98">
      <c r="A98" s="2" t="n">
        <v>33</v>
      </c>
      <c r="B98" s="8" t="n">
        <v>46263</v>
      </c>
      <c r="C98" s="2" t="inlineStr">
        <is>
          <t>苏DBE075</t>
        </is>
      </c>
      <c r="D98" s="2" t="inlineStr">
        <is>
          <t>配票/反向</t>
        </is>
      </c>
      <c r="E98" s="2" t="inlineStr">
        <is>
          <t>我们配票（经俊兴）</t>
        </is>
      </c>
      <c r="F98" s="2" t="inlineStr">
        <is>
          <t>林凯车队</t>
        </is>
      </c>
      <c r="G98" s="2" t="inlineStr">
        <is>
          <t>回款</t>
        </is>
      </c>
      <c r="H98" s="2" t="inlineStr">
        <is>
          <t>欧冶回款</t>
        </is>
      </c>
      <c r="I98" s="2" t="inlineStr">
        <is>
          <t>欧冶物宝</t>
        </is>
      </c>
      <c r="J98" s="2" t="inlineStr">
        <is>
          <t>俊兴</t>
        </is>
      </c>
      <c r="K98" s="10" t="n">
        <v>198164.16</v>
      </c>
      <c r="L98" s="10" t="n">
        <v>0</v>
      </c>
      <c r="M98" s="10">
        <f>IF(OR(N98="已登记",LEFT(N98,2)="按状"),0,K98-L98)</f>
        <v/>
      </c>
      <c r="N98" s="2" t="inlineStr">
        <is>
          <t>待登记</t>
        </is>
      </c>
      <c r="O98" s="2" t="n">
        <v>23</v>
      </c>
      <c r="P98" s="2" t="n"/>
    </row>
    <row r="99">
      <c r="A99" s="2" t="n">
        <v>33</v>
      </c>
      <c r="B99" s="8" t="n">
        <v>46263</v>
      </c>
      <c r="C99" s="2" t="inlineStr">
        <is>
          <t>苏DBE075</t>
        </is>
      </c>
      <c r="D99" s="2" t="inlineStr">
        <is>
          <t>配票/反向</t>
        </is>
      </c>
      <c r="E99" s="2" t="inlineStr">
        <is>
          <t>我们配票（经俊兴）</t>
        </is>
      </c>
      <c r="F99" s="2" t="inlineStr">
        <is>
          <t>林凯车队</t>
        </is>
      </c>
      <c r="G99" s="2" t="inlineStr">
        <is>
          <t>回款</t>
        </is>
      </c>
      <c r="H99" s="2" t="inlineStr">
        <is>
          <t>到客户账户</t>
        </is>
      </c>
      <c r="I99" s="2" t="inlineStr">
        <is>
          <t>俊兴</t>
        </is>
      </c>
      <c r="J99" s="2" t="inlineStr">
        <is>
          <t>林凯车队·客户账户</t>
        </is>
      </c>
      <c r="K99" s="10" t="n">
        <v>198164.16</v>
      </c>
      <c r="L99" s="10" t="n">
        <v>0</v>
      </c>
      <c r="M99" s="10">
        <f>IF(OR(N99="已登记",LEFT(N99,2)="按状"),0,K99-L99)</f>
        <v/>
      </c>
      <c r="N99" s="2" t="inlineStr">
        <is>
          <t>未开始(前一环节未完成)</t>
        </is>
      </c>
      <c r="O99" s="2" t="n"/>
      <c r="P99" s="2" t="n"/>
    </row>
    <row r="100">
      <c r="A100" s="2" t="n">
        <v>34</v>
      </c>
      <c r="B100" s="8" t="n">
        <v>46263</v>
      </c>
      <c r="C100" s="2" t="inlineStr">
        <is>
          <t>冀A224E6</t>
        </is>
      </c>
      <c r="D100" s="2" t="inlineStr">
        <is>
          <t>配票/反向</t>
        </is>
      </c>
      <c r="E100" s="2" t="inlineStr">
        <is>
          <t>我们配票（经俊兴）</t>
        </is>
      </c>
      <c r="F100" s="2" t="inlineStr">
        <is>
          <t>俊兴</t>
        </is>
      </c>
      <c r="G100" s="2" t="inlineStr">
        <is>
          <t>开票</t>
        </is>
      </c>
      <c r="H100" s="2" t="inlineStr">
        <is>
          <t>销项→欧冶</t>
        </is>
      </c>
      <c r="I100" s="2" t="inlineStr">
        <is>
          <t>俊兴</t>
        </is>
      </c>
      <c r="J100" s="2" t="inlineStr">
        <is>
          <t>欧冶物宝</t>
        </is>
      </c>
      <c r="K100" s="10" t="n">
        <v>48340</v>
      </c>
      <c r="L100" s="10" t="n">
        <v>0</v>
      </c>
      <c r="M100" s="10">
        <f>IF(OR(N100="已登记",LEFT(N100,2)="按状"),0,K100-L100)</f>
        <v/>
      </c>
      <c r="N100" s="2" t="inlineStr">
        <is>
          <t>按状态视为已完成(历史)</t>
        </is>
      </c>
      <c r="O100" s="2" t="n"/>
      <c r="P100" s="2" t="n"/>
    </row>
    <row r="101">
      <c r="A101" s="2" t="n">
        <v>34</v>
      </c>
      <c r="B101" s="8" t="n">
        <v>46263</v>
      </c>
      <c r="C101" s="2" t="inlineStr">
        <is>
          <t>冀A224E6</t>
        </is>
      </c>
      <c r="D101" s="2" t="inlineStr">
        <is>
          <t>配票/反向</t>
        </is>
      </c>
      <c r="E101" s="2" t="inlineStr">
        <is>
          <t>我们配票（经俊兴）</t>
        </is>
      </c>
      <c r="F101" s="2" t="inlineStr">
        <is>
          <t>俊兴</t>
        </is>
      </c>
      <c r="G101" s="2" t="inlineStr">
        <is>
          <t>回款</t>
        </is>
      </c>
      <c r="H101" s="2" t="inlineStr">
        <is>
          <t>欧冶回款</t>
        </is>
      </c>
      <c r="I101" s="2" t="inlineStr">
        <is>
          <t>欧冶物宝</t>
        </is>
      </c>
      <c r="J101" s="2" t="inlineStr">
        <is>
          <t>俊兴</t>
        </is>
      </c>
      <c r="K101" s="10" t="n">
        <v>48340</v>
      </c>
      <c r="L101" s="10" t="n">
        <v>0</v>
      </c>
      <c r="M101" s="10">
        <f>IF(OR(N101="已登记",LEFT(N101,2)="按状"),0,K101-L101)</f>
        <v/>
      </c>
      <c r="N101" s="2" t="inlineStr">
        <is>
          <t>待登记</t>
        </is>
      </c>
      <c r="O101" s="2" t="n">
        <v>23</v>
      </c>
      <c r="P101" s="2" t="n"/>
    </row>
    <row r="102">
      <c r="A102" s="2" t="n">
        <v>34</v>
      </c>
      <c r="B102" s="8" t="n">
        <v>46263</v>
      </c>
      <c r="C102" s="2" t="inlineStr">
        <is>
          <t>冀A224E6</t>
        </is>
      </c>
      <c r="D102" s="2" t="inlineStr">
        <is>
          <t>配票/反向</t>
        </is>
      </c>
      <c r="E102" s="2" t="inlineStr">
        <is>
          <t>我们配票（经俊兴）</t>
        </is>
      </c>
      <c r="F102" s="2" t="inlineStr">
        <is>
          <t>俊兴</t>
        </is>
      </c>
      <c r="G102" s="2" t="inlineStr">
        <is>
          <t>回款</t>
        </is>
      </c>
      <c r="H102" s="2" t="inlineStr">
        <is>
          <t>到客户账户</t>
        </is>
      </c>
      <c r="I102" s="2" t="inlineStr">
        <is>
          <t>俊兴</t>
        </is>
      </c>
      <c r="J102" s="2" t="inlineStr">
        <is>
          <t>俊兴·客户账户</t>
        </is>
      </c>
      <c r="K102" s="10" t="n">
        <v>48340</v>
      </c>
      <c r="L102" s="10" t="n">
        <v>0</v>
      </c>
      <c r="M102" s="10">
        <f>IF(OR(N102="已登记",LEFT(N102,2)="按状"),0,K102-L102)</f>
        <v/>
      </c>
      <c r="N102" s="2" t="inlineStr">
        <is>
          <t>未开始(前一环节未完成)</t>
        </is>
      </c>
      <c r="O102" s="2" t="n"/>
      <c r="P102" s="2" t="n"/>
    </row>
    <row r="103">
      <c r="A103" s="2" t="n">
        <v>35</v>
      </c>
      <c r="B103" s="8" t="n">
        <v>46263</v>
      </c>
      <c r="C103" s="2" t="inlineStr">
        <is>
          <t>苏AE8896</t>
        </is>
      </c>
      <c r="D103" s="2" t="inlineStr">
        <is>
          <t>配票/反向</t>
        </is>
      </c>
      <c r="E103" s="2" t="inlineStr">
        <is>
          <t>我们配票（经俊兴）</t>
        </is>
      </c>
      <c r="F103" s="2" t="inlineStr">
        <is>
          <t>俊兴</t>
        </is>
      </c>
      <c r="G103" s="2" t="inlineStr">
        <is>
          <t>开票</t>
        </is>
      </c>
      <c r="H103" s="2" t="inlineStr">
        <is>
          <t>销项→欧冶</t>
        </is>
      </c>
      <c r="I103" s="2" t="inlineStr">
        <is>
          <t>俊兴</t>
        </is>
      </c>
      <c r="J103" s="2" t="inlineStr">
        <is>
          <t>欧冶物宝</t>
        </is>
      </c>
      <c r="K103" s="10" t="n">
        <v>92267.64</v>
      </c>
      <c r="L103" s="10" t="n">
        <v>0</v>
      </c>
      <c r="M103" s="10">
        <f>IF(OR(N103="已登记",LEFT(N103,2)="按状"),0,K103-L103)</f>
        <v/>
      </c>
      <c r="N103" s="2" t="inlineStr">
        <is>
          <t>按状态视为已完成(历史)</t>
        </is>
      </c>
      <c r="O103" s="2" t="n"/>
      <c r="P103" s="2" t="n"/>
    </row>
    <row r="104">
      <c r="A104" s="2" t="n">
        <v>35</v>
      </c>
      <c r="B104" s="8" t="n">
        <v>46263</v>
      </c>
      <c r="C104" s="2" t="inlineStr">
        <is>
          <t>苏AE8896</t>
        </is>
      </c>
      <c r="D104" s="2" t="inlineStr">
        <is>
          <t>配票/反向</t>
        </is>
      </c>
      <c r="E104" s="2" t="inlineStr">
        <is>
          <t>我们配票（经俊兴）</t>
        </is>
      </c>
      <c r="F104" s="2" t="inlineStr">
        <is>
          <t>俊兴</t>
        </is>
      </c>
      <c r="G104" s="2" t="inlineStr">
        <is>
          <t>回款</t>
        </is>
      </c>
      <c r="H104" s="2" t="inlineStr">
        <is>
          <t>欧冶回款</t>
        </is>
      </c>
      <c r="I104" s="2" t="inlineStr">
        <is>
          <t>欧冶物宝</t>
        </is>
      </c>
      <c r="J104" s="2" t="inlineStr">
        <is>
          <t>俊兴</t>
        </is>
      </c>
      <c r="K104" s="10" t="n">
        <v>92267.64</v>
      </c>
      <c r="L104" s="10" t="n">
        <v>0</v>
      </c>
      <c r="M104" s="10">
        <f>IF(OR(N104="已登记",LEFT(N104,2)="按状"),0,K104-L104)</f>
        <v/>
      </c>
      <c r="N104" s="2" t="inlineStr">
        <is>
          <t>待登记</t>
        </is>
      </c>
      <c r="O104" s="2" t="n">
        <v>23</v>
      </c>
      <c r="P104" s="2" t="n"/>
    </row>
    <row r="105">
      <c r="A105" s="2" t="n">
        <v>35</v>
      </c>
      <c r="B105" s="8" t="n">
        <v>46263</v>
      </c>
      <c r="C105" s="2" t="inlineStr">
        <is>
          <t>苏AE8896</t>
        </is>
      </c>
      <c r="D105" s="2" t="inlineStr">
        <is>
          <t>配票/反向</t>
        </is>
      </c>
      <c r="E105" s="2" t="inlineStr">
        <is>
          <t>我们配票（经俊兴）</t>
        </is>
      </c>
      <c r="F105" s="2" t="inlineStr">
        <is>
          <t>俊兴</t>
        </is>
      </c>
      <c r="G105" s="2" t="inlineStr">
        <is>
          <t>回款</t>
        </is>
      </c>
      <c r="H105" s="2" t="inlineStr">
        <is>
          <t>到客户账户</t>
        </is>
      </c>
      <c r="I105" s="2" t="inlineStr">
        <is>
          <t>俊兴</t>
        </is>
      </c>
      <c r="J105" s="2" t="inlineStr">
        <is>
          <t>俊兴·客户账户</t>
        </is>
      </c>
      <c r="K105" s="10" t="n">
        <v>92267.64</v>
      </c>
      <c r="L105" s="10" t="n">
        <v>0</v>
      </c>
      <c r="M105" s="10">
        <f>IF(OR(N105="已登记",LEFT(N105,2)="按状"),0,K105-L105)</f>
        <v/>
      </c>
      <c r="N105" s="2" t="inlineStr">
        <is>
          <t>未开始(前一环节未完成)</t>
        </is>
      </c>
      <c r="O105" s="2" t="n"/>
      <c r="P105" s="2" t="n"/>
    </row>
    <row r="106">
      <c r="A106" s="2" t="n">
        <v>36</v>
      </c>
      <c r="B106" s="8" t="n">
        <v>46263</v>
      </c>
      <c r="C106" s="2" t="inlineStr">
        <is>
          <t>苏DBB772</t>
        </is>
      </c>
      <c r="D106" s="2" t="inlineStr">
        <is>
          <t>配票/反向</t>
        </is>
      </c>
      <c r="E106" s="2" t="inlineStr">
        <is>
          <t>我们配票（经俊兴）</t>
        </is>
      </c>
      <c r="F106" s="2" t="inlineStr">
        <is>
          <t>林凯车队</t>
        </is>
      </c>
      <c r="G106" s="2" t="inlineStr">
        <is>
          <t>开票</t>
        </is>
      </c>
      <c r="H106" s="2" t="inlineStr">
        <is>
          <t>销项→欧冶</t>
        </is>
      </c>
      <c r="I106" s="2" t="inlineStr">
        <is>
          <t>俊兴</t>
        </is>
      </c>
      <c r="J106" s="2" t="inlineStr">
        <is>
          <t>欧冶物宝</t>
        </is>
      </c>
      <c r="K106" s="10" t="n">
        <v>146455.02</v>
      </c>
      <c r="L106" s="10" t="n">
        <v>0</v>
      </c>
      <c r="M106" s="10">
        <f>IF(OR(N106="已登记",LEFT(N106,2)="按状"),0,K106-L106)</f>
        <v/>
      </c>
      <c r="N106" s="2" t="inlineStr">
        <is>
          <t>按状态视为已完成(历史)</t>
        </is>
      </c>
      <c r="O106" s="2" t="n"/>
      <c r="P106" s="2" t="n"/>
    </row>
    <row r="107">
      <c r="A107" s="2" t="n">
        <v>36</v>
      </c>
      <c r="B107" s="8" t="n">
        <v>46263</v>
      </c>
      <c r="C107" s="2" t="inlineStr">
        <is>
          <t>苏DBB772</t>
        </is>
      </c>
      <c r="D107" s="2" t="inlineStr">
        <is>
          <t>配票/反向</t>
        </is>
      </c>
      <c r="E107" s="2" t="inlineStr">
        <is>
          <t>我们配票（经俊兴）</t>
        </is>
      </c>
      <c r="F107" s="2" t="inlineStr">
        <is>
          <t>林凯车队</t>
        </is>
      </c>
      <c r="G107" s="2" t="inlineStr">
        <is>
          <t>回款</t>
        </is>
      </c>
      <c r="H107" s="2" t="inlineStr">
        <is>
          <t>欧冶回款</t>
        </is>
      </c>
      <c r="I107" s="2" t="inlineStr">
        <is>
          <t>欧冶物宝</t>
        </is>
      </c>
      <c r="J107" s="2" t="inlineStr">
        <is>
          <t>俊兴</t>
        </is>
      </c>
      <c r="K107" s="10" t="n">
        <v>146455.02</v>
      </c>
      <c r="L107" s="10" t="n">
        <v>0</v>
      </c>
      <c r="M107" s="10">
        <f>IF(OR(N107="已登记",LEFT(N107,2)="按状"),0,K107-L107)</f>
        <v/>
      </c>
      <c r="N107" s="2" t="inlineStr">
        <is>
          <t>待登记</t>
        </is>
      </c>
      <c r="O107" s="2" t="n">
        <v>23</v>
      </c>
      <c r="P107" s="2" t="n"/>
    </row>
    <row r="108">
      <c r="A108" s="2" t="n">
        <v>36</v>
      </c>
      <c r="B108" s="8" t="n">
        <v>46263</v>
      </c>
      <c r="C108" s="2" t="inlineStr">
        <is>
          <t>苏DBB772</t>
        </is>
      </c>
      <c r="D108" s="2" t="inlineStr">
        <is>
          <t>配票/反向</t>
        </is>
      </c>
      <c r="E108" s="2" t="inlineStr">
        <is>
          <t>我们配票（经俊兴）</t>
        </is>
      </c>
      <c r="F108" s="2" t="inlineStr">
        <is>
          <t>林凯车队</t>
        </is>
      </c>
      <c r="G108" s="2" t="inlineStr">
        <is>
          <t>回款</t>
        </is>
      </c>
      <c r="H108" s="2" t="inlineStr">
        <is>
          <t>到客户账户</t>
        </is>
      </c>
      <c r="I108" s="2" t="inlineStr">
        <is>
          <t>俊兴</t>
        </is>
      </c>
      <c r="J108" s="2" t="inlineStr">
        <is>
          <t>林凯车队·客户账户</t>
        </is>
      </c>
      <c r="K108" s="10" t="n">
        <v>146455.02</v>
      </c>
      <c r="L108" s="10" t="n">
        <v>0</v>
      </c>
      <c r="M108" s="10">
        <f>IF(OR(N108="已登记",LEFT(N108,2)="按状"),0,K108-L108)</f>
        <v/>
      </c>
      <c r="N108" s="2" t="inlineStr">
        <is>
          <t>未开始(前一环节未完成)</t>
        </is>
      </c>
      <c r="O108" s="2" t="n"/>
      <c r="P108" s="2" t="n"/>
    </row>
    <row r="109">
      <c r="A109" s="2" t="n">
        <v>37</v>
      </c>
      <c r="B109" s="8" t="n">
        <v>46264</v>
      </c>
      <c r="C109" s="2" t="inlineStr">
        <is>
          <t>苏DBE075</t>
        </is>
      </c>
      <c r="D109" s="2" t="inlineStr">
        <is>
          <t>配票/反向</t>
        </is>
      </c>
      <c r="E109" s="2" t="inlineStr">
        <is>
          <t>我们配票（经俊兴）</t>
        </is>
      </c>
      <c r="F109" s="2" t="inlineStr">
        <is>
          <t>林凯车队</t>
        </is>
      </c>
      <c r="G109" s="2" t="inlineStr">
        <is>
          <t>开票</t>
        </is>
      </c>
      <c r="H109" s="2" t="inlineStr">
        <is>
          <t>销项→欧冶</t>
        </is>
      </c>
      <c r="I109" s="2" t="inlineStr">
        <is>
          <t>俊兴</t>
        </is>
      </c>
      <c r="J109" s="2" t="inlineStr">
        <is>
          <t>欧冶物宝</t>
        </is>
      </c>
      <c r="K109" s="10" t="n">
        <v>203735.04</v>
      </c>
      <c r="L109" s="10" t="n">
        <v>0</v>
      </c>
      <c r="M109" s="10">
        <f>IF(OR(N109="已登记",LEFT(N109,2)="按状"),0,K109-L109)</f>
        <v/>
      </c>
      <c r="N109" s="2" t="inlineStr">
        <is>
          <t>按状态视为已完成(历史)</t>
        </is>
      </c>
      <c r="O109" s="2" t="n"/>
      <c r="P109" s="2" t="n"/>
    </row>
    <row r="110">
      <c r="A110" s="2" t="n">
        <v>37</v>
      </c>
      <c r="B110" s="8" t="n">
        <v>46264</v>
      </c>
      <c r="C110" s="2" t="inlineStr">
        <is>
          <t>苏DBE075</t>
        </is>
      </c>
      <c r="D110" s="2" t="inlineStr">
        <is>
          <t>配票/反向</t>
        </is>
      </c>
      <c r="E110" s="2" t="inlineStr">
        <is>
          <t>我们配票（经俊兴）</t>
        </is>
      </c>
      <c r="F110" s="2" t="inlineStr">
        <is>
          <t>林凯车队</t>
        </is>
      </c>
      <c r="G110" s="2" t="inlineStr">
        <is>
          <t>回款</t>
        </is>
      </c>
      <c r="H110" s="2" t="inlineStr">
        <is>
          <t>欧冶回款</t>
        </is>
      </c>
      <c r="I110" s="2" t="inlineStr">
        <is>
          <t>欧冶物宝</t>
        </is>
      </c>
      <c r="J110" s="2" t="inlineStr">
        <is>
          <t>俊兴</t>
        </is>
      </c>
      <c r="K110" s="10" t="n">
        <v>203735.04</v>
      </c>
      <c r="L110" s="10" t="n">
        <v>0</v>
      </c>
      <c r="M110" s="10">
        <f>IF(OR(N110="已登记",LEFT(N110,2)="按状"),0,K110-L110)</f>
        <v/>
      </c>
      <c r="N110" s="2" t="inlineStr">
        <is>
          <t>待登记</t>
        </is>
      </c>
      <c r="O110" s="2" t="n">
        <v>22</v>
      </c>
      <c r="P110" s="2" t="n"/>
    </row>
    <row r="111">
      <c r="A111" s="2" t="n">
        <v>37</v>
      </c>
      <c r="B111" s="8" t="n">
        <v>46264</v>
      </c>
      <c r="C111" s="2" t="inlineStr">
        <is>
          <t>苏DBE075</t>
        </is>
      </c>
      <c r="D111" s="2" t="inlineStr">
        <is>
          <t>配票/反向</t>
        </is>
      </c>
      <c r="E111" s="2" t="inlineStr">
        <is>
          <t>我们配票（经俊兴）</t>
        </is>
      </c>
      <c r="F111" s="2" t="inlineStr">
        <is>
          <t>林凯车队</t>
        </is>
      </c>
      <c r="G111" s="2" t="inlineStr">
        <is>
          <t>回款</t>
        </is>
      </c>
      <c r="H111" s="2" t="inlineStr">
        <is>
          <t>到客户账户</t>
        </is>
      </c>
      <c r="I111" s="2" t="inlineStr">
        <is>
          <t>俊兴</t>
        </is>
      </c>
      <c r="J111" s="2" t="inlineStr">
        <is>
          <t>林凯车队·客户账户</t>
        </is>
      </c>
      <c r="K111" s="10" t="n">
        <v>203735.04</v>
      </c>
      <c r="L111" s="10" t="n">
        <v>0</v>
      </c>
      <c r="M111" s="10">
        <f>IF(OR(N111="已登记",LEFT(N111,2)="按状"),0,K111-L111)</f>
        <v/>
      </c>
      <c r="N111" s="2" t="inlineStr">
        <is>
          <t>未开始(前一环节未完成)</t>
        </is>
      </c>
      <c r="O111" s="2" t="n"/>
      <c r="P111" s="2" t="n"/>
    </row>
    <row r="112">
      <c r="A112" s="2" t="n">
        <v>38</v>
      </c>
      <c r="B112" s="8" t="n">
        <v>46264</v>
      </c>
      <c r="C112" s="2" t="inlineStr">
        <is>
          <t>苏DBE961</t>
        </is>
      </c>
      <c r="D112" s="2" t="inlineStr">
        <is>
          <t>配票/反向</t>
        </is>
      </c>
      <c r="E112" s="2" t="inlineStr">
        <is>
          <t>我们配票（经俊兴）</t>
        </is>
      </c>
      <c r="F112" s="2" t="inlineStr">
        <is>
          <t>俊兴</t>
        </is>
      </c>
      <c r="G112" s="2" t="inlineStr">
        <is>
          <t>开票</t>
        </is>
      </c>
      <c r="H112" s="2" t="inlineStr">
        <is>
          <t>销项→欧冶</t>
        </is>
      </c>
      <c r="I112" s="2" t="inlineStr">
        <is>
          <t>俊兴</t>
        </is>
      </c>
      <c r="J112" s="2" t="inlineStr">
        <is>
          <t>欧冶物宝</t>
        </is>
      </c>
      <c r="K112" s="10" t="n">
        <v>179692.4</v>
      </c>
      <c r="L112" s="10" t="n">
        <v>0</v>
      </c>
      <c r="M112" s="10">
        <f>IF(OR(N112="已登记",LEFT(N112,2)="按状"),0,K112-L112)</f>
        <v/>
      </c>
      <c r="N112" s="2" t="inlineStr">
        <is>
          <t>按状态视为已完成(历史)</t>
        </is>
      </c>
      <c r="O112" s="2" t="n"/>
      <c r="P112" s="2" t="n"/>
    </row>
    <row r="113">
      <c r="A113" s="2" t="n">
        <v>38</v>
      </c>
      <c r="B113" s="8" t="n">
        <v>46264</v>
      </c>
      <c r="C113" s="2" t="inlineStr">
        <is>
          <t>苏DBE961</t>
        </is>
      </c>
      <c r="D113" s="2" t="inlineStr">
        <is>
          <t>配票/反向</t>
        </is>
      </c>
      <c r="E113" s="2" t="inlineStr">
        <is>
          <t>我们配票（经俊兴）</t>
        </is>
      </c>
      <c r="F113" s="2" t="inlineStr">
        <is>
          <t>俊兴</t>
        </is>
      </c>
      <c r="G113" s="2" t="inlineStr">
        <is>
          <t>回款</t>
        </is>
      </c>
      <c r="H113" s="2" t="inlineStr">
        <is>
          <t>欧冶回款</t>
        </is>
      </c>
      <c r="I113" s="2" t="inlineStr">
        <is>
          <t>欧冶物宝</t>
        </is>
      </c>
      <c r="J113" s="2" t="inlineStr">
        <is>
          <t>俊兴</t>
        </is>
      </c>
      <c r="K113" s="10" t="n">
        <v>179692.4</v>
      </c>
      <c r="L113" s="10" t="n">
        <v>0</v>
      </c>
      <c r="M113" s="10">
        <f>IF(OR(N113="已登记",LEFT(N113,2)="按状"),0,K113-L113)</f>
        <v/>
      </c>
      <c r="N113" s="2" t="inlineStr">
        <is>
          <t>待登记</t>
        </is>
      </c>
      <c r="O113" s="2" t="n">
        <v>22</v>
      </c>
      <c r="P113" s="2" t="n"/>
    </row>
    <row r="114">
      <c r="A114" s="2" t="n">
        <v>38</v>
      </c>
      <c r="B114" s="8" t="n">
        <v>46264</v>
      </c>
      <c r="C114" s="2" t="inlineStr">
        <is>
          <t>苏DBE961</t>
        </is>
      </c>
      <c r="D114" s="2" t="inlineStr">
        <is>
          <t>配票/反向</t>
        </is>
      </c>
      <c r="E114" s="2" t="inlineStr">
        <is>
          <t>我们配票（经俊兴）</t>
        </is>
      </c>
      <c r="F114" s="2" t="inlineStr">
        <is>
          <t>俊兴</t>
        </is>
      </c>
      <c r="G114" s="2" t="inlineStr">
        <is>
          <t>回款</t>
        </is>
      </c>
      <c r="H114" s="2" t="inlineStr">
        <is>
          <t>到客户账户</t>
        </is>
      </c>
      <c r="I114" s="2" t="inlineStr">
        <is>
          <t>俊兴</t>
        </is>
      </c>
      <c r="J114" s="2" t="inlineStr">
        <is>
          <t>俊兴·客户账户</t>
        </is>
      </c>
      <c r="K114" s="10" t="n">
        <v>179692.4</v>
      </c>
      <c r="L114" s="10" t="n">
        <v>0</v>
      </c>
      <c r="M114" s="10">
        <f>IF(OR(N114="已登记",LEFT(N114,2)="按状"),0,K114-L114)</f>
        <v/>
      </c>
      <c r="N114" s="2" t="inlineStr">
        <is>
          <t>未开始(前一环节未完成)</t>
        </is>
      </c>
      <c r="O114" s="2" t="n"/>
      <c r="P114" s="2" t="n"/>
    </row>
    <row r="115">
      <c r="A115" s="2" t="n">
        <v>39</v>
      </c>
      <c r="B115" s="8" t="n">
        <v>46264</v>
      </c>
      <c r="C115" s="2" t="inlineStr">
        <is>
          <t>苏DFB287</t>
        </is>
      </c>
      <c r="D115" s="2" t="inlineStr">
        <is>
          <t>配票/反向</t>
        </is>
      </c>
      <c r="E115" s="2" t="inlineStr">
        <is>
          <t>我们配票（经俊兴）</t>
        </is>
      </c>
      <c r="F115" s="2" t="inlineStr">
        <is>
          <t>俊兴</t>
        </is>
      </c>
      <c r="G115" s="2" t="inlineStr">
        <is>
          <t>开票</t>
        </is>
      </c>
      <c r="H115" s="2" t="inlineStr">
        <is>
          <t>销项→欧冶</t>
        </is>
      </c>
      <c r="I115" s="2" t="inlineStr">
        <is>
          <t>俊兴</t>
        </is>
      </c>
      <c r="J115" s="2" t="inlineStr">
        <is>
          <t>欧冶物宝</t>
        </is>
      </c>
      <c r="K115" s="10" t="n">
        <v>190249.1</v>
      </c>
      <c r="L115" s="10" t="n">
        <v>0</v>
      </c>
      <c r="M115" s="10">
        <f>IF(OR(N115="已登记",LEFT(N115,2)="按状"),0,K115-L115)</f>
        <v/>
      </c>
      <c r="N115" s="2" t="inlineStr">
        <is>
          <t>按状态视为已完成(历史)</t>
        </is>
      </c>
      <c r="O115" s="2" t="n"/>
      <c r="P115" s="2" t="n"/>
    </row>
    <row r="116">
      <c r="A116" s="2" t="n">
        <v>39</v>
      </c>
      <c r="B116" s="8" t="n">
        <v>46264</v>
      </c>
      <c r="C116" s="2" t="inlineStr">
        <is>
          <t>苏DFB287</t>
        </is>
      </c>
      <c r="D116" s="2" t="inlineStr">
        <is>
          <t>配票/反向</t>
        </is>
      </c>
      <c r="E116" s="2" t="inlineStr">
        <is>
          <t>我们配票（经俊兴）</t>
        </is>
      </c>
      <c r="F116" s="2" t="inlineStr">
        <is>
          <t>俊兴</t>
        </is>
      </c>
      <c r="G116" s="2" t="inlineStr">
        <is>
          <t>回款</t>
        </is>
      </c>
      <c r="H116" s="2" t="inlineStr">
        <is>
          <t>欧冶回款</t>
        </is>
      </c>
      <c r="I116" s="2" t="inlineStr">
        <is>
          <t>欧冶物宝</t>
        </is>
      </c>
      <c r="J116" s="2" t="inlineStr">
        <is>
          <t>俊兴</t>
        </is>
      </c>
      <c r="K116" s="10" t="n">
        <v>190249.1</v>
      </c>
      <c r="L116" s="10" t="n">
        <v>0</v>
      </c>
      <c r="M116" s="10">
        <f>IF(OR(N116="已登记",LEFT(N116,2)="按状"),0,K116-L116)</f>
        <v/>
      </c>
      <c r="N116" s="2" t="inlineStr">
        <is>
          <t>待登记</t>
        </is>
      </c>
      <c r="O116" s="2" t="n">
        <v>22</v>
      </c>
      <c r="P116" s="2" t="n"/>
    </row>
    <row r="117">
      <c r="A117" s="2" t="n">
        <v>39</v>
      </c>
      <c r="B117" s="8" t="n">
        <v>46264</v>
      </c>
      <c r="C117" s="2" t="inlineStr">
        <is>
          <t>苏DFB287</t>
        </is>
      </c>
      <c r="D117" s="2" t="inlineStr">
        <is>
          <t>配票/反向</t>
        </is>
      </c>
      <c r="E117" s="2" t="inlineStr">
        <is>
          <t>我们配票（经俊兴）</t>
        </is>
      </c>
      <c r="F117" s="2" t="inlineStr">
        <is>
          <t>俊兴</t>
        </is>
      </c>
      <c r="G117" s="2" t="inlineStr">
        <is>
          <t>回款</t>
        </is>
      </c>
      <c r="H117" s="2" t="inlineStr">
        <is>
          <t>到客户账户</t>
        </is>
      </c>
      <c r="I117" s="2" t="inlineStr">
        <is>
          <t>俊兴</t>
        </is>
      </c>
      <c r="J117" s="2" t="inlineStr">
        <is>
          <t>俊兴·客户账户</t>
        </is>
      </c>
      <c r="K117" s="10" t="n">
        <v>190249.1</v>
      </c>
      <c r="L117" s="10" t="n">
        <v>0</v>
      </c>
      <c r="M117" s="10">
        <f>IF(OR(N117="已登记",LEFT(N117,2)="按状"),0,K117-L117)</f>
        <v/>
      </c>
      <c r="N117" s="2" t="inlineStr">
        <is>
          <t>未开始(前一环节未完成)</t>
        </is>
      </c>
      <c r="O117" s="2" t="n"/>
      <c r="P117" s="2" t="n"/>
    </row>
    <row r="118">
      <c r="A118" s="2" t="n">
        <v>40</v>
      </c>
      <c r="B118" s="8" t="n">
        <v>46264</v>
      </c>
      <c r="C118" s="2" t="inlineStr">
        <is>
          <t>苏BTQ938</t>
        </is>
      </c>
      <c r="D118" s="2" t="inlineStr">
        <is>
          <t>配票/反向</t>
        </is>
      </c>
      <c r="E118" s="2" t="inlineStr">
        <is>
          <t>我们配票（经俊兴）</t>
        </is>
      </c>
      <c r="F118" s="2" t="inlineStr">
        <is>
          <t>李涛车队</t>
        </is>
      </c>
      <c r="G118" s="2" t="inlineStr">
        <is>
          <t>开票</t>
        </is>
      </c>
      <c r="H118" s="2" t="inlineStr">
        <is>
          <t>销项→欧冶</t>
        </is>
      </c>
      <c r="I118" s="2" t="inlineStr">
        <is>
          <t>俊兴</t>
        </is>
      </c>
      <c r="J118" s="2" t="inlineStr">
        <is>
          <t>欧冶物宝</t>
        </is>
      </c>
      <c r="K118" s="10" t="n">
        <v>77062.34</v>
      </c>
      <c r="L118" s="10" t="n">
        <v>0</v>
      </c>
      <c r="M118" s="10">
        <f>IF(OR(N118="已登记",LEFT(N118,2)="按状"),0,K118-L118)</f>
        <v/>
      </c>
      <c r="N118" s="2" t="inlineStr">
        <is>
          <t>按状态视为已完成(历史)</t>
        </is>
      </c>
      <c r="O118" s="2" t="n"/>
      <c r="P118" s="2" t="n"/>
    </row>
    <row r="119">
      <c r="A119" s="2" t="n">
        <v>40</v>
      </c>
      <c r="B119" s="8" t="n">
        <v>46264</v>
      </c>
      <c r="C119" s="2" t="inlineStr">
        <is>
          <t>苏BTQ938</t>
        </is>
      </c>
      <c r="D119" s="2" t="inlineStr">
        <is>
          <t>配票/反向</t>
        </is>
      </c>
      <c r="E119" s="2" t="inlineStr">
        <is>
          <t>我们配票（经俊兴）</t>
        </is>
      </c>
      <c r="F119" s="2" t="inlineStr">
        <is>
          <t>李涛车队</t>
        </is>
      </c>
      <c r="G119" s="2" t="inlineStr">
        <is>
          <t>回款</t>
        </is>
      </c>
      <c r="H119" s="2" t="inlineStr">
        <is>
          <t>欧冶回款</t>
        </is>
      </c>
      <c r="I119" s="2" t="inlineStr">
        <is>
          <t>欧冶物宝</t>
        </is>
      </c>
      <c r="J119" s="2" t="inlineStr">
        <is>
          <t>俊兴</t>
        </is>
      </c>
      <c r="K119" s="10" t="n">
        <v>77062.34</v>
      </c>
      <c r="L119" s="10" t="n">
        <v>0</v>
      </c>
      <c r="M119" s="10">
        <f>IF(OR(N119="已登记",LEFT(N119,2)="按状"),0,K119-L119)</f>
        <v/>
      </c>
      <c r="N119" s="2" t="inlineStr">
        <is>
          <t>待登记</t>
        </is>
      </c>
      <c r="O119" s="2" t="n">
        <v>22</v>
      </c>
      <c r="P119" s="2" t="n"/>
    </row>
    <row r="120">
      <c r="A120" s="2" t="n">
        <v>40</v>
      </c>
      <c r="B120" s="8" t="n">
        <v>46264</v>
      </c>
      <c r="C120" s="2" t="inlineStr">
        <is>
          <t>苏BTQ938</t>
        </is>
      </c>
      <c r="D120" s="2" t="inlineStr">
        <is>
          <t>配票/反向</t>
        </is>
      </c>
      <c r="E120" s="2" t="inlineStr">
        <is>
          <t>我们配票（经俊兴）</t>
        </is>
      </c>
      <c r="F120" s="2" t="inlineStr">
        <is>
          <t>李涛车队</t>
        </is>
      </c>
      <c r="G120" s="2" t="inlineStr">
        <is>
          <t>回款</t>
        </is>
      </c>
      <c r="H120" s="2" t="inlineStr">
        <is>
          <t>到客户账户</t>
        </is>
      </c>
      <c r="I120" s="2" t="inlineStr">
        <is>
          <t>俊兴</t>
        </is>
      </c>
      <c r="J120" s="2" t="inlineStr">
        <is>
          <t>李涛车队·客户账户</t>
        </is>
      </c>
      <c r="K120" s="10" t="n">
        <v>77062.34</v>
      </c>
      <c r="L120" s="10" t="n">
        <v>0</v>
      </c>
      <c r="M120" s="10">
        <f>IF(OR(N120="已登记",LEFT(N120,2)="按状"),0,K120-L120)</f>
        <v/>
      </c>
      <c r="N120" s="2" t="inlineStr">
        <is>
          <t>未开始(前一环节未完成)</t>
        </is>
      </c>
      <c r="O120" s="2" t="n"/>
      <c r="P120" s="2" t="n"/>
    </row>
    <row r="121">
      <c r="A121" s="2" t="n">
        <v>41</v>
      </c>
      <c r="B121" s="8" t="n">
        <v>46264</v>
      </c>
      <c r="C121" s="2" t="inlineStr">
        <is>
          <t>皖SB2849</t>
        </is>
      </c>
      <c r="D121" s="2" t="inlineStr">
        <is>
          <t>配票/反向</t>
        </is>
      </c>
      <c r="E121" s="2" t="inlineStr">
        <is>
          <t>我们配票（经俊兴）</t>
        </is>
      </c>
      <c r="F121" s="2" t="inlineStr">
        <is>
          <t>林凯车队</t>
        </is>
      </c>
      <c r="G121" s="2" t="inlineStr">
        <is>
          <t>开票</t>
        </is>
      </c>
      <c r="H121" s="2" t="inlineStr">
        <is>
          <t>销项→欧冶</t>
        </is>
      </c>
      <c r="I121" s="2" t="inlineStr">
        <is>
          <t>俊兴</t>
        </is>
      </c>
      <c r="J121" s="2" t="inlineStr">
        <is>
          <t>欧冶物宝</t>
        </is>
      </c>
      <c r="K121" s="10" t="n">
        <v>100072.06</v>
      </c>
      <c r="L121" s="10" t="n">
        <v>0</v>
      </c>
      <c r="M121" s="10">
        <f>IF(OR(N121="已登记",LEFT(N121,2)="按状"),0,K121-L121)</f>
        <v/>
      </c>
      <c r="N121" s="2" t="inlineStr">
        <is>
          <t>按状态视为已完成(历史)</t>
        </is>
      </c>
      <c r="O121" s="2" t="n"/>
      <c r="P121" s="2" t="n"/>
    </row>
    <row r="122">
      <c r="A122" s="2" t="n">
        <v>41</v>
      </c>
      <c r="B122" s="8" t="n">
        <v>46264</v>
      </c>
      <c r="C122" s="2" t="inlineStr">
        <is>
          <t>皖SB2849</t>
        </is>
      </c>
      <c r="D122" s="2" t="inlineStr">
        <is>
          <t>配票/反向</t>
        </is>
      </c>
      <c r="E122" s="2" t="inlineStr">
        <is>
          <t>我们配票（经俊兴）</t>
        </is>
      </c>
      <c r="F122" s="2" t="inlineStr">
        <is>
          <t>林凯车队</t>
        </is>
      </c>
      <c r="G122" s="2" t="inlineStr">
        <is>
          <t>回款</t>
        </is>
      </c>
      <c r="H122" s="2" t="inlineStr">
        <is>
          <t>欧冶回款</t>
        </is>
      </c>
      <c r="I122" s="2" t="inlineStr">
        <is>
          <t>欧冶物宝</t>
        </is>
      </c>
      <c r="J122" s="2" t="inlineStr">
        <is>
          <t>俊兴</t>
        </is>
      </c>
      <c r="K122" s="10" t="n">
        <v>100072.06</v>
      </c>
      <c r="L122" s="10" t="n">
        <v>0</v>
      </c>
      <c r="M122" s="10">
        <f>IF(OR(N122="已登记",LEFT(N122,2)="按状"),0,K122-L122)</f>
        <v/>
      </c>
      <c r="N122" s="2" t="inlineStr">
        <is>
          <t>待登记</t>
        </is>
      </c>
      <c r="O122" s="2" t="n">
        <v>22</v>
      </c>
      <c r="P122" s="2" t="n"/>
    </row>
    <row r="123">
      <c r="A123" s="2" t="n">
        <v>41</v>
      </c>
      <c r="B123" s="8" t="n">
        <v>46264</v>
      </c>
      <c r="C123" s="2" t="inlineStr">
        <is>
          <t>皖SB2849</t>
        </is>
      </c>
      <c r="D123" s="2" t="inlineStr">
        <is>
          <t>配票/反向</t>
        </is>
      </c>
      <c r="E123" s="2" t="inlineStr">
        <is>
          <t>我们配票（经俊兴）</t>
        </is>
      </c>
      <c r="F123" s="2" t="inlineStr">
        <is>
          <t>林凯车队</t>
        </is>
      </c>
      <c r="G123" s="2" t="inlineStr">
        <is>
          <t>回款</t>
        </is>
      </c>
      <c r="H123" s="2" t="inlineStr">
        <is>
          <t>到客户账户</t>
        </is>
      </c>
      <c r="I123" s="2" t="inlineStr">
        <is>
          <t>俊兴</t>
        </is>
      </c>
      <c r="J123" s="2" t="inlineStr">
        <is>
          <t>林凯车队·客户账户</t>
        </is>
      </c>
      <c r="K123" s="10" t="n">
        <v>100072.06</v>
      </c>
      <c r="L123" s="10" t="n">
        <v>0</v>
      </c>
      <c r="M123" s="10">
        <f>IF(OR(N123="已登记",LEFT(N123,2)="按状"),0,K123-L123)</f>
        <v/>
      </c>
      <c r="N123" s="2" t="inlineStr">
        <is>
          <t>未开始(前一环节未完成)</t>
        </is>
      </c>
      <c r="O123" s="2" t="n"/>
      <c r="P123" s="2" t="n"/>
    </row>
    <row r="124">
      <c r="A124" s="2" t="n">
        <v>42</v>
      </c>
      <c r="B124" s="8" t="n">
        <v>46264</v>
      </c>
      <c r="C124" s="2" t="inlineStr">
        <is>
          <t>苏DBB772</t>
        </is>
      </c>
      <c r="D124" s="2" t="inlineStr">
        <is>
          <t>配票/反向</t>
        </is>
      </c>
      <c r="E124" s="2" t="inlineStr">
        <is>
          <t>我们配票（经俊兴）</t>
        </is>
      </c>
      <c r="F124" s="2" t="inlineStr">
        <is>
          <t>林凯车队</t>
        </is>
      </c>
      <c r="G124" s="2" t="inlineStr">
        <is>
          <t>开票</t>
        </is>
      </c>
      <c r="H124" s="2" t="inlineStr">
        <is>
          <t>销项→欧冶</t>
        </is>
      </c>
      <c r="I124" s="2" t="inlineStr">
        <is>
          <t>俊兴</t>
        </is>
      </c>
      <c r="J124" s="2" t="inlineStr">
        <is>
          <t>欧冶物宝</t>
        </is>
      </c>
      <c r="K124" s="10" t="n">
        <v>209198.66</v>
      </c>
      <c r="L124" s="10" t="n">
        <v>0</v>
      </c>
      <c r="M124" s="10">
        <f>IF(OR(N124="已登记",LEFT(N124,2)="按状"),0,K124-L124)</f>
        <v/>
      </c>
      <c r="N124" s="2" t="inlineStr">
        <is>
          <t>按状态视为已完成(历史)</t>
        </is>
      </c>
      <c r="O124" s="2" t="n"/>
      <c r="P124" s="2" t="n"/>
    </row>
    <row r="125">
      <c r="A125" s="2" t="n">
        <v>42</v>
      </c>
      <c r="B125" s="8" t="n">
        <v>46264</v>
      </c>
      <c r="C125" s="2" t="inlineStr">
        <is>
          <t>苏DBB772</t>
        </is>
      </c>
      <c r="D125" s="2" t="inlineStr">
        <is>
          <t>配票/反向</t>
        </is>
      </c>
      <c r="E125" s="2" t="inlineStr">
        <is>
          <t>我们配票（经俊兴）</t>
        </is>
      </c>
      <c r="F125" s="2" t="inlineStr">
        <is>
          <t>林凯车队</t>
        </is>
      </c>
      <c r="G125" s="2" t="inlineStr">
        <is>
          <t>回款</t>
        </is>
      </c>
      <c r="H125" s="2" t="inlineStr">
        <is>
          <t>欧冶回款</t>
        </is>
      </c>
      <c r="I125" s="2" t="inlineStr">
        <is>
          <t>欧冶物宝</t>
        </is>
      </c>
      <c r="J125" s="2" t="inlineStr">
        <is>
          <t>俊兴</t>
        </is>
      </c>
      <c r="K125" s="10" t="n">
        <v>209198.66</v>
      </c>
      <c r="L125" s="10" t="n">
        <v>0</v>
      </c>
      <c r="M125" s="10">
        <f>IF(OR(N125="已登记",LEFT(N125,2)="按状"),0,K125-L125)</f>
        <v/>
      </c>
      <c r="N125" s="2" t="inlineStr">
        <is>
          <t>待登记</t>
        </is>
      </c>
      <c r="O125" s="2" t="n">
        <v>22</v>
      </c>
      <c r="P125" s="2" t="n"/>
    </row>
    <row r="126">
      <c r="A126" s="2" t="n">
        <v>42</v>
      </c>
      <c r="B126" s="8" t="n">
        <v>46264</v>
      </c>
      <c r="C126" s="2" t="inlineStr">
        <is>
          <t>苏DBB772</t>
        </is>
      </c>
      <c r="D126" s="2" t="inlineStr">
        <is>
          <t>配票/反向</t>
        </is>
      </c>
      <c r="E126" s="2" t="inlineStr">
        <is>
          <t>我们配票（经俊兴）</t>
        </is>
      </c>
      <c r="F126" s="2" t="inlineStr">
        <is>
          <t>林凯车队</t>
        </is>
      </c>
      <c r="G126" s="2" t="inlineStr">
        <is>
          <t>回款</t>
        </is>
      </c>
      <c r="H126" s="2" t="inlineStr">
        <is>
          <t>到客户账户</t>
        </is>
      </c>
      <c r="I126" s="2" t="inlineStr">
        <is>
          <t>俊兴</t>
        </is>
      </c>
      <c r="J126" s="2" t="inlineStr">
        <is>
          <t>林凯车队·客户账户</t>
        </is>
      </c>
      <c r="K126" s="10" t="n">
        <v>209198.66</v>
      </c>
      <c r="L126" s="10" t="n">
        <v>0</v>
      </c>
      <c r="M126" s="10">
        <f>IF(OR(N126="已登记",LEFT(N126,2)="按状"),0,K126-L126)</f>
        <v/>
      </c>
      <c r="N126" s="2" t="inlineStr">
        <is>
          <t>未开始(前一环节未完成)</t>
        </is>
      </c>
      <c r="O126" s="2" t="n"/>
      <c r="P126" s="2" t="n"/>
    </row>
    <row r="127">
      <c r="A127" s="2" t="n">
        <v>43</v>
      </c>
      <c r="B127" s="8" t="n">
        <v>46264</v>
      </c>
      <c r="C127" s="2" t="inlineStr">
        <is>
          <t>冀A224E6</t>
        </is>
      </c>
      <c r="D127" s="2" t="inlineStr">
        <is>
          <t>配票/反向</t>
        </is>
      </c>
      <c r="E127" s="2" t="inlineStr">
        <is>
          <t>我们配票（经俊兴）</t>
        </is>
      </c>
      <c r="F127" s="2" t="inlineStr">
        <is>
          <t>俊兴</t>
        </is>
      </c>
      <c r="G127" s="2" t="inlineStr">
        <is>
          <t>开票</t>
        </is>
      </c>
      <c r="H127" s="2" t="inlineStr">
        <is>
          <t>销项→欧冶</t>
        </is>
      </c>
      <c r="I127" s="2" t="inlineStr">
        <is>
          <t>俊兴</t>
        </is>
      </c>
      <c r="J127" s="2" t="inlineStr">
        <is>
          <t>欧冶物宝</t>
        </is>
      </c>
      <c r="K127" s="10" t="n">
        <v>106860.52</v>
      </c>
      <c r="L127" s="10" t="n">
        <v>0</v>
      </c>
      <c r="M127" s="10">
        <f>IF(OR(N127="已登记",LEFT(N127,2)="按状"),0,K127-L127)</f>
        <v/>
      </c>
      <c r="N127" s="2" t="inlineStr">
        <is>
          <t>按状态视为已完成(历史)</t>
        </is>
      </c>
      <c r="O127" s="2" t="n"/>
      <c r="P127" s="2" t="n"/>
    </row>
    <row r="128">
      <c r="A128" s="2" t="n">
        <v>43</v>
      </c>
      <c r="B128" s="8" t="n">
        <v>46264</v>
      </c>
      <c r="C128" s="2" t="inlineStr">
        <is>
          <t>冀A224E6</t>
        </is>
      </c>
      <c r="D128" s="2" t="inlineStr">
        <is>
          <t>配票/反向</t>
        </is>
      </c>
      <c r="E128" s="2" t="inlineStr">
        <is>
          <t>我们配票（经俊兴）</t>
        </is>
      </c>
      <c r="F128" s="2" t="inlineStr">
        <is>
          <t>俊兴</t>
        </is>
      </c>
      <c r="G128" s="2" t="inlineStr">
        <is>
          <t>回款</t>
        </is>
      </c>
      <c r="H128" s="2" t="inlineStr">
        <is>
          <t>欧冶回款</t>
        </is>
      </c>
      <c r="I128" s="2" t="inlineStr">
        <is>
          <t>欧冶物宝</t>
        </is>
      </c>
      <c r="J128" s="2" t="inlineStr">
        <is>
          <t>俊兴</t>
        </is>
      </c>
      <c r="K128" s="10" t="n">
        <v>106860.52</v>
      </c>
      <c r="L128" s="10" t="n">
        <v>0</v>
      </c>
      <c r="M128" s="10">
        <f>IF(OR(N128="已登记",LEFT(N128,2)="按状"),0,K128-L128)</f>
        <v/>
      </c>
      <c r="N128" s="2" t="inlineStr">
        <is>
          <t>待登记</t>
        </is>
      </c>
      <c r="O128" s="2" t="n">
        <v>22</v>
      </c>
      <c r="P128" s="2" t="n"/>
    </row>
    <row r="129">
      <c r="A129" s="2" t="n">
        <v>43</v>
      </c>
      <c r="B129" s="8" t="n">
        <v>46264</v>
      </c>
      <c r="C129" s="2" t="inlineStr">
        <is>
          <t>冀A224E6</t>
        </is>
      </c>
      <c r="D129" s="2" t="inlineStr">
        <is>
          <t>配票/反向</t>
        </is>
      </c>
      <c r="E129" s="2" t="inlineStr">
        <is>
          <t>我们配票（经俊兴）</t>
        </is>
      </c>
      <c r="F129" s="2" t="inlineStr">
        <is>
          <t>俊兴</t>
        </is>
      </c>
      <c r="G129" s="2" t="inlineStr">
        <is>
          <t>回款</t>
        </is>
      </c>
      <c r="H129" s="2" t="inlineStr">
        <is>
          <t>到客户账户</t>
        </is>
      </c>
      <c r="I129" s="2" t="inlineStr">
        <is>
          <t>俊兴</t>
        </is>
      </c>
      <c r="J129" s="2" t="inlineStr">
        <is>
          <t>俊兴·客户账户</t>
        </is>
      </c>
      <c r="K129" s="10" t="n">
        <v>106860.52</v>
      </c>
      <c r="L129" s="10" t="n">
        <v>0</v>
      </c>
      <c r="M129" s="10">
        <f>IF(OR(N129="已登记",LEFT(N129,2)="按状"),0,K129-L129)</f>
        <v/>
      </c>
      <c r="N129" s="2" t="inlineStr">
        <is>
          <t>未开始(前一环节未完成)</t>
        </is>
      </c>
      <c r="O129" s="2" t="n"/>
      <c r="P129" s="2" t="n"/>
    </row>
    <row r="130">
      <c r="A130" s="2" t="n">
        <v>44</v>
      </c>
      <c r="B130" s="8" t="n">
        <v>46264</v>
      </c>
      <c r="C130" s="2" t="inlineStr">
        <is>
          <t>苏DBB772</t>
        </is>
      </c>
      <c r="D130" s="2" t="inlineStr">
        <is>
          <t>配票/反向</t>
        </is>
      </c>
      <c r="E130" s="2" t="inlineStr">
        <is>
          <t>我们配票（经俊兴）</t>
        </is>
      </c>
      <c r="F130" s="2" t="inlineStr">
        <is>
          <t>林凯车队</t>
        </is>
      </c>
      <c r="G130" s="2" t="inlineStr">
        <is>
          <t>开票</t>
        </is>
      </c>
      <c r="H130" s="2" t="inlineStr">
        <is>
          <t>销项→欧冶</t>
        </is>
      </c>
      <c r="I130" s="2" t="inlineStr">
        <is>
          <t>俊兴</t>
        </is>
      </c>
      <c r="J130" s="2" t="inlineStr">
        <is>
          <t>欧冶物宝</t>
        </is>
      </c>
      <c r="K130" s="10" t="n">
        <v>150667.32</v>
      </c>
      <c r="L130" s="10" t="n">
        <v>0</v>
      </c>
      <c r="M130" s="10">
        <f>IF(OR(N130="已登记",LEFT(N130,2)="按状"),0,K130-L130)</f>
        <v/>
      </c>
      <c r="N130" s="2" t="inlineStr">
        <is>
          <t>按状态视为已完成(历史)</t>
        </is>
      </c>
      <c r="O130" s="2" t="n"/>
      <c r="P130" s="2" t="n"/>
    </row>
    <row r="131">
      <c r="A131" s="2" t="n">
        <v>44</v>
      </c>
      <c r="B131" s="8" t="n">
        <v>46264</v>
      </c>
      <c r="C131" s="2" t="inlineStr">
        <is>
          <t>苏DBB772</t>
        </is>
      </c>
      <c r="D131" s="2" t="inlineStr">
        <is>
          <t>配票/反向</t>
        </is>
      </c>
      <c r="E131" s="2" t="inlineStr">
        <is>
          <t>我们配票（经俊兴）</t>
        </is>
      </c>
      <c r="F131" s="2" t="inlineStr">
        <is>
          <t>林凯车队</t>
        </is>
      </c>
      <c r="G131" s="2" t="inlineStr">
        <is>
          <t>回款</t>
        </is>
      </c>
      <c r="H131" s="2" t="inlineStr">
        <is>
          <t>欧冶回款</t>
        </is>
      </c>
      <c r="I131" s="2" t="inlineStr">
        <is>
          <t>欧冶物宝</t>
        </is>
      </c>
      <c r="J131" s="2" t="inlineStr">
        <is>
          <t>俊兴</t>
        </is>
      </c>
      <c r="K131" s="10" t="n">
        <v>150667.32</v>
      </c>
      <c r="L131" s="10" t="n">
        <v>0</v>
      </c>
      <c r="M131" s="10">
        <f>IF(OR(N131="已登记",LEFT(N131,2)="按状"),0,K131-L131)</f>
        <v/>
      </c>
      <c r="N131" s="2" t="inlineStr">
        <is>
          <t>待登记</t>
        </is>
      </c>
      <c r="O131" s="2" t="n">
        <v>22</v>
      </c>
      <c r="P131" s="2" t="n"/>
    </row>
    <row r="132">
      <c r="A132" s="2" t="n">
        <v>44</v>
      </c>
      <c r="B132" s="8" t="n">
        <v>46264</v>
      </c>
      <c r="C132" s="2" t="inlineStr">
        <is>
          <t>苏DBB772</t>
        </is>
      </c>
      <c r="D132" s="2" t="inlineStr">
        <is>
          <t>配票/反向</t>
        </is>
      </c>
      <c r="E132" s="2" t="inlineStr">
        <is>
          <t>我们配票（经俊兴）</t>
        </is>
      </c>
      <c r="F132" s="2" t="inlineStr">
        <is>
          <t>林凯车队</t>
        </is>
      </c>
      <c r="G132" s="2" t="inlineStr">
        <is>
          <t>回款</t>
        </is>
      </c>
      <c r="H132" s="2" t="inlineStr">
        <is>
          <t>到客户账户</t>
        </is>
      </c>
      <c r="I132" s="2" t="inlineStr">
        <is>
          <t>俊兴</t>
        </is>
      </c>
      <c r="J132" s="2" t="inlineStr">
        <is>
          <t>林凯车队·客户账户</t>
        </is>
      </c>
      <c r="K132" s="10" t="n">
        <v>150667.32</v>
      </c>
      <c r="L132" s="10" t="n">
        <v>0</v>
      </c>
      <c r="M132" s="10">
        <f>IF(OR(N132="已登记",LEFT(N132,2)="按状"),0,K132-L132)</f>
        <v/>
      </c>
      <c r="N132" s="2" t="inlineStr">
        <is>
          <t>未开始(前一环节未完成)</t>
        </is>
      </c>
      <c r="O132" s="2" t="n"/>
      <c r="P132" s="2" t="n"/>
    </row>
    <row r="133">
      <c r="A133" s="2" t="n">
        <v>45</v>
      </c>
      <c r="B133" s="8" t="n">
        <v>46265</v>
      </c>
      <c r="C133" s="2" t="inlineStr">
        <is>
          <t>苏DFM060</t>
        </is>
      </c>
      <c r="D133" s="2" t="inlineStr">
        <is>
          <t>配票/反向</t>
        </is>
      </c>
      <c r="E133" s="2" t="inlineStr">
        <is>
          <t>我们配票（经俊兴）</t>
        </is>
      </c>
      <c r="F133" s="2" t="inlineStr">
        <is>
          <t>林凯车队</t>
        </is>
      </c>
      <c r="G133" s="2" t="inlineStr">
        <is>
          <t>开票</t>
        </is>
      </c>
      <c r="H133" s="2" t="inlineStr">
        <is>
          <t>进项</t>
        </is>
      </c>
      <c r="I133" s="2" t="inlineStr">
        <is>
          <t>益周</t>
        </is>
      </c>
      <c r="J133" s="2" t="inlineStr">
        <is>
          <t>俊兴</t>
        </is>
      </c>
      <c r="K133" s="10" t="n">
        <v>59710.24</v>
      </c>
      <c r="L133" s="10" t="n">
        <v>0</v>
      </c>
      <c r="M133" s="10">
        <f>IF(OR(N133="已登记",LEFT(N133,2)="按状"),0,K133-L133)</f>
        <v/>
      </c>
      <c r="N133" s="2" t="inlineStr">
        <is>
          <t>按状态视为已完成(历史)</t>
        </is>
      </c>
      <c r="O133" s="2" t="n"/>
      <c r="P133" s="2" t="n"/>
    </row>
    <row r="134">
      <c r="A134" s="2" t="n">
        <v>45</v>
      </c>
      <c r="B134" s="8" t="n">
        <v>46265</v>
      </c>
      <c r="C134" s="2" t="inlineStr">
        <is>
          <t>苏DFM060</t>
        </is>
      </c>
      <c r="D134" s="2" t="inlineStr">
        <is>
          <t>配票/反向</t>
        </is>
      </c>
      <c r="E134" s="2" t="inlineStr">
        <is>
          <t>我们配票（经俊兴）</t>
        </is>
      </c>
      <c r="F134" s="2" t="inlineStr">
        <is>
          <t>林凯车队</t>
        </is>
      </c>
      <c r="G134" s="2" t="inlineStr">
        <is>
          <t>开票</t>
        </is>
      </c>
      <c r="H134" s="2" t="inlineStr">
        <is>
          <t>销项→欧冶</t>
        </is>
      </c>
      <c r="I134" s="2" t="inlineStr">
        <is>
          <t>俊兴</t>
        </is>
      </c>
      <c r="J134" s="2" t="inlineStr">
        <is>
          <t>欧冶物宝</t>
        </is>
      </c>
      <c r="K134" s="10" t="n">
        <v>59710.24</v>
      </c>
      <c r="L134" s="10" t="n">
        <v>0</v>
      </c>
      <c r="M134" s="10">
        <f>IF(OR(N134="已登记",LEFT(N134,2)="按状"),0,K134-L134)</f>
        <v/>
      </c>
      <c r="N134" s="2" t="inlineStr">
        <is>
          <t>按状态视为已完成(历史)</t>
        </is>
      </c>
      <c r="O134" s="2" t="n"/>
      <c r="P134" s="2" t="n"/>
    </row>
    <row r="135">
      <c r="A135" s="2" t="n">
        <v>45</v>
      </c>
      <c r="B135" s="8" t="n">
        <v>46265</v>
      </c>
      <c r="C135" s="2" t="inlineStr">
        <is>
          <t>苏DFM060</t>
        </is>
      </c>
      <c r="D135" s="2" t="inlineStr">
        <is>
          <t>配票/反向</t>
        </is>
      </c>
      <c r="E135" s="2" t="inlineStr">
        <is>
          <t>我们配票（经俊兴）</t>
        </is>
      </c>
      <c r="F135" s="2" t="inlineStr">
        <is>
          <t>林凯车队</t>
        </is>
      </c>
      <c r="G135" s="2" t="inlineStr">
        <is>
          <t>回款</t>
        </is>
      </c>
      <c r="H135" s="2" t="inlineStr">
        <is>
          <t>欧冶回款</t>
        </is>
      </c>
      <c r="I135" s="2" t="inlineStr">
        <is>
          <t>欧冶物宝</t>
        </is>
      </c>
      <c r="J135" s="2" t="inlineStr">
        <is>
          <t>俊兴</t>
        </is>
      </c>
      <c r="K135" s="10" t="n">
        <v>59710.24</v>
      </c>
      <c r="L135" s="10" t="n">
        <v>0</v>
      </c>
      <c r="M135" s="10">
        <f>IF(OR(N135="已登记",LEFT(N135,2)="按状"),0,K135-L135)</f>
        <v/>
      </c>
      <c r="N135" s="2" t="inlineStr">
        <is>
          <t>待登记</t>
        </is>
      </c>
      <c r="O135" s="2" t="n">
        <v>21</v>
      </c>
      <c r="P135" s="2" t="n"/>
    </row>
    <row r="136">
      <c r="A136" s="2" t="n">
        <v>45</v>
      </c>
      <c r="B136" s="8" t="n">
        <v>46265</v>
      </c>
      <c r="C136" s="2" t="inlineStr">
        <is>
          <t>苏DFM060</t>
        </is>
      </c>
      <c r="D136" s="2" t="inlineStr">
        <is>
          <t>配票/反向</t>
        </is>
      </c>
      <c r="E136" s="2" t="inlineStr">
        <is>
          <t>我们配票（经俊兴）</t>
        </is>
      </c>
      <c r="F136" s="2" t="inlineStr">
        <is>
          <t>林凯车队</t>
        </is>
      </c>
      <c r="G136" s="2" t="inlineStr">
        <is>
          <t>回款</t>
        </is>
      </c>
      <c r="H136" s="2" t="inlineStr">
        <is>
          <t>付票源</t>
        </is>
      </c>
      <c r="I136" s="2" t="inlineStr">
        <is>
          <t>俊兴</t>
        </is>
      </c>
      <c r="J136" s="2" t="inlineStr">
        <is>
          <t>益周</t>
        </is>
      </c>
      <c r="K136" s="10" t="n">
        <v>59710.24</v>
      </c>
      <c r="L136" s="10" t="n">
        <v>0</v>
      </c>
      <c r="M136" s="10">
        <f>IF(OR(N136="已登记",LEFT(N136,2)="按状"),0,K136-L136)</f>
        <v/>
      </c>
      <c r="N136" s="2" t="inlineStr">
        <is>
          <t>未开始(前一环节未完成)</t>
        </is>
      </c>
      <c r="O136" s="2" t="n"/>
      <c r="P136" s="2" t="n"/>
    </row>
    <row r="137">
      <c r="A137" s="2" t="n">
        <v>45</v>
      </c>
      <c r="B137" s="8" t="n">
        <v>46265</v>
      </c>
      <c r="C137" s="2" t="inlineStr">
        <is>
          <t>苏DFM060</t>
        </is>
      </c>
      <c r="D137" s="2" t="inlineStr">
        <is>
          <t>配票/反向</t>
        </is>
      </c>
      <c r="E137" s="2" t="inlineStr">
        <is>
          <t>我们配票（经俊兴）</t>
        </is>
      </c>
      <c r="F137" s="2" t="inlineStr">
        <is>
          <t>林凯车队</t>
        </is>
      </c>
      <c r="G137" s="2" t="inlineStr">
        <is>
          <t>回款</t>
        </is>
      </c>
      <c r="H137" s="2" t="inlineStr">
        <is>
          <t>到客户账户</t>
        </is>
      </c>
      <c r="I137" s="2" t="inlineStr">
        <is>
          <t>益周</t>
        </is>
      </c>
      <c r="J137" s="2" t="inlineStr">
        <is>
          <t>林凯车队·客户账户</t>
        </is>
      </c>
      <c r="K137" s="10" t="n">
        <v>59710.24</v>
      </c>
      <c r="L137" s="10" t="n">
        <v>0</v>
      </c>
      <c r="M137" s="10">
        <f>IF(OR(N137="已登记",LEFT(N137,2)="按状"),0,K137-L137)</f>
        <v/>
      </c>
      <c r="N137" s="2" t="inlineStr">
        <is>
          <t>未开始(前一环节未完成)</t>
        </is>
      </c>
      <c r="O137" s="2" t="n"/>
      <c r="P137" s="2" t="n"/>
    </row>
    <row r="138">
      <c r="A138" s="2" t="n">
        <v>46</v>
      </c>
      <c r="B138" s="8" t="n">
        <v>46265</v>
      </c>
      <c r="C138" s="2" t="inlineStr">
        <is>
          <t>冀A224E6</t>
        </is>
      </c>
      <c r="D138" s="2" t="inlineStr">
        <is>
          <t>配票/反向</t>
        </is>
      </c>
      <c r="E138" s="2" t="inlineStr">
        <is>
          <t>我们配票（经俊兴）</t>
        </is>
      </c>
      <c r="F138" s="2" t="inlineStr">
        <is>
          <t>林凯车队</t>
        </is>
      </c>
      <c r="G138" s="2" t="inlineStr">
        <is>
          <t>开票</t>
        </is>
      </c>
      <c r="H138" s="2" t="inlineStr">
        <is>
          <t>进项</t>
        </is>
      </c>
      <c r="I138" s="2" t="inlineStr">
        <is>
          <t>益周</t>
        </is>
      </c>
      <c r="J138" s="2" t="inlineStr">
        <is>
          <t>俊兴</t>
        </is>
      </c>
      <c r="K138" s="10" t="n">
        <v>70548.08</v>
      </c>
      <c r="L138" s="10" t="n">
        <v>0</v>
      </c>
      <c r="M138" s="10">
        <f>IF(OR(N138="已登记",LEFT(N138,2)="按状"),0,K138-L138)</f>
        <v/>
      </c>
      <c r="N138" s="2" t="inlineStr">
        <is>
          <t>按状态视为已完成(历史)</t>
        </is>
      </c>
      <c r="O138" s="2" t="n"/>
      <c r="P138" s="2" t="n"/>
    </row>
    <row r="139">
      <c r="A139" s="2" t="n">
        <v>46</v>
      </c>
      <c r="B139" s="8" t="n">
        <v>46265</v>
      </c>
      <c r="C139" s="2" t="inlineStr">
        <is>
          <t>冀A224E6</t>
        </is>
      </c>
      <c r="D139" s="2" t="inlineStr">
        <is>
          <t>配票/反向</t>
        </is>
      </c>
      <c r="E139" s="2" t="inlineStr">
        <is>
          <t>我们配票（经俊兴）</t>
        </is>
      </c>
      <c r="F139" s="2" t="inlineStr">
        <is>
          <t>林凯车队</t>
        </is>
      </c>
      <c r="G139" s="2" t="inlineStr">
        <is>
          <t>开票</t>
        </is>
      </c>
      <c r="H139" s="2" t="inlineStr">
        <is>
          <t>销项→欧冶</t>
        </is>
      </c>
      <c r="I139" s="2" t="inlineStr">
        <is>
          <t>俊兴</t>
        </is>
      </c>
      <c r="J139" s="2" t="inlineStr">
        <is>
          <t>欧冶物宝</t>
        </is>
      </c>
      <c r="K139" s="10" t="n">
        <v>70548.08</v>
      </c>
      <c r="L139" s="10" t="n">
        <v>0</v>
      </c>
      <c r="M139" s="10">
        <f>IF(OR(N139="已登记",LEFT(N139,2)="按状"),0,K139-L139)</f>
        <v/>
      </c>
      <c r="N139" s="2" t="inlineStr">
        <is>
          <t>按状态视为已完成(历史)</t>
        </is>
      </c>
      <c r="O139" s="2" t="n"/>
      <c r="P139" s="2" t="n"/>
    </row>
    <row r="140">
      <c r="A140" s="2" t="n">
        <v>46</v>
      </c>
      <c r="B140" s="8" t="n">
        <v>46265</v>
      </c>
      <c r="C140" s="2" t="inlineStr">
        <is>
          <t>冀A224E6</t>
        </is>
      </c>
      <c r="D140" s="2" t="inlineStr">
        <is>
          <t>配票/反向</t>
        </is>
      </c>
      <c r="E140" s="2" t="inlineStr">
        <is>
          <t>我们配票（经俊兴）</t>
        </is>
      </c>
      <c r="F140" s="2" t="inlineStr">
        <is>
          <t>林凯车队</t>
        </is>
      </c>
      <c r="G140" s="2" t="inlineStr">
        <is>
          <t>回款</t>
        </is>
      </c>
      <c r="H140" s="2" t="inlineStr">
        <is>
          <t>欧冶回款</t>
        </is>
      </c>
      <c r="I140" s="2" t="inlineStr">
        <is>
          <t>欧冶物宝</t>
        </is>
      </c>
      <c r="J140" s="2" t="inlineStr">
        <is>
          <t>俊兴</t>
        </is>
      </c>
      <c r="K140" s="10" t="n">
        <v>70548.08</v>
      </c>
      <c r="L140" s="10" t="n">
        <v>0</v>
      </c>
      <c r="M140" s="10">
        <f>IF(OR(N140="已登记",LEFT(N140,2)="按状"),0,K140-L140)</f>
        <v/>
      </c>
      <c r="N140" s="2" t="inlineStr">
        <is>
          <t>待登记</t>
        </is>
      </c>
      <c r="O140" s="2" t="n">
        <v>21</v>
      </c>
      <c r="P140" s="2" t="n"/>
    </row>
    <row r="141">
      <c r="A141" s="2" t="n">
        <v>46</v>
      </c>
      <c r="B141" s="8" t="n">
        <v>46265</v>
      </c>
      <c r="C141" s="2" t="inlineStr">
        <is>
          <t>冀A224E6</t>
        </is>
      </c>
      <c r="D141" s="2" t="inlineStr">
        <is>
          <t>配票/反向</t>
        </is>
      </c>
      <c r="E141" s="2" t="inlineStr">
        <is>
          <t>我们配票（经俊兴）</t>
        </is>
      </c>
      <c r="F141" s="2" t="inlineStr">
        <is>
          <t>林凯车队</t>
        </is>
      </c>
      <c r="G141" s="2" t="inlineStr">
        <is>
          <t>回款</t>
        </is>
      </c>
      <c r="H141" s="2" t="inlineStr">
        <is>
          <t>付票源</t>
        </is>
      </c>
      <c r="I141" s="2" t="inlineStr">
        <is>
          <t>俊兴</t>
        </is>
      </c>
      <c r="J141" s="2" t="inlineStr">
        <is>
          <t>益周</t>
        </is>
      </c>
      <c r="K141" s="10" t="n">
        <v>70548.08</v>
      </c>
      <c r="L141" s="10" t="n">
        <v>0</v>
      </c>
      <c r="M141" s="10">
        <f>IF(OR(N141="已登记",LEFT(N141,2)="按状"),0,K141-L141)</f>
        <v/>
      </c>
      <c r="N141" s="2" t="inlineStr">
        <is>
          <t>未开始(前一环节未完成)</t>
        </is>
      </c>
      <c r="O141" s="2" t="n"/>
      <c r="P141" s="2" t="n"/>
    </row>
    <row r="142">
      <c r="A142" s="2" t="n">
        <v>46</v>
      </c>
      <c r="B142" s="8" t="n">
        <v>46265</v>
      </c>
      <c r="C142" s="2" t="inlineStr">
        <is>
          <t>冀A224E6</t>
        </is>
      </c>
      <c r="D142" s="2" t="inlineStr">
        <is>
          <t>配票/反向</t>
        </is>
      </c>
      <c r="E142" s="2" t="inlineStr">
        <is>
          <t>我们配票（经俊兴）</t>
        </is>
      </c>
      <c r="F142" s="2" t="inlineStr">
        <is>
          <t>林凯车队</t>
        </is>
      </c>
      <c r="G142" s="2" t="inlineStr">
        <is>
          <t>回款</t>
        </is>
      </c>
      <c r="H142" s="2" t="inlineStr">
        <is>
          <t>到客户账户</t>
        </is>
      </c>
      <c r="I142" s="2" t="inlineStr">
        <is>
          <t>益周</t>
        </is>
      </c>
      <c r="J142" s="2" t="inlineStr">
        <is>
          <t>林凯车队·客户账户</t>
        </is>
      </c>
      <c r="K142" s="10" t="n">
        <v>70548.08</v>
      </c>
      <c r="L142" s="10" t="n">
        <v>0</v>
      </c>
      <c r="M142" s="10">
        <f>IF(OR(N142="已登记",LEFT(N142,2)="按状"),0,K142-L142)</f>
        <v/>
      </c>
      <c r="N142" s="2" t="inlineStr">
        <is>
          <t>未开始(前一环节未完成)</t>
        </is>
      </c>
      <c r="O142" s="2" t="n"/>
      <c r="P142" s="2" t="n"/>
    </row>
    <row r="143">
      <c r="A143" s="2" t="n">
        <v>47</v>
      </c>
      <c r="B143" s="8" t="n">
        <v>46265</v>
      </c>
      <c r="C143" s="2" t="inlineStr">
        <is>
          <t>苏DFM060</t>
        </is>
      </c>
      <c r="D143" s="2" t="inlineStr">
        <is>
          <t>配票/反向</t>
        </is>
      </c>
      <c r="E143" s="2" t="inlineStr">
        <is>
          <t>我们配票（经俊兴）</t>
        </is>
      </c>
      <c r="F143" s="2" t="inlineStr">
        <is>
          <t>林凯车队</t>
        </is>
      </c>
      <c r="G143" s="2" t="inlineStr">
        <is>
          <t>开票</t>
        </is>
      </c>
      <c r="H143" s="2" t="inlineStr">
        <is>
          <t>进项</t>
        </is>
      </c>
      <c r="I143" s="2" t="inlineStr">
        <is>
          <t>益周</t>
        </is>
      </c>
      <c r="J143" s="2" t="inlineStr">
        <is>
          <t>俊兴</t>
        </is>
      </c>
      <c r="K143" s="10" t="n">
        <v>136101.66</v>
      </c>
      <c r="L143" s="10" t="n">
        <v>0</v>
      </c>
      <c r="M143" s="10">
        <f>IF(OR(N143="已登记",LEFT(N143,2)="按状"),0,K143-L143)</f>
        <v/>
      </c>
      <c r="N143" s="2" t="inlineStr">
        <is>
          <t>按状态视为已完成(历史)</t>
        </is>
      </c>
      <c r="O143" s="2" t="n"/>
      <c r="P143" s="2" t="n"/>
    </row>
    <row r="144">
      <c r="A144" s="2" t="n">
        <v>47</v>
      </c>
      <c r="B144" s="8" t="n">
        <v>46265</v>
      </c>
      <c r="C144" s="2" t="inlineStr">
        <is>
          <t>苏DFM060</t>
        </is>
      </c>
      <c r="D144" s="2" t="inlineStr">
        <is>
          <t>配票/反向</t>
        </is>
      </c>
      <c r="E144" s="2" t="inlineStr">
        <is>
          <t>我们配票（经俊兴）</t>
        </is>
      </c>
      <c r="F144" s="2" t="inlineStr">
        <is>
          <t>林凯车队</t>
        </is>
      </c>
      <c r="G144" s="2" t="inlineStr">
        <is>
          <t>开票</t>
        </is>
      </c>
      <c r="H144" s="2" t="inlineStr">
        <is>
          <t>销项→欧冶</t>
        </is>
      </c>
      <c r="I144" s="2" t="inlineStr">
        <is>
          <t>俊兴</t>
        </is>
      </c>
      <c r="J144" s="2" t="inlineStr">
        <is>
          <t>欧冶物宝</t>
        </is>
      </c>
      <c r="K144" s="10" t="n">
        <v>136101.66</v>
      </c>
      <c r="L144" s="10" t="n">
        <v>0</v>
      </c>
      <c r="M144" s="10">
        <f>IF(OR(N144="已登记",LEFT(N144,2)="按状"),0,K144-L144)</f>
        <v/>
      </c>
      <c r="N144" s="2" t="inlineStr">
        <is>
          <t>按状态视为已完成(历史)</t>
        </is>
      </c>
      <c r="O144" s="2" t="n"/>
      <c r="P144" s="2" t="n"/>
    </row>
    <row r="145">
      <c r="A145" s="2" t="n">
        <v>47</v>
      </c>
      <c r="B145" s="8" t="n">
        <v>46265</v>
      </c>
      <c r="C145" s="2" t="inlineStr">
        <is>
          <t>苏DFM060</t>
        </is>
      </c>
      <c r="D145" s="2" t="inlineStr">
        <is>
          <t>配票/反向</t>
        </is>
      </c>
      <c r="E145" s="2" t="inlineStr">
        <is>
          <t>我们配票（经俊兴）</t>
        </is>
      </c>
      <c r="F145" s="2" t="inlineStr">
        <is>
          <t>林凯车队</t>
        </is>
      </c>
      <c r="G145" s="2" t="inlineStr">
        <is>
          <t>回款</t>
        </is>
      </c>
      <c r="H145" s="2" t="inlineStr">
        <is>
          <t>欧冶回款</t>
        </is>
      </c>
      <c r="I145" s="2" t="inlineStr">
        <is>
          <t>欧冶物宝</t>
        </is>
      </c>
      <c r="J145" s="2" t="inlineStr">
        <is>
          <t>俊兴</t>
        </is>
      </c>
      <c r="K145" s="10" t="n">
        <v>136101.66</v>
      </c>
      <c r="L145" s="10" t="n">
        <v>0</v>
      </c>
      <c r="M145" s="10">
        <f>IF(OR(N145="已登记",LEFT(N145,2)="按状"),0,K145-L145)</f>
        <v/>
      </c>
      <c r="N145" s="2" t="inlineStr">
        <is>
          <t>待登记</t>
        </is>
      </c>
      <c r="O145" s="2" t="n">
        <v>21</v>
      </c>
      <c r="P145" s="2" t="n"/>
    </row>
    <row r="146">
      <c r="A146" s="2" t="n">
        <v>47</v>
      </c>
      <c r="B146" s="8" t="n">
        <v>46265</v>
      </c>
      <c r="C146" s="2" t="inlineStr">
        <is>
          <t>苏DFM060</t>
        </is>
      </c>
      <c r="D146" s="2" t="inlineStr">
        <is>
          <t>配票/反向</t>
        </is>
      </c>
      <c r="E146" s="2" t="inlineStr">
        <is>
          <t>我们配票（经俊兴）</t>
        </is>
      </c>
      <c r="F146" s="2" t="inlineStr">
        <is>
          <t>林凯车队</t>
        </is>
      </c>
      <c r="G146" s="2" t="inlineStr">
        <is>
          <t>回款</t>
        </is>
      </c>
      <c r="H146" s="2" t="inlineStr">
        <is>
          <t>付票源</t>
        </is>
      </c>
      <c r="I146" s="2" t="inlineStr">
        <is>
          <t>俊兴</t>
        </is>
      </c>
      <c r="J146" s="2" t="inlineStr">
        <is>
          <t>益周</t>
        </is>
      </c>
      <c r="K146" s="10" t="n">
        <v>136101.66</v>
      </c>
      <c r="L146" s="10" t="n">
        <v>0</v>
      </c>
      <c r="M146" s="10">
        <f>IF(OR(N146="已登记",LEFT(N146,2)="按状"),0,K146-L146)</f>
        <v/>
      </c>
      <c r="N146" s="2" t="inlineStr">
        <is>
          <t>未开始(前一环节未完成)</t>
        </is>
      </c>
      <c r="O146" s="2" t="n"/>
      <c r="P146" s="2" t="n"/>
    </row>
    <row r="147">
      <c r="A147" s="2" t="n">
        <v>47</v>
      </c>
      <c r="B147" s="8" t="n">
        <v>46265</v>
      </c>
      <c r="C147" s="2" t="inlineStr">
        <is>
          <t>苏DFM060</t>
        </is>
      </c>
      <c r="D147" s="2" t="inlineStr">
        <is>
          <t>配票/反向</t>
        </is>
      </c>
      <c r="E147" s="2" t="inlineStr">
        <is>
          <t>我们配票（经俊兴）</t>
        </is>
      </c>
      <c r="F147" s="2" t="inlineStr">
        <is>
          <t>林凯车队</t>
        </is>
      </c>
      <c r="G147" s="2" t="inlineStr">
        <is>
          <t>回款</t>
        </is>
      </c>
      <c r="H147" s="2" t="inlineStr">
        <is>
          <t>到客户账户</t>
        </is>
      </c>
      <c r="I147" s="2" t="inlineStr">
        <is>
          <t>益周</t>
        </is>
      </c>
      <c r="J147" s="2" t="inlineStr">
        <is>
          <t>林凯车队·客户账户</t>
        </is>
      </c>
      <c r="K147" s="10" t="n">
        <v>136101.66</v>
      </c>
      <c r="L147" s="10" t="n">
        <v>0</v>
      </c>
      <c r="M147" s="10">
        <f>IF(OR(N147="已登记",LEFT(N147,2)="按状"),0,K147-L147)</f>
        <v/>
      </c>
      <c r="N147" s="2" t="inlineStr">
        <is>
          <t>未开始(前一环节未完成)</t>
        </is>
      </c>
      <c r="O147" s="2" t="n"/>
      <c r="P147" s="2" t="n"/>
    </row>
    <row r="148">
      <c r="A148" s="2" t="n">
        <v>48</v>
      </c>
      <c r="B148" s="8" t="n">
        <v>46265</v>
      </c>
      <c r="C148" s="2" t="inlineStr">
        <is>
          <t>苏DBB772</t>
        </is>
      </c>
      <c r="D148" s="2" t="inlineStr">
        <is>
          <t>配票/反向</t>
        </is>
      </c>
      <c r="E148" s="2" t="inlineStr">
        <is>
          <t>我们配票（经俊兴）</t>
        </is>
      </c>
      <c r="F148" s="2" t="inlineStr">
        <is>
          <t>林凯车队</t>
        </is>
      </c>
      <c r="G148" s="2" t="inlineStr">
        <is>
          <t>开票</t>
        </is>
      </c>
      <c r="H148" s="2" t="inlineStr">
        <is>
          <t>进项</t>
        </is>
      </c>
      <c r="I148" s="2" t="inlineStr">
        <is>
          <t>益周</t>
        </is>
      </c>
      <c r="J148" s="2" t="inlineStr">
        <is>
          <t>俊兴</t>
        </is>
      </c>
      <c r="K148" s="10" t="n">
        <v>201347.52</v>
      </c>
      <c r="L148" s="10" t="n">
        <v>0</v>
      </c>
      <c r="M148" s="10">
        <f>IF(OR(N148="已登记",LEFT(N148,2)="按状"),0,K148-L148)</f>
        <v/>
      </c>
      <c r="N148" s="2" t="inlineStr">
        <is>
          <t>按状态视为已完成(历史)</t>
        </is>
      </c>
      <c r="O148" s="2" t="n"/>
      <c r="P148" s="2" t="n"/>
    </row>
    <row r="149">
      <c r="A149" s="2" t="n">
        <v>48</v>
      </c>
      <c r="B149" s="8" t="n">
        <v>46265</v>
      </c>
      <c r="C149" s="2" t="inlineStr">
        <is>
          <t>苏DBB772</t>
        </is>
      </c>
      <c r="D149" s="2" t="inlineStr">
        <is>
          <t>配票/反向</t>
        </is>
      </c>
      <c r="E149" s="2" t="inlineStr">
        <is>
          <t>我们配票（经俊兴）</t>
        </is>
      </c>
      <c r="F149" s="2" t="inlineStr">
        <is>
          <t>林凯车队</t>
        </is>
      </c>
      <c r="G149" s="2" t="inlineStr">
        <is>
          <t>开票</t>
        </is>
      </c>
      <c r="H149" s="2" t="inlineStr">
        <is>
          <t>销项→欧冶</t>
        </is>
      </c>
      <c r="I149" s="2" t="inlineStr">
        <is>
          <t>俊兴</t>
        </is>
      </c>
      <c r="J149" s="2" t="inlineStr">
        <is>
          <t>欧冶物宝</t>
        </is>
      </c>
      <c r="K149" s="10" t="n">
        <v>201347.52</v>
      </c>
      <c r="L149" s="10" t="n">
        <v>0</v>
      </c>
      <c r="M149" s="10">
        <f>IF(OR(N149="已登记",LEFT(N149,2)="按状"),0,K149-L149)</f>
        <v/>
      </c>
      <c r="N149" s="2" t="inlineStr">
        <is>
          <t>按状态视为已完成(历史)</t>
        </is>
      </c>
      <c r="O149" s="2" t="n"/>
      <c r="P149" s="2" t="n"/>
    </row>
    <row r="150">
      <c r="A150" s="2" t="n">
        <v>48</v>
      </c>
      <c r="B150" s="8" t="n">
        <v>46265</v>
      </c>
      <c r="C150" s="2" t="inlineStr">
        <is>
          <t>苏DBB772</t>
        </is>
      </c>
      <c r="D150" s="2" t="inlineStr">
        <is>
          <t>配票/反向</t>
        </is>
      </c>
      <c r="E150" s="2" t="inlineStr">
        <is>
          <t>我们配票（经俊兴）</t>
        </is>
      </c>
      <c r="F150" s="2" t="inlineStr">
        <is>
          <t>林凯车队</t>
        </is>
      </c>
      <c r="G150" s="2" t="inlineStr">
        <is>
          <t>回款</t>
        </is>
      </c>
      <c r="H150" s="2" t="inlineStr">
        <is>
          <t>欧冶回款</t>
        </is>
      </c>
      <c r="I150" s="2" t="inlineStr">
        <is>
          <t>欧冶物宝</t>
        </is>
      </c>
      <c r="J150" s="2" t="inlineStr">
        <is>
          <t>俊兴</t>
        </is>
      </c>
      <c r="K150" s="10" t="n">
        <v>201347.52</v>
      </c>
      <c r="L150" s="10" t="n">
        <v>0</v>
      </c>
      <c r="M150" s="10">
        <f>IF(OR(N150="已登记",LEFT(N150,2)="按状"),0,K150-L150)</f>
        <v/>
      </c>
      <c r="N150" s="2" t="inlineStr">
        <is>
          <t>待登记</t>
        </is>
      </c>
      <c r="O150" s="2" t="n">
        <v>21</v>
      </c>
      <c r="P150" s="2" t="n"/>
    </row>
    <row r="151">
      <c r="A151" s="2" t="n">
        <v>48</v>
      </c>
      <c r="B151" s="8" t="n">
        <v>46265</v>
      </c>
      <c r="C151" s="2" t="inlineStr">
        <is>
          <t>苏DBB772</t>
        </is>
      </c>
      <c r="D151" s="2" t="inlineStr">
        <is>
          <t>配票/反向</t>
        </is>
      </c>
      <c r="E151" s="2" t="inlineStr">
        <is>
          <t>我们配票（经俊兴）</t>
        </is>
      </c>
      <c r="F151" s="2" t="inlineStr">
        <is>
          <t>林凯车队</t>
        </is>
      </c>
      <c r="G151" s="2" t="inlineStr">
        <is>
          <t>回款</t>
        </is>
      </c>
      <c r="H151" s="2" t="inlineStr">
        <is>
          <t>付票源</t>
        </is>
      </c>
      <c r="I151" s="2" t="inlineStr">
        <is>
          <t>俊兴</t>
        </is>
      </c>
      <c r="J151" s="2" t="inlineStr">
        <is>
          <t>益周</t>
        </is>
      </c>
      <c r="K151" s="10" t="n">
        <v>201347.52</v>
      </c>
      <c r="L151" s="10" t="n">
        <v>0</v>
      </c>
      <c r="M151" s="10">
        <f>IF(OR(N151="已登记",LEFT(N151,2)="按状"),0,K151-L151)</f>
        <v/>
      </c>
      <c r="N151" s="2" t="inlineStr">
        <is>
          <t>未开始(前一环节未完成)</t>
        </is>
      </c>
      <c r="O151" s="2" t="n"/>
      <c r="P151" s="2" t="n"/>
    </row>
    <row r="152">
      <c r="A152" s="2" t="n">
        <v>48</v>
      </c>
      <c r="B152" s="8" t="n">
        <v>46265</v>
      </c>
      <c r="C152" s="2" t="inlineStr">
        <is>
          <t>苏DBB772</t>
        </is>
      </c>
      <c r="D152" s="2" t="inlineStr">
        <is>
          <t>配票/反向</t>
        </is>
      </c>
      <c r="E152" s="2" t="inlineStr">
        <is>
          <t>我们配票（经俊兴）</t>
        </is>
      </c>
      <c r="F152" s="2" t="inlineStr">
        <is>
          <t>林凯车队</t>
        </is>
      </c>
      <c r="G152" s="2" t="inlineStr">
        <is>
          <t>回款</t>
        </is>
      </c>
      <c r="H152" s="2" t="inlineStr">
        <is>
          <t>到客户账户</t>
        </is>
      </c>
      <c r="I152" s="2" t="inlineStr">
        <is>
          <t>益周</t>
        </is>
      </c>
      <c r="J152" s="2" t="inlineStr">
        <is>
          <t>林凯车队·客户账户</t>
        </is>
      </c>
      <c r="K152" s="10" t="n">
        <v>201347.52</v>
      </c>
      <c r="L152" s="10" t="n">
        <v>0</v>
      </c>
      <c r="M152" s="10">
        <f>IF(OR(N152="已登记",LEFT(N152,2)="按状"),0,K152-L152)</f>
        <v/>
      </c>
      <c r="N152" s="2" t="inlineStr">
        <is>
          <t>未开始(前一环节未完成)</t>
        </is>
      </c>
      <c r="O152" s="2" t="n"/>
      <c r="P152" s="2" t="n"/>
    </row>
    <row r="153">
      <c r="A153" s="2" t="n">
        <v>49</v>
      </c>
      <c r="B153" s="8" t="n">
        <v>46265</v>
      </c>
      <c r="C153" s="2" t="inlineStr">
        <is>
          <t>苏DBB772</t>
        </is>
      </c>
      <c r="D153" s="2" t="inlineStr">
        <is>
          <t>配票/反向</t>
        </is>
      </c>
      <c r="E153" s="2" t="inlineStr">
        <is>
          <t>我们配票（经俊兴）</t>
        </is>
      </c>
      <c r="F153" s="2" t="inlineStr">
        <is>
          <t>林凯车队</t>
        </is>
      </c>
      <c r="G153" s="2" t="inlineStr">
        <is>
          <t>开票</t>
        </is>
      </c>
      <c r="H153" s="2" t="inlineStr">
        <is>
          <t>进项</t>
        </is>
      </c>
      <c r="I153" s="2" t="inlineStr">
        <is>
          <t>益周</t>
        </is>
      </c>
      <c r="J153" s="2" t="inlineStr">
        <is>
          <t>俊兴</t>
        </is>
      </c>
      <c r="K153" s="10" t="n">
        <v>154436.22</v>
      </c>
      <c r="L153" s="10" t="n">
        <v>0</v>
      </c>
      <c r="M153" s="10">
        <f>IF(OR(N153="已登记",LEFT(N153,2)="按状"),0,K153-L153)</f>
        <v/>
      </c>
      <c r="N153" s="2" t="inlineStr">
        <is>
          <t>按状态视为已完成(历史)</t>
        </is>
      </c>
      <c r="O153" s="2" t="n"/>
      <c r="P153" s="2" t="n"/>
    </row>
    <row r="154">
      <c r="A154" s="2" t="n">
        <v>49</v>
      </c>
      <c r="B154" s="8" t="n">
        <v>46265</v>
      </c>
      <c r="C154" s="2" t="inlineStr">
        <is>
          <t>苏DBB772</t>
        </is>
      </c>
      <c r="D154" s="2" t="inlineStr">
        <is>
          <t>配票/反向</t>
        </is>
      </c>
      <c r="E154" s="2" t="inlineStr">
        <is>
          <t>我们配票（经俊兴）</t>
        </is>
      </c>
      <c r="F154" s="2" t="inlineStr">
        <is>
          <t>林凯车队</t>
        </is>
      </c>
      <c r="G154" s="2" t="inlineStr">
        <is>
          <t>开票</t>
        </is>
      </c>
      <c r="H154" s="2" t="inlineStr">
        <is>
          <t>销项→欧冶</t>
        </is>
      </c>
      <c r="I154" s="2" t="inlineStr">
        <is>
          <t>俊兴</t>
        </is>
      </c>
      <c r="J154" s="2" t="inlineStr">
        <is>
          <t>欧冶物宝</t>
        </is>
      </c>
      <c r="K154" s="10" t="n">
        <v>154436.22</v>
      </c>
      <c r="L154" s="10" t="n">
        <v>0</v>
      </c>
      <c r="M154" s="10">
        <f>IF(OR(N154="已登记",LEFT(N154,2)="按状"),0,K154-L154)</f>
        <v/>
      </c>
      <c r="N154" s="2" t="inlineStr">
        <is>
          <t>按状态视为已完成(历史)</t>
        </is>
      </c>
      <c r="O154" s="2" t="n"/>
      <c r="P154" s="2" t="n"/>
    </row>
    <row r="155">
      <c r="A155" s="2" t="n">
        <v>49</v>
      </c>
      <c r="B155" s="8" t="n">
        <v>46265</v>
      </c>
      <c r="C155" s="2" t="inlineStr">
        <is>
          <t>苏DBB772</t>
        </is>
      </c>
      <c r="D155" s="2" t="inlineStr">
        <is>
          <t>配票/反向</t>
        </is>
      </c>
      <c r="E155" s="2" t="inlineStr">
        <is>
          <t>我们配票（经俊兴）</t>
        </is>
      </c>
      <c r="F155" s="2" t="inlineStr">
        <is>
          <t>林凯车队</t>
        </is>
      </c>
      <c r="G155" s="2" t="inlineStr">
        <is>
          <t>回款</t>
        </is>
      </c>
      <c r="H155" s="2" t="inlineStr">
        <is>
          <t>欧冶回款</t>
        </is>
      </c>
      <c r="I155" s="2" t="inlineStr">
        <is>
          <t>欧冶物宝</t>
        </is>
      </c>
      <c r="J155" s="2" t="inlineStr">
        <is>
          <t>俊兴</t>
        </is>
      </c>
      <c r="K155" s="10" t="n">
        <v>154436.22</v>
      </c>
      <c r="L155" s="10" t="n">
        <v>0</v>
      </c>
      <c r="M155" s="10">
        <f>IF(OR(N155="已登记",LEFT(N155,2)="按状"),0,K155-L155)</f>
        <v/>
      </c>
      <c r="N155" s="2" t="inlineStr">
        <is>
          <t>待登记</t>
        </is>
      </c>
      <c r="O155" s="2" t="n">
        <v>21</v>
      </c>
      <c r="P155" s="2" t="n"/>
    </row>
    <row r="156">
      <c r="A156" s="2" t="n">
        <v>49</v>
      </c>
      <c r="B156" s="8" t="n">
        <v>46265</v>
      </c>
      <c r="C156" s="2" t="inlineStr">
        <is>
          <t>苏DBB772</t>
        </is>
      </c>
      <c r="D156" s="2" t="inlineStr">
        <is>
          <t>配票/反向</t>
        </is>
      </c>
      <c r="E156" s="2" t="inlineStr">
        <is>
          <t>我们配票（经俊兴）</t>
        </is>
      </c>
      <c r="F156" s="2" t="inlineStr">
        <is>
          <t>林凯车队</t>
        </is>
      </c>
      <c r="G156" s="2" t="inlineStr">
        <is>
          <t>回款</t>
        </is>
      </c>
      <c r="H156" s="2" t="inlineStr">
        <is>
          <t>付票源</t>
        </is>
      </c>
      <c r="I156" s="2" t="inlineStr">
        <is>
          <t>俊兴</t>
        </is>
      </c>
      <c r="J156" s="2" t="inlineStr">
        <is>
          <t>益周</t>
        </is>
      </c>
      <c r="K156" s="10" t="n">
        <v>154436.22</v>
      </c>
      <c r="L156" s="10" t="n">
        <v>0</v>
      </c>
      <c r="M156" s="10">
        <f>IF(OR(N156="已登记",LEFT(N156,2)="按状"),0,K156-L156)</f>
        <v/>
      </c>
      <c r="N156" s="2" t="inlineStr">
        <is>
          <t>未开始(前一环节未完成)</t>
        </is>
      </c>
      <c r="O156" s="2" t="n"/>
      <c r="P156" s="2" t="n"/>
    </row>
    <row r="157">
      <c r="A157" s="2" t="n">
        <v>49</v>
      </c>
      <c r="B157" s="8" t="n">
        <v>46265</v>
      </c>
      <c r="C157" s="2" t="inlineStr">
        <is>
          <t>苏DBB772</t>
        </is>
      </c>
      <c r="D157" s="2" t="inlineStr">
        <is>
          <t>配票/反向</t>
        </is>
      </c>
      <c r="E157" s="2" t="inlineStr">
        <is>
          <t>我们配票（经俊兴）</t>
        </is>
      </c>
      <c r="F157" s="2" t="inlineStr">
        <is>
          <t>林凯车队</t>
        </is>
      </c>
      <c r="G157" s="2" t="inlineStr">
        <is>
          <t>回款</t>
        </is>
      </c>
      <c r="H157" s="2" t="inlineStr">
        <is>
          <t>到客户账户</t>
        </is>
      </c>
      <c r="I157" s="2" t="inlineStr">
        <is>
          <t>益周</t>
        </is>
      </c>
      <c r="J157" s="2" t="inlineStr">
        <is>
          <t>林凯车队·客户账户</t>
        </is>
      </c>
      <c r="K157" s="10" t="n">
        <v>154436.22</v>
      </c>
      <c r="L157" s="10" t="n">
        <v>0</v>
      </c>
      <c r="M157" s="10">
        <f>IF(OR(N157="已登记",LEFT(N157,2)="按状"),0,K157-L157)</f>
        <v/>
      </c>
      <c r="N157" s="2" t="inlineStr">
        <is>
          <t>未开始(前一环节未完成)</t>
        </is>
      </c>
      <c r="O157" s="2" t="n"/>
      <c r="P157" s="2" t="n"/>
    </row>
    <row r="158">
      <c r="A158" s="2" t="n">
        <v>50</v>
      </c>
      <c r="B158" s="8" t="n">
        <v>46266</v>
      </c>
      <c r="C158" s="2" t="inlineStr">
        <is>
          <t>苏ERS080</t>
        </is>
      </c>
      <c r="D158" s="2" t="inlineStr">
        <is>
          <t>配票/反向</t>
        </is>
      </c>
      <c r="E158" s="2" t="inlineStr">
        <is>
          <t>我们配票（经俊兴）</t>
        </is>
      </c>
      <c r="F158" s="2" t="inlineStr">
        <is>
          <t>林凯车队</t>
        </is>
      </c>
      <c r="G158" s="2" t="inlineStr">
        <is>
          <t>开票</t>
        </is>
      </c>
      <c r="H158" s="2" t="inlineStr">
        <is>
          <t>进项</t>
        </is>
      </c>
      <c r="I158" s="2" t="inlineStr">
        <is>
          <t>益周</t>
        </is>
      </c>
      <c r="J158" s="2" t="inlineStr">
        <is>
          <t>俊兴</t>
        </is>
      </c>
      <c r="K158" s="10" t="n">
        <v>116710.7</v>
      </c>
      <c r="L158" s="10" t="n">
        <v>0</v>
      </c>
      <c r="M158" s="10">
        <f>IF(OR(N158="已登记",LEFT(N158,2)="按状"),0,K158-L158)</f>
        <v/>
      </c>
      <c r="N158" s="2" t="inlineStr">
        <is>
          <t>按状态视为已完成(历史)</t>
        </is>
      </c>
      <c r="O158" s="2" t="n"/>
      <c r="P158" s="2" t="n"/>
    </row>
    <row r="159">
      <c r="A159" s="2" t="n">
        <v>50</v>
      </c>
      <c r="B159" s="8" t="n">
        <v>46266</v>
      </c>
      <c r="C159" s="2" t="inlineStr">
        <is>
          <t>苏ERS080</t>
        </is>
      </c>
      <c r="D159" s="2" t="inlineStr">
        <is>
          <t>配票/反向</t>
        </is>
      </c>
      <c r="E159" s="2" t="inlineStr">
        <is>
          <t>我们配票（经俊兴）</t>
        </is>
      </c>
      <c r="F159" s="2" t="inlineStr">
        <is>
          <t>林凯车队</t>
        </is>
      </c>
      <c r="G159" s="2" t="inlineStr">
        <is>
          <t>开票</t>
        </is>
      </c>
      <c r="H159" s="2" t="inlineStr">
        <is>
          <t>销项→欧冶</t>
        </is>
      </c>
      <c r="I159" s="2" t="inlineStr">
        <is>
          <t>俊兴</t>
        </is>
      </c>
      <c r="J159" s="2" t="inlineStr">
        <is>
          <t>欧冶物宝</t>
        </is>
      </c>
      <c r="K159" s="10" t="n">
        <v>116710.7</v>
      </c>
      <c r="L159" s="10" t="n">
        <v>0</v>
      </c>
      <c r="M159" s="10">
        <f>IF(OR(N159="已登记",LEFT(N159,2)="按状"),0,K159-L159)</f>
        <v/>
      </c>
      <c r="N159" s="2" t="inlineStr">
        <is>
          <t>按状态视为已完成(历史)</t>
        </is>
      </c>
      <c r="O159" s="2" t="n"/>
      <c r="P159" s="2" t="n"/>
    </row>
    <row r="160">
      <c r="A160" s="2" t="n">
        <v>50</v>
      </c>
      <c r="B160" s="8" t="n">
        <v>46266</v>
      </c>
      <c r="C160" s="2" t="inlineStr">
        <is>
          <t>苏ERS080</t>
        </is>
      </c>
      <c r="D160" s="2" t="inlineStr">
        <is>
          <t>配票/反向</t>
        </is>
      </c>
      <c r="E160" s="2" t="inlineStr">
        <is>
          <t>我们配票（经俊兴）</t>
        </is>
      </c>
      <c r="F160" s="2" t="inlineStr">
        <is>
          <t>林凯车队</t>
        </is>
      </c>
      <c r="G160" s="2" t="inlineStr">
        <is>
          <t>回款</t>
        </is>
      </c>
      <c r="H160" s="2" t="inlineStr">
        <is>
          <t>欧冶回款</t>
        </is>
      </c>
      <c r="I160" s="2" t="inlineStr">
        <is>
          <t>欧冶物宝</t>
        </is>
      </c>
      <c r="J160" s="2" t="inlineStr">
        <is>
          <t>俊兴</t>
        </is>
      </c>
      <c r="K160" s="10" t="n">
        <v>116710.7</v>
      </c>
      <c r="L160" s="10" t="n">
        <v>0</v>
      </c>
      <c r="M160" s="10">
        <f>IF(OR(N160="已登记",LEFT(N160,2)="按状"),0,K160-L160)</f>
        <v/>
      </c>
      <c r="N160" s="2" t="inlineStr">
        <is>
          <t>待登记</t>
        </is>
      </c>
      <c r="O160" s="2" t="n">
        <v>20</v>
      </c>
      <c r="P160" s="2" t="n"/>
    </row>
    <row r="161">
      <c r="A161" s="2" t="n">
        <v>50</v>
      </c>
      <c r="B161" s="8" t="n">
        <v>46266</v>
      </c>
      <c r="C161" s="2" t="inlineStr">
        <is>
          <t>苏ERS080</t>
        </is>
      </c>
      <c r="D161" s="2" t="inlineStr">
        <is>
          <t>配票/反向</t>
        </is>
      </c>
      <c r="E161" s="2" t="inlineStr">
        <is>
          <t>我们配票（经俊兴）</t>
        </is>
      </c>
      <c r="F161" s="2" t="inlineStr">
        <is>
          <t>林凯车队</t>
        </is>
      </c>
      <c r="G161" s="2" t="inlineStr">
        <is>
          <t>回款</t>
        </is>
      </c>
      <c r="H161" s="2" t="inlineStr">
        <is>
          <t>付票源</t>
        </is>
      </c>
      <c r="I161" s="2" t="inlineStr">
        <is>
          <t>俊兴</t>
        </is>
      </c>
      <c r="J161" s="2" t="inlineStr">
        <is>
          <t>益周</t>
        </is>
      </c>
      <c r="K161" s="10" t="n">
        <v>116710.7</v>
      </c>
      <c r="L161" s="10" t="n">
        <v>0</v>
      </c>
      <c r="M161" s="10">
        <f>IF(OR(N161="已登记",LEFT(N161,2)="按状"),0,K161-L161)</f>
        <v/>
      </c>
      <c r="N161" s="2" t="inlineStr">
        <is>
          <t>未开始(前一环节未完成)</t>
        </is>
      </c>
      <c r="O161" s="2" t="n"/>
      <c r="P161" s="2" t="n"/>
    </row>
    <row r="162">
      <c r="A162" s="2" t="n">
        <v>50</v>
      </c>
      <c r="B162" s="8" t="n">
        <v>46266</v>
      </c>
      <c r="C162" s="2" t="inlineStr">
        <is>
          <t>苏ERS080</t>
        </is>
      </c>
      <c r="D162" s="2" t="inlineStr">
        <is>
          <t>配票/反向</t>
        </is>
      </c>
      <c r="E162" s="2" t="inlineStr">
        <is>
          <t>我们配票（经俊兴）</t>
        </is>
      </c>
      <c r="F162" s="2" t="inlineStr">
        <is>
          <t>林凯车队</t>
        </is>
      </c>
      <c r="G162" s="2" t="inlineStr">
        <is>
          <t>回款</t>
        </is>
      </c>
      <c r="H162" s="2" t="inlineStr">
        <is>
          <t>到客户账户</t>
        </is>
      </c>
      <c r="I162" s="2" t="inlineStr">
        <is>
          <t>益周</t>
        </is>
      </c>
      <c r="J162" s="2" t="inlineStr">
        <is>
          <t>林凯车队·客户账户</t>
        </is>
      </c>
      <c r="K162" s="10" t="n">
        <v>116710.7</v>
      </c>
      <c r="L162" s="10" t="n">
        <v>0</v>
      </c>
      <c r="M162" s="10">
        <f>IF(OR(N162="已登记",LEFT(N162,2)="按状"),0,K162-L162)</f>
        <v/>
      </c>
      <c r="N162" s="2" t="inlineStr">
        <is>
          <t>未开始(前一环节未完成)</t>
        </is>
      </c>
      <c r="O162" s="2" t="n"/>
      <c r="P162" s="2" t="n"/>
    </row>
    <row r="163">
      <c r="A163" s="2" t="n">
        <v>51</v>
      </c>
      <c r="B163" s="8" t="n">
        <v>46266</v>
      </c>
      <c r="C163" s="2" t="inlineStr">
        <is>
          <t>苏DFM060</t>
        </is>
      </c>
      <c r="D163" s="2" t="inlineStr">
        <is>
          <t>配票/反向</t>
        </is>
      </c>
      <c r="E163" s="2" t="inlineStr">
        <is>
          <t>我们配票（经俊兴）</t>
        </is>
      </c>
      <c r="F163" s="2" t="inlineStr">
        <is>
          <t>林凯车队</t>
        </is>
      </c>
      <c r="G163" s="2" t="inlineStr">
        <is>
          <t>开票</t>
        </is>
      </c>
      <c r="H163" s="2" t="inlineStr">
        <is>
          <t>进项</t>
        </is>
      </c>
      <c r="I163" s="2" t="inlineStr">
        <is>
          <t>益周</t>
        </is>
      </c>
      <c r="J163" s="2" t="inlineStr">
        <is>
          <t>俊兴</t>
        </is>
      </c>
      <c r="K163" s="10" t="n">
        <v>60668.52</v>
      </c>
      <c r="L163" s="10" t="n">
        <v>0</v>
      </c>
      <c r="M163" s="10">
        <f>IF(OR(N163="已登记",LEFT(N163,2)="按状"),0,K163-L163)</f>
        <v/>
      </c>
      <c r="N163" s="2" t="inlineStr">
        <is>
          <t>按状态视为已完成(历史)</t>
        </is>
      </c>
      <c r="O163" s="2" t="n"/>
      <c r="P163" s="2" t="n"/>
    </row>
    <row r="164">
      <c r="A164" s="2" t="n">
        <v>51</v>
      </c>
      <c r="B164" s="8" t="n">
        <v>46266</v>
      </c>
      <c r="C164" s="2" t="inlineStr">
        <is>
          <t>苏DFM060</t>
        </is>
      </c>
      <c r="D164" s="2" t="inlineStr">
        <is>
          <t>配票/反向</t>
        </is>
      </c>
      <c r="E164" s="2" t="inlineStr">
        <is>
          <t>我们配票（经俊兴）</t>
        </is>
      </c>
      <c r="F164" s="2" t="inlineStr">
        <is>
          <t>林凯车队</t>
        </is>
      </c>
      <c r="G164" s="2" t="inlineStr">
        <is>
          <t>开票</t>
        </is>
      </c>
      <c r="H164" s="2" t="inlineStr">
        <is>
          <t>销项→欧冶</t>
        </is>
      </c>
      <c r="I164" s="2" t="inlineStr">
        <is>
          <t>俊兴</t>
        </is>
      </c>
      <c r="J164" s="2" t="inlineStr">
        <is>
          <t>欧冶物宝</t>
        </is>
      </c>
      <c r="K164" s="10" t="n">
        <v>60668.52</v>
      </c>
      <c r="L164" s="10" t="n">
        <v>0</v>
      </c>
      <c r="M164" s="10">
        <f>IF(OR(N164="已登记",LEFT(N164,2)="按状"),0,K164-L164)</f>
        <v/>
      </c>
      <c r="N164" s="2" t="inlineStr">
        <is>
          <t>按状态视为已完成(历史)</t>
        </is>
      </c>
      <c r="O164" s="2" t="n"/>
      <c r="P164" s="2" t="n"/>
    </row>
    <row r="165">
      <c r="A165" s="2" t="n">
        <v>51</v>
      </c>
      <c r="B165" s="8" t="n">
        <v>46266</v>
      </c>
      <c r="C165" s="2" t="inlineStr">
        <is>
          <t>苏DFM060</t>
        </is>
      </c>
      <c r="D165" s="2" t="inlineStr">
        <is>
          <t>配票/反向</t>
        </is>
      </c>
      <c r="E165" s="2" t="inlineStr">
        <is>
          <t>我们配票（经俊兴）</t>
        </is>
      </c>
      <c r="F165" s="2" t="inlineStr">
        <is>
          <t>林凯车队</t>
        </is>
      </c>
      <c r="G165" s="2" t="inlineStr">
        <is>
          <t>回款</t>
        </is>
      </c>
      <c r="H165" s="2" t="inlineStr">
        <is>
          <t>欧冶回款</t>
        </is>
      </c>
      <c r="I165" s="2" t="inlineStr">
        <is>
          <t>欧冶物宝</t>
        </is>
      </c>
      <c r="J165" s="2" t="inlineStr">
        <is>
          <t>俊兴</t>
        </is>
      </c>
      <c r="K165" s="10" t="n">
        <v>60668.52</v>
      </c>
      <c r="L165" s="10" t="n">
        <v>0</v>
      </c>
      <c r="M165" s="10">
        <f>IF(OR(N165="已登记",LEFT(N165,2)="按状"),0,K165-L165)</f>
        <v/>
      </c>
      <c r="N165" s="2" t="inlineStr">
        <is>
          <t>待登记</t>
        </is>
      </c>
      <c r="O165" s="2" t="n">
        <v>20</v>
      </c>
      <c r="P165" s="2" t="n"/>
    </row>
    <row r="166">
      <c r="A166" s="2" t="n">
        <v>51</v>
      </c>
      <c r="B166" s="8" t="n">
        <v>46266</v>
      </c>
      <c r="C166" s="2" t="inlineStr">
        <is>
          <t>苏DFM060</t>
        </is>
      </c>
      <c r="D166" s="2" t="inlineStr">
        <is>
          <t>配票/反向</t>
        </is>
      </c>
      <c r="E166" s="2" t="inlineStr">
        <is>
          <t>我们配票（经俊兴）</t>
        </is>
      </c>
      <c r="F166" s="2" t="inlineStr">
        <is>
          <t>林凯车队</t>
        </is>
      </c>
      <c r="G166" s="2" t="inlineStr">
        <is>
          <t>回款</t>
        </is>
      </c>
      <c r="H166" s="2" t="inlineStr">
        <is>
          <t>付票源</t>
        </is>
      </c>
      <c r="I166" s="2" t="inlineStr">
        <is>
          <t>俊兴</t>
        </is>
      </c>
      <c r="J166" s="2" t="inlineStr">
        <is>
          <t>益周</t>
        </is>
      </c>
      <c r="K166" s="10" t="n">
        <v>60668.52</v>
      </c>
      <c r="L166" s="10" t="n">
        <v>0</v>
      </c>
      <c r="M166" s="10">
        <f>IF(OR(N166="已登记",LEFT(N166,2)="按状"),0,K166-L166)</f>
        <v/>
      </c>
      <c r="N166" s="2" t="inlineStr">
        <is>
          <t>未开始(前一环节未完成)</t>
        </is>
      </c>
      <c r="O166" s="2" t="n"/>
      <c r="P166" s="2" t="n"/>
    </row>
    <row r="167">
      <c r="A167" s="2" t="n">
        <v>51</v>
      </c>
      <c r="B167" s="8" t="n">
        <v>46266</v>
      </c>
      <c r="C167" s="2" t="inlineStr">
        <is>
          <t>苏DFM060</t>
        </is>
      </c>
      <c r="D167" s="2" t="inlineStr">
        <is>
          <t>配票/反向</t>
        </is>
      </c>
      <c r="E167" s="2" t="inlineStr">
        <is>
          <t>我们配票（经俊兴）</t>
        </is>
      </c>
      <c r="F167" s="2" t="inlineStr">
        <is>
          <t>林凯车队</t>
        </is>
      </c>
      <c r="G167" s="2" t="inlineStr">
        <is>
          <t>回款</t>
        </is>
      </c>
      <c r="H167" s="2" t="inlineStr">
        <is>
          <t>到客户账户</t>
        </is>
      </c>
      <c r="I167" s="2" t="inlineStr">
        <is>
          <t>益周</t>
        </is>
      </c>
      <c r="J167" s="2" t="inlineStr">
        <is>
          <t>林凯车队·客户账户</t>
        </is>
      </c>
      <c r="K167" s="10" t="n">
        <v>60668.52</v>
      </c>
      <c r="L167" s="10" t="n">
        <v>0</v>
      </c>
      <c r="M167" s="10">
        <f>IF(OR(N167="已登记",LEFT(N167,2)="按状"),0,K167-L167)</f>
        <v/>
      </c>
      <c r="N167" s="2" t="inlineStr">
        <is>
          <t>未开始(前一环节未完成)</t>
        </is>
      </c>
      <c r="O167" s="2" t="n"/>
      <c r="P167" s="2" t="n"/>
    </row>
    <row r="168">
      <c r="A168" s="2" t="n">
        <v>52</v>
      </c>
      <c r="B168" s="8" t="n">
        <v>46266</v>
      </c>
      <c r="C168" s="2" t="inlineStr">
        <is>
          <t>苏DBX137</t>
        </is>
      </c>
      <c r="D168" s="2" t="inlineStr">
        <is>
          <t>配票/反向</t>
        </is>
      </c>
      <c r="E168" s="2" t="inlineStr">
        <is>
          <t>我们配票（经俊兴）</t>
        </is>
      </c>
      <c r="F168" s="2" t="inlineStr">
        <is>
          <t>林凯车队</t>
        </is>
      </c>
      <c r="G168" s="2" t="inlineStr">
        <is>
          <t>开票</t>
        </is>
      </c>
      <c r="H168" s="2" t="inlineStr">
        <is>
          <t>进项</t>
        </is>
      </c>
      <c r="I168" s="2" t="inlineStr">
        <is>
          <t>益周</t>
        </is>
      </c>
      <c r="J168" s="2" t="inlineStr">
        <is>
          <t>俊兴</t>
        </is>
      </c>
      <c r="K168" s="10" t="n">
        <v>109700.59</v>
      </c>
      <c r="L168" s="10" t="n">
        <v>0</v>
      </c>
      <c r="M168" s="10">
        <f>IF(OR(N168="已登记",LEFT(N168,2)="按状"),0,K168-L168)</f>
        <v/>
      </c>
      <c r="N168" s="2" t="inlineStr">
        <is>
          <t>按状态视为已完成(历史)</t>
        </is>
      </c>
      <c r="O168" s="2" t="n"/>
      <c r="P168" s="2" t="n"/>
    </row>
    <row r="169">
      <c r="A169" s="2" t="n">
        <v>52</v>
      </c>
      <c r="B169" s="8" t="n">
        <v>46266</v>
      </c>
      <c r="C169" s="2" t="inlineStr">
        <is>
          <t>苏DBX137</t>
        </is>
      </c>
      <c r="D169" s="2" t="inlineStr">
        <is>
          <t>配票/反向</t>
        </is>
      </c>
      <c r="E169" s="2" t="inlineStr">
        <is>
          <t>我们配票（经俊兴）</t>
        </is>
      </c>
      <c r="F169" s="2" t="inlineStr">
        <is>
          <t>林凯车队</t>
        </is>
      </c>
      <c r="G169" s="2" t="inlineStr">
        <is>
          <t>开票</t>
        </is>
      </c>
      <c r="H169" s="2" t="inlineStr">
        <is>
          <t>销项→欧冶</t>
        </is>
      </c>
      <c r="I169" s="2" t="inlineStr">
        <is>
          <t>俊兴</t>
        </is>
      </c>
      <c r="J169" s="2" t="inlineStr">
        <is>
          <t>欧冶物宝</t>
        </is>
      </c>
      <c r="K169" s="10" t="n">
        <v>109700.59</v>
      </c>
      <c r="L169" s="10" t="n">
        <v>0</v>
      </c>
      <c r="M169" s="10">
        <f>IF(OR(N169="已登记",LEFT(N169,2)="按状"),0,K169-L169)</f>
        <v/>
      </c>
      <c r="N169" s="2" t="inlineStr">
        <is>
          <t>按状态视为已完成(历史)</t>
        </is>
      </c>
      <c r="O169" s="2" t="n"/>
      <c r="P169" s="2" t="n"/>
    </row>
    <row r="170">
      <c r="A170" s="2" t="n">
        <v>52</v>
      </c>
      <c r="B170" s="8" t="n">
        <v>46266</v>
      </c>
      <c r="C170" s="2" t="inlineStr">
        <is>
          <t>苏DBX137</t>
        </is>
      </c>
      <c r="D170" s="2" t="inlineStr">
        <is>
          <t>配票/反向</t>
        </is>
      </c>
      <c r="E170" s="2" t="inlineStr">
        <is>
          <t>我们配票（经俊兴）</t>
        </is>
      </c>
      <c r="F170" s="2" t="inlineStr">
        <is>
          <t>林凯车队</t>
        </is>
      </c>
      <c r="G170" s="2" t="inlineStr">
        <is>
          <t>回款</t>
        </is>
      </c>
      <c r="H170" s="2" t="inlineStr">
        <is>
          <t>欧冶回款</t>
        </is>
      </c>
      <c r="I170" s="2" t="inlineStr">
        <is>
          <t>欧冶物宝</t>
        </is>
      </c>
      <c r="J170" s="2" t="inlineStr">
        <is>
          <t>俊兴</t>
        </is>
      </c>
      <c r="K170" s="10" t="n">
        <v>109700.59</v>
      </c>
      <c r="L170" s="10" t="n">
        <v>0</v>
      </c>
      <c r="M170" s="10">
        <f>IF(OR(N170="已登记",LEFT(N170,2)="按状"),0,K170-L170)</f>
        <v/>
      </c>
      <c r="N170" s="2" t="inlineStr">
        <is>
          <t>待登记</t>
        </is>
      </c>
      <c r="O170" s="2" t="n">
        <v>20</v>
      </c>
      <c r="P170" s="2" t="n"/>
    </row>
    <row r="171">
      <c r="A171" s="2" t="n">
        <v>52</v>
      </c>
      <c r="B171" s="8" t="n">
        <v>46266</v>
      </c>
      <c r="C171" s="2" t="inlineStr">
        <is>
          <t>苏DBX137</t>
        </is>
      </c>
      <c r="D171" s="2" t="inlineStr">
        <is>
          <t>配票/反向</t>
        </is>
      </c>
      <c r="E171" s="2" t="inlineStr">
        <is>
          <t>我们配票（经俊兴）</t>
        </is>
      </c>
      <c r="F171" s="2" t="inlineStr">
        <is>
          <t>林凯车队</t>
        </is>
      </c>
      <c r="G171" s="2" t="inlineStr">
        <is>
          <t>回款</t>
        </is>
      </c>
      <c r="H171" s="2" t="inlineStr">
        <is>
          <t>付票源</t>
        </is>
      </c>
      <c r="I171" s="2" t="inlineStr">
        <is>
          <t>俊兴</t>
        </is>
      </c>
      <c r="J171" s="2" t="inlineStr">
        <is>
          <t>益周</t>
        </is>
      </c>
      <c r="K171" s="10" t="n">
        <v>109700.59</v>
      </c>
      <c r="L171" s="10" t="n">
        <v>0</v>
      </c>
      <c r="M171" s="10">
        <f>IF(OR(N171="已登记",LEFT(N171,2)="按状"),0,K171-L171)</f>
        <v/>
      </c>
      <c r="N171" s="2" t="inlineStr">
        <is>
          <t>未开始(前一环节未完成)</t>
        </is>
      </c>
      <c r="O171" s="2" t="n"/>
      <c r="P171" s="2" t="n"/>
    </row>
    <row r="172">
      <c r="A172" s="2" t="n">
        <v>52</v>
      </c>
      <c r="B172" s="8" t="n">
        <v>46266</v>
      </c>
      <c r="C172" s="2" t="inlineStr">
        <is>
          <t>苏DBX137</t>
        </is>
      </c>
      <c r="D172" s="2" t="inlineStr">
        <is>
          <t>配票/反向</t>
        </is>
      </c>
      <c r="E172" s="2" t="inlineStr">
        <is>
          <t>我们配票（经俊兴）</t>
        </is>
      </c>
      <c r="F172" s="2" t="inlineStr">
        <is>
          <t>林凯车队</t>
        </is>
      </c>
      <c r="G172" s="2" t="inlineStr">
        <is>
          <t>回款</t>
        </is>
      </c>
      <c r="H172" s="2" t="inlineStr">
        <is>
          <t>到客户账户</t>
        </is>
      </c>
      <c r="I172" s="2" t="inlineStr">
        <is>
          <t>益周</t>
        </is>
      </c>
      <c r="J172" s="2" t="inlineStr">
        <is>
          <t>林凯车队·客户账户</t>
        </is>
      </c>
      <c r="K172" s="10" t="n">
        <v>109700.59</v>
      </c>
      <c r="L172" s="10" t="n">
        <v>0</v>
      </c>
      <c r="M172" s="10">
        <f>IF(OR(N172="已登记",LEFT(N172,2)="按状"),0,K172-L172)</f>
        <v/>
      </c>
      <c r="N172" s="2" t="inlineStr">
        <is>
          <t>未开始(前一环节未完成)</t>
        </is>
      </c>
      <c r="O172" s="2" t="n"/>
      <c r="P172" s="2" t="n"/>
    </row>
    <row r="173">
      <c r="A173" s="2" t="n">
        <v>53</v>
      </c>
      <c r="B173" s="8" t="n">
        <v>46266</v>
      </c>
      <c r="C173" s="2" t="inlineStr">
        <is>
          <t>苏DBB772</t>
        </is>
      </c>
      <c r="D173" s="2" t="inlineStr">
        <is>
          <t>配票/反向</t>
        </is>
      </c>
      <c r="E173" s="2" t="inlineStr">
        <is>
          <t>我们配票（经俊兴）</t>
        </is>
      </c>
      <c r="F173" s="2" t="inlineStr">
        <is>
          <t>林凯车队</t>
        </is>
      </c>
      <c r="G173" s="2" t="inlineStr">
        <is>
          <t>开票</t>
        </is>
      </c>
      <c r="H173" s="2" t="inlineStr">
        <is>
          <t>进项</t>
        </is>
      </c>
      <c r="I173" s="2" t="inlineStr">
        <is>
          <t>益周</t>
        </is>
      </c>
      <c r="J173" s="2" t="inlineStr">
        <is>
          <t>俊兴</t>
        </is>
      </c>
      <c r="K173" s="10" t="n">
        <v>156874.92</v>
      </c>
      <c r="L173" s="10" t="n">
        <v>0</v>
      </c>
      <c r="M173" s="10">
        <f>IF(OR(N173="已登记",LEFT(N173,2)="按状"),0,K173-L173)</f>
        <v/>
      </c>
      <c r="N173" s="2" t="inlineStr">
        <is>
          <t>按状态视为已完成(历史)</t>
        </is>
      </c>
      <c r="O173" s="2" t="n"/>
      <c r="P173" s="2" t="n"/>
    </row>
    <row r="174">
      <c r="A174" s="2" t="n">
        <v>53</v>
      </c>
      <c r="B174" s="8" t="n">
        <v>46266</v>
      </c>
      <c r="C174" s="2" t="inlineStr">
        <is>
          <t>苏DBB772</t>
        </is>
      </c>
      <c r="D174" s="2" t="inlineStr">
        <is>
          <t>配票/反向</t>
        </is>
      </c>
      <c r="E174" s="2" t="inlineStr">
        <is>
          <t>我们配票（经俊兴）</t>
        </is>
      </c>
      <c r="F174" s="2" t="inlineStr">
        <is>
          <t>林凯车队</t>
        </is>
      </c>
      <c r="G174" s="2" t="inlineStr">
        <is>
          <t>开票</t>
        </is>
      </c>
      <c r="H174" s="2" t="inlineStr">
        <is>
          <t>销项→欧冶</t>
        </is>
      </c>
      <c r="I174" s="2" t="inlineStr">
        <is>
          <t>俊兴</t>
        </is>
      </c>
      <c r="J174" s="2" t="inlineStr">
        <is>
          <t>欧冶物宝</t>
        </is>
      </c>
      <c r="K174" s="10" t="n">
        <v>156874.92</v>
      </c>
      <c r="L174" s="10" t="n">
        <v>0</v>
      </c>
      <c r="M174" s="10">
        <f>IF(OR(N174="已登记",LEFT(N174,2)="按状"),0,K174-L174)</f>
        <v/>
      </c>
      <c r="N174" s="2" t="inlineStr">
        <is>
          <t>按状态视为已完成(历史)</t>
        </is>
      </c>
      <c r="O174" s="2" t="n"/>
      <c r="P174" s="2" t="n"/>
    </row>
    <row r="175">
      <c r="A175" s="2" t="n">
        <v>53</v>
      </c>
      <c r="B175" s="8" t="n">
        <v>46266</v>
      </c>
      <c r="C175" s="2" t="inlineStr">
        <is>
          <t>苏DBB772</t>
        </is>
      </c>
      <c r="D175" s="2" t="inlineStr">
        <is>
          <t>配票/反向</t>
        </is>
      </c>
      <c r="E175" s="2" t="inlineStr">
        <is>
          <t>我们配票（经俊兴）</t>
        </is>
      </c>
      <c r="F175" s="2" t="inlineStr">
        <is>
          <t>林凯车队</t>
        </is>
      </c>
      <c r="G175" s="2" t="inlineStr">
        <is>
          <t>回款</t>
        </is>
      </c>
      <c r="H175" s="2" t="inlineStr">
        <is>
          <t>欧冶回款</t>
        </is>
      </c>
      <c r="I175" s="2" t="inlineStr">
        <is>
          <t>欧冶物宝</t>
        </is>
      </c>
      <c r="J175" s="2" t="inlineStr">
        <is>
          <t>俊兴</t>
        </is>
      </c>
      <c r="K175" s="10" t="n">
        <v>156874.92</v>
      </c>
      <c r="L175" s="10" t="n">
        <v>0</v>
      </c>
      <c r="M175" s="10">
        <f>IF(OR(N175="已登记",LEFT(N175,2)="按状"),0,K175-L175)</f>
        <v/>
      </c>
      <c r="N175" s="2" t="inlineStr">
        <is>
          <t>待登记</t>
        </is>
      </c>
      <c r="O175" s="2" t="n">
        <v>20</v>
      </c>
      <c r="P175" s="2" t="n"/>
    </row>
    <row r="176">
      <c r="A176" s="2" t="n">
        <v>53</v>
      </c>
      <c r="B176" s="8" t="n">
        <v>46266</v>
      </c>
      <c r="C176" s="2" t="inlineStr">
        <is>
          <t>苏DBB772</t>
        </is>
      </c>
      <c r="D176" s="2" t="inlineStr">
        <is>
          <t>配票/反向</t>
        </is>
      </c>
      <c r="E176" s="2" t="inlineStr">
        <is>
          <t>我们配票（经俊兴）</t>
        </is>
      </c>
      <c r="F176" s="2" t="inlineStr">
        <is>
          <t>林凯车队</t>
        </is>
      </c>
      <c r="G176" s="2" t="inlineStr">
        <is>
          <t>回款</t>
        </is>
      </c>
      <c r="H176" s="2" t="inlineStr">
        <is>
          <t>付票源</t>
        </is>
      </c>
      <c r="I176" s="2" t="inlineStr">
        <is>
          <t>俊兴</t>
        </is>
      </c>
      <c r="J176" s="2" t="inlineStr">
        <is>
          <t>益周</t>
        </is>
      </c>
      <c r="K176" s="10" t="n">
        <v>156874.92</v>
      </c>
      <c r="L176" s="10" t="n">
        <v>0</v>
      </c>
      <c r="M176" s="10">
        <f>IF(OR(N176="已登记",LEFT(N176,2)="按状"),0,K176-L176)</f>
        <v/>
      </c>
      <c r="N176" s="2" t="inlineStr">
        <is>
          <t>未开始(前一环节未完成)</t>
        </is>
      </c>
      <c r="O176" s="2" t="n"/>
      <c r="P176" s="2" t="n"/>
    </row>
    <row r="177">
      <c r="A177" s="2" t="n">
        <v>53</v>
      </c>
      <c r="B177" s="8" t="n">
        <v>46266</v>
      </c>
      <c r="C177" s="2" t="inlineStr">
        <is>
          <t>苏DBB772</t>
        </is>
      </c>
      <c r="D177" s="2" t="inlineStr">
        <is>
          <t>配票/反向</t>
        </is>
      </c>
      <c r="E177" s="2" t="inlineStr">
        <is>
          <t>我们配票（经俊兴）</t>
        </is>
      </c>
      <c r="F177" s="2" t="inlineStr">
        <is>
          <t>林凯车队</t>
        </is>
      </c>
      <c r="G177" s="2" t="inlineStr">
        <is>
          <t>回款</t>
        </is>
      </c>
      <c r="H177" s="2" t="inlineStr">
        <is>
          <t>到客户账户</t>
        </is>
      </c>
      <c r="I177" s="2" t="inlineStr">
        <is>
          <t>益周</t>
        </is>
      </c>
      <c r="J177" s="2" t="inlineStr">
        <is>
          <t>林凯车队·客户账户</t>
        </is>
      </c>
      <c r="K177" s="10" t="n">
        <v>156874.92</v>
      </c>
      <c r="L177" s="10" t="n">
        <v>0</v>
      </c>
      <c r="M177" s="10">
        <f>IF(OR(N177="已登记",LEFT(N177,2)="按状"),0,K177-L177)</f>
        <v/>
      </c>
      <c r="N177" s="2" t="inlineStr">
        <is>
          <t>未开始(前一环节未完成)</t>
        </is>
      </c>
      <c r="O177" s="2" t="n"/>
      <c r="P177" s="2" t="n"/>
    </row>
    <row r="178">
      <c r="A178" s="2" t="n">
        <v>54</v>
      </c>
      <c r="B178" s="8" t="n">
        <v>46266</v>
      </c>
      <c r="C178" s="2" t="inlineStr">
        <is>
          <t>通海机9998</t>
        </is>
      </c>
      <c r="D178" s="2" t="inlineStr">
        <is>
          <t>配票/反向</t>
        </is>
      </c>
      <c r="E178" s="2" t="inlineStr">
        <is>
          <t>我们配票（经俊兴）</t>
        </is>
      </c>
      <c r="F178" s="2" t="inlineStr">
        <is>
          <t>俊兴</t>
        </is>
      </c>
      <c r="G178" s="2" t="inlineStr">
        <is>
          <t>开票</t>
        </is>
      </c>
      <c r="H178" s="2" t="inlineStr">
        <is>
          <t>销项→欧冶</t>
        </is>
      </c>
      <c r="I178" s="2" t="inlineStr">
        <is>
          <t>俊兴</t>
        </is>
      </c>
      <c r="J178" s="2" t="inlineStr">
        <is>
          <t>欧冶物宝</t>
        </is>
      </c>
      <c r="K178" s="10" t="n">
        <v>1170732.89</v>
      </c>
      <c r="L178" s="10" t="n">
        <v>0</v>
      </c>
      <c r="M178" s="10">
        <f>IF(OR(N178="已登记",LEFT(N178,2)="按状"),0,K178-L178)</f>
        <v/>
      </c>
      <c r="N178" s="2" t="inlineStr">
        <is>
          <t>按状态视为已完成(历史)</t>
        </is>
      </c>
      <c r="O178" s="2" t="n"/>
      <c r="P178" s="2" t="n"/>
    </row>
    <row r="179">
      <c r="A179" s="2" t="n">
        <v>54</v>
      </c>
      <c r="B179" s="8" t="n">
        <v>46266</v>
      </c>
      <c r="C179" s="2" t="inlineStr">
        <is>
          <t>通海机9998</t>
        </is>
      </c>
      <c r="D179" s="2" t="inlineStr">
        <is>
          <t>配票/反向</t>
        </is>
      </c>
      <c r="E179" s="2" t="inlineStr">
        <is>
          <t>我们配票（经俊兴）</t>
        </is>
      </c>
      <c r="F179" s="2" t="inlineStr">
        <is>
          <t>俊兴</t>
        </is>
      </c>
      <c r="G179" s="2" t="inlineStr">
        <is>
          <t>回款</t>
        </is>
      </c>
      <c r="H179" s="2" t="inlineStr">
        <is>
          <t>欧冶回款</t>
        </is>
      </c>
      <c r="I179" s="2" t="inlineStr">
        <is>
          <t>欧冶物宝</t>
        </is>
      </c>
      <c r="J179" s="2" t="inlineStr">
        <is>
          <t>俊兴</t>
        </is>
      </c>
      <c r="K179" s="10" t="n">
        <v>1170732.89</v>
      </c>
      <c r="L179" s="10" t="n">
        <v>0</v>
      </c>
      <c r="M179" s="10">
        <f>IF(OR(N179="已登记",LEFT(N179,2)="按状"),0,K179-L179)</f>
        <v/>
      </c>
      <c r="N179" s="2" t="inlineStr">
        <is>
          <t>待登记</t>
        </is>
      </c>
      <c r="O179" s="2" t="n">
        <v>20</v>
      </c>
      <c r="P179" s="2" t="n"/>
    </row>
    <row r="180">
      <c r="A180" s="2" t="n">
        <v>54</v>
      </c>
      <c r="B180" s="8" t="n">
        <v>46266</v>
      </c>
      <c r="C180" s="2" t="inlineStr">
        <is>
          <t>通海机9998</t>
        </is>
      </c>
      <c r="D180" s="2" t="inlineStr">
        <is>
          <t>配票/反向</t>
        </is>
      </c>
      <c r="E180" s="2" t="inlineStr">
        <is>
          <t>我们配票（经俊兴）</t>
        </is>
      </c>
      <c r="F180" s="2" t="inlineStr">
        <is>
          <t>俊兴</t>
        </is>
      </c>
      <c r="G180" s="2" t="inlineStr">
        <is>
          <t>回款</t>
        </is>
      </c>
      <c r="H180" s="2" t="inlineStr">
        <is>
          <t>到客户账户</t>
        </is>
      </c>
      <c r="I180" s="2" t="inlineStr">
        <is>
          <t>俊兴</t>
        </is>
      </c>
      <c r="J180" s="2" t="inlineStr">
        <is>
          <t>俊兴·客户账户</t>
        </is>
      </c>
      <c r="K180" s="10" t="n">
        <v>1170732.89</v>
      </c>
      <c r="L180" s="10" t="n">
        <v>0</v>
      </c>
      <c r="M180" s="10">
        <f>IF(OR(N180="已登记",LEFT(N180,2)="按状"),0,K180-L180)</f>
        <v/>
      </c>
      <c r="N180" s="2" t="inlineStr">
        <is>
          <t>未开始(前一环节未完成)</t>
        </is>
      </c>
      <c r="O180" s="2" t="n"/>
      <c r="P180" s="2" t="n"/>
    </row>
    <row r="181">
      <c r="A181" s="2" t="n">
        <v>55</v>
      </c>
      <c r="B181" s="8" t="n">
        <v>46267</v>
      </c>
      <c r="C181" s="2" t="inlineStr">
        <is>
          <t>苏BXT103</t>
        </is>
      </c>
      <c r="D181" s="2" t="inlineStr">
        <is>
          <t>配票/反向</t>
        </is>
      </c>
      <c r="E181" s="2" t="inlineStr">
        <is>
          <t>我们配票（经俊兴）</t>
        </is>
      </c>
      <c r="F181" s="2" t="inlineStr">
        <is>
          <t>闫东朋车队</t>
        </is>
      </c>
      <c r="G181" s="2" t="inlineStr">
        <is>
          <t>开票</t>
        </is>
      </c>
      <c r="H181" s="2" t="inlineStr">
        <is>
          <t>销项→欧冶</t>
        </is>
      </c>
      <c r="I181" s="2" t="inlineStr">
        <is>
          <t>俊兴</t>
        </is>
      </c>
      <c r="J181" s="2" t="inlineStr">
        <is>
          <t>欧冶物宝</t>
        </is>
      </c>
      <c r="K181" s="10" t="n">
        <v>131648.3</v>
      </c>
      <c r="L181" s="10" t="n">
        <v>0</v>
      </c>
      <c r="M181" s="10">
        <f>IF(OR(N181="已登记",LEFT(N181,2)="按状"),0,K181-L181)</f>
        <v/>
      </c>
      <c r="N181" s="2" t="inlineStr">
        <is>
          <t>按状态视为已完成(历史)</t>
        </is>
      </c>
      <c r="O181" s="2" t="n"/>
      <c r="P181" s="2" t="n"/>
    </row>
    <row r="182">
      <c r="A182" s="2" t="n">
        <v>55</v>
      </c>
      <c r="B182" s="8" t="n">
        <v>46267</v>
      </c>
      <c r="C182" s="2" t="inlineStr">
        <is>
          <t>苏BXT103</t>
        </is>
      </c>
      <c r="D182" s="2" t="inlineStr">
        <is>
          <t>配票/反向</t>
        </is>
      </c>
      <c r="E182" s="2" t="inlineStr">
        <is>
          <t>我们配票（经俊兴）</t>
        </is>
      </c>
      <c r="F182" s="2" t="inlineStr">
        <is>
          <t>闫东朋车队</t>
        </is>
      </c>
      <c r="G182" s="2" t="inlineStr">
        <is>
          <t>回款</t>
        </is>
      </c>
      <c r="H182" s="2" t="inlineStr">
        <is>
          <t>欧冶回款</t>
        </is>
      </c>
      <c r="I182" s="2" t="inlineStr">
        <is>
          <t>欧冶物宝</t>
        </is>
      </c>
      <c r="J182" s="2" t="inlineStr">
        <is>
          <t>俊兴</t>
        </is>
      </c>
      <c r="K182" s="10" t="n">
        <v>131648.3</v>
      </c>
      <c r="L182" s="10" t="n">
        <v>0</v>
      </c>
      <c r="M182" s="10">
        <f>IF(OR(N182="已登记",LEFT(N182,2)="按状"),0,K182-L182)</f>
        <v/>
      </c>
      <c r="N182" s="2" t="inlineStr">
        <is>
          <t>待登记</t>
        </is>
      </c>
      <c r="O182" s="2" t="n">
        <v>19</v>
      </c>
      <c r="P182" s="2" t="n"/>
    </row>
    <row r="183">
      <c r="A183" s="2" t="n">
        <v>55</v>
      </c>
      <c r="B183" s="8" t="n">
        <v>46267</v>
      </c>
      <c r="C183" s="2" t="inlineStr">
        <is>
          <t>苏BXT103</t>
        </is>
      </c>
      <c r="D183" s="2" t="inlineStr">
        <is>
          <t>配票/反向</t>
        </is>
      </c>
      <c r="E183" s="2" t="inlineStr">
        <is>
          <t>我们配票（经俊兴）</t>
        </is>
      </c>
      <c r="F183" s="2" t="inlineStr">
        <is>
          <t>闫东朋车队</t>
        </is>
      </c>
      <c r="G183" s="2" t="inlineStr">
        <is>
          <t>回款</t>
        </is>
      </c>
      <c r="H183" s="2" t="inlineStr">
        <is>
          <t>到客户账户</t>
        </is>
      </c>
      <c r="I183" s="2" t="inlineStr">
        <is>
          <t>俊兴</t>
        </is>
      </c>
      <c r="J183" s="2" t="inlineStr">
        <is>
          <t>闫东朋车队·客户账户</t>
        </is>
      </c>
      <c r="K183" s="10" t="n">
        <v>131648.3</v>
      </c>
      <c r="L183" s="10" t="n">
        <v>0</v>
      </c>
      <c r="M183" s="10">
        <f>IF(OR(N183="已登记",LEFT(N183,2)="按状"),0,K183-L183)</f>
        <v/>
      </c>
      <c r="N183" s="2" t="inlineStr">
        <is>
          <t>未开始(前一环节未完成)</t>
        </is>
      </c>
      <c r="O183" s="2" t="n"/>
      <c r="P183" s="2" t="n"/>
    </row>
    <row r="184">
      <c r="A184" s="2" t="n">
        <v>56</v>
      </c>
      <c r="B184" s="8" t="n">
        <v>46268</v>
      </c>
      <c r="C184" s="2" t="inlineStr">
        <is>
          <t>苏NER821</t>
        </is>
      </c>
      <c r="D184" s="2" t="inlineStr">
        <is>
          <t>配票/反向</t>
        </is>
      </c>
      <c r="E184" s="2" t="inlineStr">
        <is>
          <t>我们配票（经俊兴）</t>
        </is>
      </c>
      <c r="F184" s="2" t="inlineStr">
        <is>
          <t>李涛车队</t>
        </is>
      </c>
      <c r="G184" s="2" t="inlineStr">
        <is>
          <t>开票</t>
        </is>
      </c>
      <c r="H184" s="2" t="inlineStr">
        <is>
          <t>销项→欧冶</t>
        </is>
      </c>
      <c r="I184" s="2" t="inlineStr">
        <is>
          <t>俊兴</t>
        </is>
      </c>
      <c r="J184" s="2" t="inlineStr">
        <is>
          <t>欧冶物宝</t>
        </is>
      </c>
      <c r="K184" s="10" t="n">
        <v>85620.84</v>
      </c>
      <c r="L184" s="10" t="n">
        <v>0</v>
      </c>
      <c r="M184" s="10">
        <f>IF(OR(N184="已登记",LEFT(N184,2)="按状"),0,K184-L184)</f>
        <v/>
      </c>
      <c r="N184" s="2" t="inlineStr">
        <is>
          <t>按状态视为已完成(历史)</t>
        </is>
      </c>
      <c r="O184" s="2" t="n"/>
      <c r="P184" s="2" t="n"/>
    </row>
    <row r="185">
      <c r="A185" s="2" t="n">
        <v>56</v>
      </c>
      <c r="B185" s="8" t="n">
        <v>46268</v>
      </c>
      <c r="C185" s="2" t="inlineStr">
        <is>
          <t>苏NER821</t>
        </is>
      </c>
      <c r="D185" s="2" t="inlineStr">
        <is>
          <t>配票/反向</t>
        </is>
      </c>
      <c r="E185" s="2" t="inlineStr">
        <is>
          <t>我们配票（经俊兴）</t>
        </is>
      </c>
      <c r="F185" s="2" t="inlineStr">
        <is>
          <t>李涛车队</t>
        </is>
      </c>
      <c r="G185" s="2" t="inlineStr">
        <is>
          <t>回款</t>
        </is>
      </c>
      <c r="H185" s="2" t="inlineStr">
        <is>
          <t>欧冶回款</t>
        </is>
      </c>
      <c r="I185" s="2" t="inlineStr">
        <is>
          <t>欧冶物宝</t>
        </is>
      </c>
      <c r="J185" s="2" t="inlineStr">
        <is>
          <t>俊兴</t>
        </is>
      </c>
      <c r="K185" s="10" t="n">
        <v>85620.84</v>
      </c>
      <c r="L185" s="10" t="n">
        <v>0</v>
      </c>
      <c r="M185" s="10">
        <f>IF(OR(N185="已登记",LEFT(N185,2)="按状"),0,K185-L185)</f>
        <v/>
      </c>
      <c r="N185" s="2" t="inlineStr">
        <is>
          <t>待登记</t>
        </is>
      </c>
      <c r="O185" s="2" t="n">
        <v>18</v>
      </c>
      <c r="P185" s="2" t="n"/>
    </row>
    <row r="186">
      <c r="A186" s="2" t="n">
        <v>56</v>
      </c>
      <c r="B186" s="8" t="n">
        <v>46268</v>
      </c>
      <c r="C186" s="2" t="inlineStr">
        <is>
          <t>苏NER821</t>
        </is>
      </c>
      <c r="D186" s="2" t="inlineStr">
        <is>
          <t>配票/反向</t>
        </is>
      </c>
      <c r="E186" s="2" t="inlineStr">
        <is>
          <t>我们配票（经俊兴）</t>
        </is>
      </c>
      <c r="F186" s="2" t="inlineStr">
        <is>
          <t>李涛车队</t>
        </is>
      </c>
      <c r="G186" s="2" t="inlineStr">
        <is>
          <t>回款</t>
        </is>
      </c>
      <c r="H186" s="2" t="inlineStr">
        <is>
          <t>到客户账户</t>
        </is>
      </c>
      <c r="I186" s="2" t="inlineStr">
        <is>
          <t>俊兴</t>
        </is>
      </c>
      <c r="J186" s="2" t="inlineStr">
        <is>
          <t>李涛车队·客户账户</t>
        </is>
      </c>
      <c r="K186" s="10" t="n">
        <v>85620.84</v>
      </c>
      <c r="L186" s="10" t="n">
        <v>0</v>
      </c>
      <c r="M186" s="10">
        <f>IF(OR(N186="已登记",LEFT(N186,2)="按状"),0,K186-L186)</f>
        <v/>
      </c>
      <c r="N186" s="2" t="inlineStr">
        <is>
          <t>未开始(前一环节未完成)</t>
        </is>
      </c>
      <c r="O186" s="2" t="n"/>
      <c r="P186" s="2" t="n"/>
    </row>
    <row r="187">
      <c r="A187" s="2" t="n">
        <v>57</v>
      </c>
      <c r="B187" s="8" t="n">
        <v>46268</v>
      </c>
      <c r="C187" s="2" t="inlineStr">
        <is>
          <t>苏兴达货8566</t>
        </is>
      </c>
      <c r="D187" s="2" t="inlineStr">
        <is>
          <t>配票/反向</t>
        </is>
      </c>
      <c r="E187" s="2" t="inlineStr">
        <is>
          <t>我们配票（经俊兴）</t>
        </is>
      </c>
      <c r="F187" s="2" t="inlineStr">
        <is>
          <t>俊兴</t>
        </is>
      </c>
      <c r="G187" s="2" t="inlineStr">
        <is>
          <t>开票</t>
        </is>
      </c>
      <c r="H187" s="2" t="inlineStr">
        <is>
          <t>进项</t>
        </is>
      </c>
      <c r="I187" s="2" t="inlineStr">
        <is>
          <t>煌烽</t>
        </is>
      </c>
      <c r="J187" s="2" t="inlineStr">
        <is>
          <t>俊兴</t>
        </is>
      </c>
      <c r="K187" s="10" t="n">
        <v>1368979.32</v>
      </c>
      <c r="L187" s="10" t="n">
        <v>0</v>
      </c>
      <c r="M187" s="10">
        <f>IF(OR(N187="已登记",LEFT(N187,2)="按状"),0,K187-L187)</f>
        <v/>
      </c>
      <c r="N187" s="2" t="inlineStr">
        <is>
          <t>按状态视为已完成(历史)</t>
        </is>
      </c>
      <c r="O187" s="2" t="n"/>
      <c r="P187" s="2" t="n"/>
    </row>
    <row r="188">
      <c r="A188" s="2" t="n">
        <v>57</v>
      </c>
      <c r="B188" s="8" t="n">
        <v>46268</v>
      </c>
      <c r="C188" s="2" t="inlineStr">
        <is>
          <t>苏兴达货8566</t>
        </is>
      </c>
      <c r="D188" s="2" t="inlineStr">
        <is>
          <t>配票/反向</t>
        </is>
      </c>
      <c r="E188" s="2" t="inlineStr">
        <is>
          <t>我们配票（经俊兴）</t>
        </is>
      </c>
      <c r="F188" s="2" t="inlineStr">
        <is>
          <t>俊兴</t>
        </is>
      </c>
      <c r="G188" s="2" t="inlineStr">
        <is>
          <t>开票</t>
        </is>
      </c>
      <c r="H188" s="2" t="inlineStr">
        <is>
          <t>销项→欧冶</t>
        </is>
      </c>
      <c r="I188" s="2" t="inlineStr">
        <is>
          <t>俊兴</t>
        </is>
      </c>
      <c r="J188" s="2" t="inlineStr">
        <is>
          <t>欧冶物宝</t>
        </is>
      </c>
      <c r="K188" s="10" t="n">
        <v>1368979.32</v>
      </c>
      <c r="L188" s="10" t="n">
        <v>0</v>
      </c>
      <c r="M188" s="10">
        <f>IF(OR(N188="已登记",LEFT(N188,2)="按状"),0,K188-L188)</f>
        <v/>
      </c>
      <c r="N188" s="2" t="inlineStr">
        <is>
          <t>按状态视为已完成(历史)</t>
        </is>
      </c>
      <c r="O188" s="2" t="n"/>
      <c r="P188" s="2" t="n"/>
    </row>
    <row r="189">
      <c r="A189" s="2" t="n">
        <v>57</v>
      </c>
      <c r="B189" s="8" t="n">
        <v>46268</v>
      </c>
      <c r="C189" s="2" t="inlineStr">
        <is>
          <t>苏兴达货8566</t>
        </is>
      </c>
      <c r="D189" s="2" t="inlineStr">
        <is>
          <t>配票/反向</t>
        </is>
      </c>
      <c r="E189" s="2" t="inlineStr">
        <is>
          <t>我们配票（经俊兴）</t>
        </is>
      </c>
      <c r="F189" s="2" t="inlineStr">
        <is>
          <t>俊兴</t>
        </is>
      </c>
      <c r="G189" s="2" t="inlineStr">
        <is>
          <t>回款</t>
        </is>
      </c>
      <c r="H189" s="2" t="inlineStr">
        <is>
          <t>欧冶回款</t>
        </is>
      </c>
      <c r="I189" s="2" t="inlineStr">
        <is>
          <t>欧冶物宝</t>
        </is>
      </c>
      <c r="J189" s="2" t="inlineStr">
        <is>
          <t>俊兴</t>
        </is>
      </c>
      <c r="K189" s="10" t="n">
        <v>1368979.32</v>
      </c>
      <c r="L189" s="10" t="n">
        <v>0</v>
      </c>
      <c r="M189" s="10">
        <f>IF(OR(N189="已登记",LEFT(N189,2)="按状"),0,K189-L189)</f>
        <v/>
      </c>
      <c r="N189" s="2" t="inlineStr">
        <is>
          <t>待登记</t>
        </is>
      </c>
      <c r="O189" s="2" t="n">
        <v>18</v>
      </c>
      <c r="P189" s="2" t="n"/>
    </row>
    <row r="190">
      <c r="A190" s="2" t="n">
        <v>57</v>
      </c>
      <c r="B190" s="8" t="n">
        <v>46268</v>
      </c>
      <c r="C190" s="2" t="inlineStr">
        <is>
          <t>苏兴达货8566</t>
        </is>
      </c>
      <c r="D190" s="2" t="inlineStr">
        <is>
          <t>配票/反向</t>
        </is>
      </c>
      <c r="E190" s="2" t="inlineStr">
        <is>
          <t>我们配票（经俊兴）</t>
        </is>
      </c>
      <c r="F190" s="2" t="inlineStr">
        <is>
          <t>俊兴</t>
        </is>
      </c>
      <c r="G190" s="2" t="inlineStr">
        <is>
          <t>回款</t>
        </is>
      </c>
      <c r="H190" s="2" t="inlineStr">
        <is>
          <t>付票源</t>
        </is>
      </c>
      <c r="I190" s="2" t="inlineStr">
        <is>
          <t>俊兴</t>
        </is>
      </c>
      <c r="J190" s="2" t="inlineStr">
        <is>
          <t>煌烽</t>
        </is>
      </c>
      <c r="K190" s="10" t="n">
        <v>1368979.32</v>
      </c>
      <c r="L190" s="10" t="n">
        <v>0</v>
      </c>
      <c r="M190" s="10">
        <f>IF(OR(N190="已登记",LEFT(N190,2)="按状"),0,K190-L190)</f>
        <v/>
      </c>
      <c r="N190" s="2" t="inlineStr">
        <is>
          <t>未开始(前一环节未完成)</t>
        </is>
      </c>
      <c r="O190" s="2" t="n"/>
      <c r="P190" s="2" t="n"/>
    </row>
    <row r="191">
      <c r="A191" s="2" t="n">
        <v>57</v>
      </c>
      <c r="B191" s="8" t="n">
        <v>46268</v>
      </c>
      <c r="C191" s="2" t="inlineStr">
        <is>
          <t>苏兴达货8566</t>
        </is>
      </c>
      <c r="D191" s="2" t="inlineStr">
        <is>
          <t>配票/反向</t>
        </is>
      </c>
      <c r="E191" s="2" t="inlineStr">
        <is>
          <t>我们配票（经俊兴）</t>
        </is>
      </c>
      <c r="F191" s="2" t="inlineStr">
        <is>
          <t>俊兴</t>
        </is>
      </c>
      <c r="G191" s="2" t="inlineStr">
        <is>
          <t>回款</t>
        </is>
      </c>
      <c r="H191" s="2" t="inlineStr">
        <is>
          <t>到客户账户</t>
        </is>
      </c>
      <c r="I191" s="2" t="inlineStr">
        <is>
          <t>煌烽</t>
        </is>
      </c>
      <c r="J191" s="2" t="inlineStr">
        <is>
          <t>俊兴·客户账户</t>
        </is>
      </c>
      <c r="K191" s="10" t="n">
        <v>1368979.32</v>
      </c>
      <c r="L191" s="10" t="n">
        <v>0</v>
      </c>
      <c r="M191" s="10">
        <f>IF(OR(N191="已登记",LEFT(N191,2)="按状"),0,K191-L191)</f>
        <v/>
      </c>
      <c r="N191" s="2" t="inlineStr">
        <is>
          <t>未开始(前一环节未完成)</t>
        </is>
      </c>
      <c r="O191" s="2" t="n"/>
      <c r="P191" s="2" t="n"/>
    </row>
    <row r="192">
      <c r="A192" s="2" t="n">
        <v>58</v>
      </c>
      <c r="B192" s="8" t="n">
        <v>46269</v>
      </c>
      <c r="C192" s="2" t="inlineStr">
        <is>
          <t>皖SG1123</t>
        </is>
      </c>
      <c r="D192" s="2" t="inlineStr">
        <is>
          <t>配票/反向</t>
        </is>
      </c>
      <c r="E192" s="2" t="inlineStr">
        <is>
          <t>我们配票（经俊兴）</t>
        </is>
      </c>
      <c r="F192" s="2" t="inlineStr">
        <is>
          <t>李涛车队</t>
        </is>
      </c>
      <c r="G192" s="2" t="inlineStr">
        <is>
          <t>开票</t>
        </is>
      </c>
      <c r="H192" s="2" t="inlineStr">
        <is>
          <t>进项</t>
        </is>
      </c>
      <c r="I192" s="2" t="inlineStr">
        <is>
          <t>益周</t>
        </is>
      </c>
      <c r="J192" s="2" t="inlineStr">
        <is>
          <t>俊兴</t>
        </is>
      </c>
      <c r="K192" s="10" t="n">
        <v>90873.09</v>
      </c>
      <c r="L192" s="10" t="n">
        <v>0</v>
      </c>
      <c r="M192" s="10">
        <f>IF(OR(N192="已登记",LEFT(N192,2)="按状"),0,K192-L192)</f>
        <v/>
      </c>
      <c r="N192" s="2" t="inlineStr">
        <is>
          <t>按状态视为已完成(历史)</t>
        </is>
      </c>
      <c r="O192" s="2" t="n"/>
      <c r="P192" s="2" t="n"/>
    </row>
    <row r="193">
      <c r="A193" s="2" t="n">
        <v>58</v>
      </c>
      <c r="B193" s="8" t="n">
        <v>46269</v>
      </c>
      <c r="C193" s="2" t="inlineStr">
        <is>
          <t>皖SG1123</t>
        </is>
      </c>
      <c r="D193" s="2" t="inlineStr">
        <is>
          <t>配票/反向</t>
        </is>
      </c>
      <c r="E193" s="2" t="inlineStr">
        <is>
          <t>我们配票（经俊兴）</t>
        </is>
      </c>
      <c r="F193" s="2" t="inlineStr">
        <is>
          <t>李涛车队</t>
        </is>
      </c>
      <c r="G193" s="2" t="inlineStr">
        <is>
          <t>开票</t>
        </is>
      </c>
      <c r="H193" s="2" t="inlineStr">
        <is>
          <t>销项→欧冶</t>
        </is>
      </c>
      <c r="I193" s="2" t="inlineStr">
        <is>
          <t>俊兴</t>
        </is>
      </c>
      <c r="J193" s="2" t="inlineStr">
        <is>
          <t>欧冶物宝</t>
        </is>
      </c>
      <c r="K193" s="10" t="n">
        <v>90873.09</v>
      </c>
      <c r="L193" s="10" t="n">
        <v>0</v>
      </c>
      <c r="M193" s="10">
        <f>IF(OR(N193="已登记",LEFT(N193,2)="按状"),0,K193-L193)</f>
        <v/>
      </c>
      <c r="N193" s="2" t="inlineStr">
        <is>
          <t>按状态视为已完成(历史)</t>
        </is>
      </c>
      <c r="O193" s="2" t="n"/>
      <c r="P193" s="2" t="n"/>
    </row>
    <row r="194">
      <c r="A194" s="2" t="n">
        <v>58</v>
      </c>
      <c r="B194" s="8" t="n">
        <v>46269</v>
      </c>
      <c r="C194" s="2" t="inlineStr">
        <is>
          <t>皖SG1123</t>
        </is>
      </c>
      <c r="D194" s="2" t="inlineStr">
        <is>
          <t>配票/反向</t>
        </is>
      </c>
      <c r="E194" s="2" t="inlineStr">
        <is>
          <t>我们配票（经俊兴）</t>
        </is>
      </c>
      <c r="F194" s="2" t="inlineStr">
        <is>
          <t>李涛车队</t>
        </is>
      </c>
      <c r="G194" s="2" t="inlineStr">
        <is>
          <t>回款</t>
        </is>
      </c>
      <c r="H194" s="2" t="inlineStr">
        <is>
          <t>欧冶回款</t>
        </is>
      </c>
      <c r="I194" s="2" t="inlineStr">
        <is>
          <t>欧冶物宝</t>
        </is>
      </c>
      <c r="J194" s="2" t="inlineStr">
        <is>
          <t>俊兴</t>
        </is>
      </c>
      <c r="K194" s="10" t="n">
        <v>90873.09</v>
      </c>
      <c r="L194" s="10" t="n">
        <v>0</v>
      </c>
      <c r="M194" s="10">
        <f>IF(OR(N194="已登记",LEFT(N194,2)="按状"),0,K194-L194)</f>
        <v/>
      </c>
      <c r="N194" s="2" t="inlineStr">
        <is>
          <t>待登记</t>
        </is>
      </c>
      <c r="O194" s="2" t="n">
        <v>17</v>
      </c>
      <c r="P194" s="2" t="n"/>
    </row>
    <row r="195">
      <c r="A195" s="2" t="n">
        <v>58</v>
      </c>
      <c r="B195" s="8" t="n">
        <v>46269</v>
      </c>
      <c r="C195" s="2" t="inlineStr">
        <is>
          <t>皖SG1123</t>
        </is>
      </c>
      <c r="D195" s="2" t="inlineStr">
        <is>
          <t>配票/反向</t>
        </is>
      </c>
      <c r="E195" s="2" t="inlineStr">
        <is>
          <t>我们配票（经俊兴）</t>
        </is>
      </c>
      <c r="F195" s="2" t="inlineStr">
        <is>
          <t>李涛车队</t>
        </is>
      </c>
      <c r="G195" s="2" t="inlineStr">
        <is>
          <t>回款</t>
        </is>
      </c>
      <c r="H195" s="2" t="inlineStr">
        <is>
          <t>付票源</t>
        </is>
      </c>
      <c r="I195" s="2" t="inlineStr">
        <is>
          <t>俊兴</t>
        </is>
      </c>
      <c r="J195" s="2" t="inlineStr">
        <is>
          <t>益周</t>
        </is>
      </c>
      <c r="K195" s="10" t="n">
        <v>90873.09</v>
      </c>
      <c r="L195" s="10" t="n">
        <v>0</v>
      </c>
      <c r="M195" s="10">
        <f>IF(OR(N195="已登记",LEFT(N195,2)="按状"),0,K195-L195)</f>
        <v/>
      </c>
      <c r="N195" s="2" t="inlineStr">
        <is>
          <t>未开始(前一环节未完成)</t>
        </is>
      </c>
      <c r="O195" s="2" t="n"/>
      <c r="P195" s="2" t="n"/>
    </row>
    <row r="196">
      <c r="A196" s="2" t="n">
        <v>58</v>
      </c>
      <c r="B196" s="8" t="n">
        <v>46269</v>
      </c>
      <c r="C196" s="2" t="inlineStr">
        <is>
          <t>皖SG1123</t>
        </is>
      </c>
      <c r="D196" s="2" t="inlineStr">
        <is>
          <t>配票/反向</t>
        </is>
      </c>
      <c r="E196" s="2" t="inlineStr">
        <is>
          <t>我们配票（经俊兴）</t>
        </is>
      </c>
      <c r="F196" s="2" t="inlineStr">
        <is>
          <t>李涛车队</t>
        </is>
      </c>
      <c r="G196" s="2" t="inlineStr">
        <is>
          <t>回款</t>
        </is>
      </c>
      <c r="H196" s="2" t="inlineStr">
        <is>
          <t>到客户账户</t>
        </is>
      </c>
      <c r="I196" s="2" t="inlineStr">
        <is>
          <t>益周</t>
        </is>
      </c>
      <c r="J196" s="2" t="inlineStr">
        <is>
          <t>李涛车队·客户账户</t>
        </is>
      </c>
      <c r="K196" s="10" t="n">
        <v>90873.09</v>
      </c>
      <c r="L196" s="10" t="n">
        <v>0</v>
      </c>
      <c r="M196" s="10">
        <f>IF(OR(N196="已登记",LEFT(N196,2)="按状"),0,K196-L196)</f>
        <v/>
      </c>
      <c r="N196" s="2" t="inlineStr">
        <is>
          <t>未开始(前一环节未完成)</t>
        </is>
      </c>
      <c r="O196" s="2" t="n"/>
      <c r="P196" s="2" t="n"/>
    </row>
    <row r="197">
      <c r="A197" s="2" t="n">
        <v>59</v>
      </c>
      <c r="B197" s="8" t="n">
        <v>46269</v>
      </c>
      <c r="C197" s="2" t="inlineStr">
        <is>
          <t>皖LE9644</t>
        </is>
      </c>
      <c r="D197" s="2" t="inlineStr">
        <is>
          <t>配票/反向</t>
        </is>
      </c>
      <c r="E197" s="2" t="inlineStr">
        <is>
          <t>我们配票（经俊兴）</t>
        </is>
      </c>
      <c r="F197" s="2" t="inlineStr">
        <is>
          <t>李涛车队</t>
        </is>
      </c>
      <c r="G197" s="2" t="inlineStr">
        <is>
          <t>开票</t>
        </is>
      </c>
      <c r="H197" s="2" t="inlineStr">
        <is>
          <t>进项</t>
        </is>
      </c>
      <c r="I197" s="2" t="inlineStr">
        <is>
          <t>益周</t>
        </is>
      </c>
      <c r="J197" s="2" t="inlineStr">
        <is>
          <t>俊兴</t>
        </is>
      </c>
      <c r="K197" s="10" t="n">
        <v>67903.36</v>
      </c>
      <c r="L197" s="10" t="n">
        <v>0</v>
      </c>
      <c r="M197" s="10">
        <f>IF(OR(N197="已登记",LEFT(N197,2)="按状"),0,K197-L197)</f>
        <v/>
      </c>
      <c r="N197" s="2" t="inlineStr">
        <is>
          <t>按状态视为已完成(历史)</t>
        </is>
      </c>
      <c r="O197" s="2" t="n"/>
      <c r="P197" s="2" t="n"/>
    </row>
    <row r="198">
      <c r="A198" s="2" t="n">
        <v>59</v>
      </c>
      <c r="B198" s="8" t="n">
        <v>46269</v>
      </c>
      <c r="C198" s="2" t="inlineStr">
        <is>
          <t>皖LE9644</t>
        </is>
      </c>
      <c r="D198" s="2" t="inlineStr">
        <is>
          <t>配票/反向</t>
        </is>
      </c>
      <c r="E198" s="2" t="inlineStr">
        <is>
          <t>我们配票（经俊兴）</t>
        </is>
      </c>
      <c r="F198" s="2" t="inlineStr">
        <is>
          <t>李涛车队</t>
        </is>
      </c>
      <c r="G198" s="2" t="inlineStr">
        <is>
          <t>开票</t>
        </is>
      </c>
      <c r="H198" s="2" t="inlineStr">
        <is>
          <t>销项→欧冶</t>
        </is>
      </c>
      <c r="I198" s="2" t="inlineStr">
        <is>
          <t>俊兴</t>
        </is>
      </c>
      <c r="J198" s="2" t="inlineStr">
        <is>
          <t>欧冶物宝</t>
        </is>
      </c>
      <c r="K198" s="10" t="n">
        <v>67903.36</v>
      </c>
      <c r="L198" s="10" t="n">
        <v>0</v>
      </c>
      <c r="M198" s="10">
        <f>IF(OR(N198="已登记",LEFT(N198,2)="按状"),0,K198-L198)</f>
        <v/>
      </c>
      <c r="N198" s="2" t="inlineStr">
        <is>
          <t>按状态视为已完成(历史)</t>
        </is>
      </c>
      <c r="O198" s="2" t="n"/>
      <c r="P198" s="2" t="n"/>
    </row>
    <row r="199">
      <c r="A199" s="2" t="n">
        <v>59</v>
      </c>
      <c r="B199" s="8" t="n">
        <v>46269</v>
      </c>
      <c r="C199" s="2" t="inlineStr">
        <is>
          <t>皖LE9644</t>
        </is>
      </c>
      <c r="D199" s="2" t="inlineStr">
        <is>
          <t>配票/反向</t>
        </is>
      </c>
      <c r="E199" s="2" t="inlineStr">
        <is>
          <t>我们配票（经俊兴）</t>
        </is>
      </c>
      <c r="F199" s="2" t="inlineStr">
        <is>
          <t>李涛车队</t>
        </is>
      </c>
      <c r="G199" s="2" t="inlineStr">
        <is>
          <t>回款</t>
        </is>
      </c>
      <c r="H199" s="2" t="inlineStr">
        <is>
          <t>欧冶回款</t>
        </is>
      </c>
      <c r="I199" s="2" t="inlineStr">
        <is>
          <t>欧冶物宝</t>
        </is>
      </c>
      <c r="J199" s="2" t="inlineStr">
        <is>
          <t>俊兴</t>
        </is>
      </c>
      <c r="K199" s="10" t="n">
        <v>67903.36</v>
      </c>
      <c r="L199" s="10" t="n">
        <v>0</v>
      </c>
      <c r="M199" s="10">
        <f>IF(OR(N199="已登记",LEFT(N199,2)="按状"),0,K199-L199)</f>
        <v/>
      </c>
      <c r="N199" s="2" t="inlineStr">
        <is>
          <t>待登记</t>
        </is>
      </c>
      <c r="O199" s="2" t="n">
        <v>17</v>
      </c>
      <c r="P199" s="2" t="n"/>
    </row>
    <row r="200">
      <c r="A200" s="2" t="n">
        <v>59</v>
      </c>
      <c r="B200" s="8" t="n">
        <v>46269</v>
      </c>
      <c r="C200" s="2" t="inlineStr">
        <is>
          <t>皖LE9644</t>
        </is>
      </c>
      <c r="D200" s="2" t="inlineStr">
        <is>
          <t>配票/反向</t>
        </is>
      </c>
      <c r="E200" s="2" t="inlineStr">
        <is>
          <t>我们配票（经俊兴）</t>
        </is>
      </c>
      <c r="F200" s="2" t="inlineStr">
        <is>
          <t>李涛车队</t>
        </is>
      </c>
      <c r="G200" s="2" t="inlineStr">
        <is>
          <t>回款</t>
        </is>
      </c>
      <c r="H200" s="2" t="inlineStr">
        <is>
          <t>付票源</t>
        </is>
      </c>
      <c r="I200" s="2" t="inlineStr">
        <is>
          <t>俊兴</t>
        </is>
      </c>
      <c r="J200" s="2" t="inlineStr">
        <is>
          <t>益周</t>
        </is>
      </c>
      <c r="K200" s="10" t="n">
        <v>67903.36</v>
      </c>
      <c r="L200" s="10" t="n">
        <v>0</v>
      </c>
      <c r="M200" s="10">
        <f>IF(OR(N200="已登记",LEFT(N200,2)="按状"),0,K200-L200)</f>
        <v/>
      </c>
      <c r="N200" s="2" t="inlineStr">
        <is>
          <t>未开始(前一环节未完成)</t>
        </is>
      </c>
      <c r="O200" s="2" t="n"/>
      <c r="P200" s="2" t="n"/>
    </row>
    <row r="201">
      <c r="A201" s="2" t="n">
        <v>59</v>
      </c>
      <c r="B201" s="8" t="n">
        <v>46269</v>
      </c>
      <c r="C201" s="2" t="inlineStr">
        <is>
          <t>皖LE9644</t>
        </is>
      </c>
      <c r="D201" s="2" t="inlineStr">
        <is>
          <t>配票/反向</t>
        </is>
      </c>
      <c r="E201" s="2" t="inlineStr">
        <is>
          <t>我们配票（经俊兴）</t>
        </is>
      </c>
      <c r="F201" s="2" t="inlineStr">
        <is>
          <t>李涛车队</t>
        </is>
      </c>
      <c r="G201" s="2" t="inlineStr">
        <is>
          <t>回款</t>
        </is>
      </c>
      <c r="H201" s="2" t="inlineStr">
        <is>
          <t>到客户账户</t>
        </is>
      </c>
      <c r="I201" s="2" t="inlineStr">
        <is>
          <t>益周</t>
        </is>
      </c>
      <c r="J201" s="2" t="inlineStr">
        <is>
          <t>李涛车队·客户账户</t>
        </is>
      </c>
      <c r="K201" s="10" t="n">
        <v>67903.36</v>
      </c>
      <c r="L201" s="10" t="n">
        <v>0</v>
      </c>
      <c r="M201" s="10">
        <f>IF(OR(N201="已登记",LEFT(N201,2)="按状"),0,K201-L201)</f>
        <v/>
      </c>
      <c r="N201" s="2" t="inlineStr">
        <is>
          <t>未开始(前一环节未完成)</t>
        </is>
      </c>
      <c r="O201" s="2" t="n"/>
      <c r="P201" s="2" t="n"/>
    </row>
    <row r="202">
      <c r="A202" s="2" t="n">
        <v>60</v>
      </c>
      <c r="B202" s="8" t="n">
        <v>46269</v>
      </c>
      <c r="C202" s="2" t="inlineStr">
        <is>
          <t>苏K66529</t>
        </is>
      </c>
      <c r="D202" s="2" t="inlineStr">
        <is>
          <t>配票/反向</t>
        </is>
      </c>
      <c r="E202" s="2" t="inlineStr">
        <is>
          <t>我们配票（经俊兴）</t>
        </is>
      </c>
      <c r="F202" s="2" t="inlineStr">
        <is>
          <t>陈杰车队</t>
        </is>
      </c>
      <c r="G202" s="2" t="inlineStr">
        <is>
          <t>开票</t>
        </is>
      </c>
      <c r="H202" s="2" t="inlineStr">
        <is>
          <t>进项</t>
        </is>
      </c>
      <c r="I202" s="2" t="inlineStr">
        <is>
          <t>益周</t>
        </is>
      </c>
      <c r="J202" s="2" t="inlineStr">
        <is>
          <t>俊兴</t>
        </is>
      </c>
      <c r="K202" s="10" t="n">
        <v>88685.03999999999</v>
      </c>
      <c r="L202" s="10" t="n">
        <v>0</v>
      </c>
      <c r="M202" s="10">
        <f>IF(OR(N202="已登记",LEFT(N202,2)="按状"),0,K202-L202)</f>
        <v/>
      </c>
      <c r="N202" s="2" t="inlineStr">
        <is>
          <t>按状态视为已完成(历史)</t>
        </is>
      </c>
      <c r="O202" s="2" t="n"/>
      <c r="P202" s="2" t="n"/>
    </row>
    <row r="203">
      <c r="A203" s="2" t="n">
        <v>60</v>
      </c>
      <c r="B203" s="8" t="n">
        <v>46269</v>
      </c>
      <c r="C203" s="2" t="inlineStr">
        <is>
          <t>苏K66529</t>
        </is>
      </c>
      <c r="D203" s="2" t="inlineStr">
        <is>
          <t>配票/反向</t>
        </is>
      </c>
      <c r="E203" s="2" t="inlineStr">
        <is>
          <t>我们配票（经俊兴）</t>
        </is>
      </c>
      <c r="F203" s="2" t="inlineStr">
        <is>
          <t>陈杰车队</t>
        </is>
      </c>
      <c r="G203" s="2" t="inlineStr">
        <is>
          <t>开票</t>
        </is>
      </c>
      <c r="H203" s="2" t="inlineStr">
        <is>
          <t>销项→欧冶</t>
        </is>
      </c>
      <c r="I203" s="2" t="inlineStr">
        <is>
          <t>俊兴</t>
        </is>
      </c>
      <c r="J203" s="2" t="inlineStr">
        <is>
          <t>欧冶物宝</t>
        </is>
      </c>
      <c r="K203" s="10" t="n">
        <v>88685.03999999999</v>
      </c>
      <c r="L203" s="10" t="n">
        <v>0</v>
      </c>
      <c r="M203" s="10">
        <f>IF(OR(N203="已登记",LEFT(N203,2)="按状"),0,K203-L203)</f>
        <v/>
      </c>
      <c r="N203" s="2" t="inlineStr">
        <is>
          <t>按状态视为已完成(历史)</t>
        </is>
      </c>
      <c r="O203" s="2" t="n"/>
      <c r="P203" s="2" t="n"/>
    </row>
    <row r="204">
      <c r="A204" s="2" t="n">
        <v>60</v>
      </c>
      <c r="B204" s="8" t="n">
        <v>46269</v>
      </c>
      <c r="C204" s="2" t="inlineStr">
        <is>
          <t>苏K66529</t>
        </is>
      </c>
      <c r="D204" s="2" t="inlineStr">
        <is>
          <t>配票/反向</t>
        </is>
      </c>
      <c r="E204" s="2" t="inlineStr">
        <is>
          <t>我们配票（经俊兴）</t>
        </is>
      </c>
      <c r="F204" s="2" t="inlineStr">
        <is>
          <t>陈杰车队</t>
        </is>
      </c>
      <c r="G204" s="2" t="inlineStr">
        <is>
          <t>回款</t>
        </is>
      </c>
      <c r="H204" s="2" t="inlineStr">
        <is>
          <t>欧冶回款</t>
        </is>
      </c>
      <c r="I204" s="2" t="inlineStr">
        <is>
          <t>欧冶物宝</t>
        </is>
      </c>
      <c r="J204" s="2" t="inlineStr">
        <is>
          <t>俊兴</t>
        </is>
      </c>
      <c r="K204" s="10" t="n">
        <v>88685.03999999999</v>
      </c>
      <c r="L204" s="10" t="n">
        <v>0</v>
      </c>
      <c r="M204" s="10">
        <f>IF(OR(N204="已登记",LEFT(N204,2)="按状"),0,K204-L204)</f>
        <v/>
      </c>
      <c r="N204" s="2" t="inlineStr">
        <is>
          <t>待登记</t>
        </is>
      </c>
      <c r="O204" s="2" t="n">
        <v>17</v>
      </c>
      <c r="P204" s="2" t="n"/>
    </row>
    <row r="205">
      <c r="A205" s="2" t="n">
        <v>60</v>
      </c>
      <c r="B205" s="8" t="n">
        <v>46269</v>
      </c>
      <c r="C205" s="2" t="inlineStr">
        <is>
          <t>苏K66529</t>
        </is>
      </c>
      <c r="D205" s="2" t="inlineStr">
        <is>
          <t>配票/反向</t>
        </is>
      </c>
      <c r="E205" s="2" t="inlineStr">
        <is>
          <t>我们配票（经俊兴）</t>
        </is>
      </c>
      <c r="F205" s="2" t="inlineStr">
        <is>
          <t>陈杰车队</t>
        </is>
      </c>
      <c r="G205" s="2" t="inlineStr">
        <is>
          <t>回款</t>
        </is>
      </c>
      <c r="H205" s="2" t="inlineStr">
        <is>
          <t>付票源</t>
        </is>
      </c>
      <c r="I205" s="2" t="inlineStr">
        <is>
          <t>俊兴</t>
        </is>
      </c>
      <c r="J205" s="2" t="inlineStr">
        <is>
          <t>益周</t>
        </is>
      </c>
      <c r="K205" s="10" t="n">
        <v>88685.03999999999</v>
      </c>
      <c r="L205" s="10" t="n">
        <v>0</v>
      </c>
      <c r="M205" s="10">
        <f>IF(OR(N205="已登记",LEFT(N205,2)="按状"),0,K205-L205)</f>
        <v/>
      </c>
      <c r="N205" s="2" t="inlineStr">
        <is>
          <t>未开始(前一环节未完成)</t>
        </is>
      </c>
      <c r="O205" s="2" t="n"/>
      <c r="P205" s="2" t="n"/>
    </row>
    <row r="206">
      <c r="A206" s="2" t="n">
        <v>60</v>
      </c>
      <c r="B206" s="8" t="n">
        <v>46269</v>
      </c>
      <c r="C206" s="2" t="inlineStr">
        <is>
          <t>苏K66529</t>
        </is>
      </c>
      <c r="D206" s="2" t="inlineStr">
        <is>
          <t>配票/反向</t>
        </is>
      </c>
      <c r="E206" s="2" t="inlineStr">
        <is>
          <t>我们配票（经俊兴）</t>
        </is>
      </c>
      <c r="F206" s="2" t="inlineStr">
        <is>
          <t>陈杰车队</t>
        </is>
      </c>
      <c r="G206" s="2" t="inlineStr">
        <is>
          <t>回款</t>
        </is>
      </c>
      <c r="H206" s="2" t="inlineStr">
        <is>
          <t>到客户账户</t>
        </is>
      </c>
      <c r="I206" s="2" t="inlineStr">
        <is>
          <t>益周</t>
        </is>
      </c>
      <c r="J206" s="2" t="inlineStr">
        <is>
          <t>陈杰车队·客户账户</t>
        </is>
      </c>
      <c r="K206" s="10" t="n">
        <v>88685.03999999999</v>
      </c>
      <c r="L206" s="10" t="n">
        <v>0</v>
      </c>
      <c r="M206" s="10">
        <f>IF(OR(N206="已登记",LEFT(N206,2)="按状"),0,K206-L206)</f>
        <v/>
      </c>
      <c r="N206" s="2" t="inlineStr">
        <is>
          <t>未开始(前一环节未完成)</t>
        </is>
      </c>
      <c r="O206" s="2" t="n"/>
      <c r="P206" s="2" t="n"/>
    </row>
    <row r="207">
      <c r="A207" s="2" t="n">
        <v>61</v>
      </c>
      <c r="B207" s="8" t="n">
        <v>46270</v>
      </c>
      <c r="C207" s="2" t="inlineStr">
        <is>
          <t>皖城兴货688</t>
        </is>
      </c>
      <c r="D207" s="2" t="inlineStr">
        <is>
          <t>配票/反向</t>
        </is>
      </c>
      <c r="E207" s="2" t="inlineStr">
        <is>
          <t>我们配票（经俊兴）</t>
        </is>
      </c>
      <c r="F207" s="2" t="inlineStr">
        <is>
          <t>林凯车队</t>
        </is>
      </c>
      <c r="G207" s="2" t="inlineStr">
        <is>
          <t>开票</t>
        </is>
      </c>
      <c r="H207" s="2" t="inlineStr">
        <is>
          <t>进项</t>
        </is>
      </c>
      <c r="I207" s="2" t="inlineStr">
        <is>
          <t>益周</t>
        </is>
      </c>
      <c r="J207" s="2" t="inlineStr">
        <is>
          <t>俊兴</t>
        </is>
      </c>
      <c r="K207" s="10" t="n">
        <v>1807085.18</v>
      </c>
      <c r="L207" s="10" t="n">
        <v>0</v>
      </c>
      <c r="M207" s="10">
        <f>IF(OR(N207="已登记",LEFT(N207,2)="按状"),0,K207-L207)</f>
        <v/>
      </c>
      <c r="N207" s="2" t="inlineStr">
        <is>
          <t>按状态视为已完成(历史)</t>
        </is>
      </c>
      <c r="O207" s="2" t="n"/>
      <c r="P207" s="2" t="n"/>
    </row>
    <row r="208">
      <c r="A208" s="2" t="n">
        <v>61</v>
      </c>
      <c r="B208" s="8" t="n">
        <v>46270</v>
      </c>
      <c r="C208" s="2" t="inlineStr">
        <is>
          <t>皖城兴货688</t>
        </is>
      </c>
      <c r="D208" s="2" t="inlineStr">
        <is>
          <t>配票/反向</t>
        </is>
      </c>
      <c r="E208" s="2" t="inlineStr">
        <is>
          <t>我们配票（经俊兴）</t>
        </is>
      </c>
      <c r="F208" s="2" t="inlineStr">
        <is>
          <t>林凯车队</t>
        </is>
      </c>
      <c r="G208" s="2" t="inlineStr">
        <is>
          <t>开票</t>
        </is>
      </c>
      <c r="H208" s="2" t="inlineStr">
        <is>
          <t>销项→欧冶</t>
        </is>
      </c>
      <c r="I208" s="2" t="inlineStr">
        <is>
          <t>俊兴</t>
        </is>
      </c>
      <c r="J208" s="2" t="inlineStr">
        <is>
          <t>欧冶物宝</t>
        </is>
      </c>
      <c r="K208" s="10" t="n">
        <v>1807085.18</v>
      </c>
      <c r="L208" s="10" t="n">
        <v>0</v>
      </c>
      <c r="M208" s="10">
        <f>IF(OR(N208="已登记",LEFT(N208,2)="按状"),0,K208-L208)</f>
        <v/>
      </c>
      <c r="N208" s="2" t="inlineStr">
        <is>
          <t>按状态视为已完成(历史)</t>
        </is>
      </c>
      <c r="O208" s="2" t="n"/>
      <c r="P208" s="2" t="n"/>
    </row>
    <row r="209">
      <c r="A209" s="2" t="n">
        <v>61</v>
      </c>
      <c r="B209" s="8" t="n">
        <v>46270</v>
      </c>
      <c r="C209" s="2" t="inlineStr">
        <is>
          <t>皖城兴货688</t>
        </is>
      </c>
      <c r="D209" s="2" t="inlineStr">
        <is>
          <t>配票/反向</t>
        </is>
      </c>
      <c r="E209" s="2" t="inlineStr">
        <is>
          <t>我们配票（经俊兴）</t>
        </is>
      </c>
      <c r="F209" s="2" t="inlineStr">
        <is>
          <t>林凯车队</t>
        </is>
      </c>
      <c r="G209" s="2" t="inlineStr">
        <is>
          <t>回款</t>
        </is>
      </c>
      <c r="H209" s="2" t="inlineStr">
        <is>
          <t>欧冶回款</t>
        </is>
      </c>
      <c r="I209" s="2" t="inlineStr">
        <is>
          <t>欧冶物宝</t>
        </is>
      </c>
      <c r="J209" s="2" t="inlineStr">
        <is>
          <t>俊兴</t>
        </is>
      </c>
      <c r="K209" s="10" t="n">
        <v>1807085.18</v>
      </c>
      <c r="L209" s="10" t="n">
        <v>0</v>
      </c>
      <c r="M209" s="10">
        <f>IF(OR(N209="已登记",LEFT(N209,2)="按状"),0,K209-L209)</f>
        <v/>
      </c>
      <c r="N209" s="2" t="inlineStr">
        <is>
          <t>待登记</t>
        </is>
      </c>
      <c r="O209" s="2" t="n">
        <v>16</v>
      </c>
      <c r="P209" s="2" t="n"/>
    </row>
    <row r="210">
      <c r="A210" s="2" t="n">
        <v>61</v>
      </c>
      <c r="B210" s="8" t="n">
        <v>46270</v>
      </c>
      <c r="C210" s="2" t="inlineStr">
        <is>
          <t>皖城兴货688</t>
        </is>
      </c>
      <c r="D210" s="2" t="inlineStr">
        <is>
          <t>配票/反向</t>
        </is>
      </c>
      <c r="E210" s="2" t="inlineStr">
        <is>
          <t>我们配票（经俊兴）</t>
        </is>
      </c>
      <c r="F210" s="2" t="inlineStr">
        <is>
          <t>林凯车队</t>
        </is>
      </c>
      <c r="G210" s="2" t="inlineStr">
        <is>
          <t>回款</t>
        </is>
      </c>
      <c r="H210" s="2" t="inlineStr">
        <is>
          <t>付票源</t>
        </is>
      </c>
      <c r="I210" s="2" t="inlineStr">
        <is>
          <t>俊兴</t>
        </is>
      </c>
      <c r="J210" s="2" t="inlineStr">
        <is>
          <t>益周</t>
        </is>
      </c>
      <c r="K210" s="10" t="n">
        <v>1807085.18</v>
      </c>
      <c r="L210" s="10" t="n">
        <v>0</v>
      </c>
      <c r="M210" s="10">
        <f>IF(OR(N210="已登记",LEFT(N210,2)="按状"),0,K210-L210)</f>
        <v/>
      </c>
      <c r="N210" s="2" t="inlineStr">
        <is>
          <t>未开始(前一环节未完成)</t>
        </is>
      </c>
      <c r="O210" s="2" t="n"/>
      <c r="P210" s="2" t="n"/>
    </row>
    <row r="211">
      <c r="A211" s="2" t="n">
        <v>61</v>
      </c>
      <c r="B211" s="8" t="n">
        <v>46270</v>
      </c>
      <c r="C211" s="2" t="inlineStr">
        <is>
          <t>皖城兴货688</t>
        </is>
      </c>
      <c r="D211" s="2" t="inlineStr">
        <is>
          <t>配票/反向</t>
        </is>
      </c>
      <c r="E211" s="2" t="inlineStr">
        <is>
          <t>我们配票（经俊兴）</t>
        </is>
      </c>
      <c r="F211" s="2" t="inlineStr">
        <is>
          <t>林凯车队</t>
        </is>
      </c>
      <c r="G211" s="2" t="inlineStr">
        <is>
          <t>回款</t>
        </is>
      </c>
      <c r="H211" s="2" t="inlineStr">
        <is>
          <t>到客户账户</t>
        </is>
      </c>
      <c r="I211" s="2" t="inlineStr">
        <is>
          <t>益周</t>
        </is>
      </c>
      <c r="J211" s="2" t="inlineStr">
        <is>
          <t>林凯车队·客户账户</t>
        </is>
      </c>
      <c r="K211" s="10" t="n">
        <v>1807085.18</v>
      </c>
      <c r="L211" s="10" t="n">
        <v>0</v>
      </c>
      <c r="M211" s="10">
        <f>IF(OR(N211="已登记",LEFT(N211,2)="按状"),0,K211-L211)</f>
        <v/>
      </c>
      <c r="N211" s="2" t="inlineStr">
        <is>
          <t>未开始(前一环节未完成)</t>
        </is>
      </c>
      <c r="O211" s="2" t="n"/>
      <c r="P211" s="2" t="n"/>
    </row>
    <row r="212">
      <c r="A212" s="2" t="n">
        <v>62</v>
      </c>
      <c r="B212" s="8" t="n">
        <v>46272</v>
      </c>
      <c r="C212" s="2" t="inlineStr">
        <is>
          <t>鲁济宁货1567</t>
        </is>
      </c>
      <c r="D212" s="2" t="inlineStr">
        <is>
          <t>配票/反向</t>
        </is>
      </c>
      <c r="E212" s="2" t="inlineStr">
        <is>
          <t>我们配票（经俊兴）</t>
        </is>
      </c>
      <c r="F212" s="2" t="inlineStr">
        <is>
          <t>林凯车队</t>
        </is>
      </c>
      <c r="G212" s="2" t="inlineStr">
        <is>
          <t>开票</t>
        </is>
      </c>
      <c r="H212" s="2" t="inlineStr">
        <is>
          <t>进项</t>
        </is>
      </c>
      <c r="I212" s="2" t="inlineStr">
        <is>
          <t>煌烽</t>
        </is>
      </c>
      <c r="J212" s="2" t="inlineStr">
        <is>
          <t>俊兴</t>
        </is>
      </c>
      <c r="K212" s="10" t="n">
        <v>1453705.7</v>
      </c>
      <c r="L212" s="10" t="n">
        <v>0</v>
      </c>
      <c r="M212" s="10">
        <f>IF(OR(N212="已登记",LEFT(N212,2)="按状"),0,K212-L212)</f>
        <v/>
      </c>
      <c r="N212" s="2" t="inlineStr">
        <is>
          <t>待登记</t>
        </is>
      </c>
      <c r="O212" s="2" t="n">
        <v>14</v>
      </c>
      <c r="P212" s="2" t="n"/>
    </row>
    <row r="213">
      <c r="A213" s="2" t="n">
        <v>62</v>
      </c>
      <c r="B213" s="8" t="n">
        <v>46272</v>
      </c>
      <c r="C213" s="2" t="inlineStr">
        <is>
          <t>鲁济宁货1567</t>
        </is>
      </c>
      <c r="D213" s="2" t="inlineStr">
        <is>
          <t>配票/反向</t>
        </is>
      </c>
      <c r="E213" s="2" t="inlineStr">
        <is>
          <t>我们配票（经俊兴）</t>
        </is>
      </c>
      <c r="F213" s="2" t="inlineStr">
        <is>
          <t>林凯车队</t>
        </is>
      </c>
      <c r="G213" s="2" t="inlineStr">
        <is>
          <t>开票</t>
        </is>
      </c>
      <c r="H213" s="2" t="inlineStr">
        <is>
          <t>销项→欧冶</t>
        </is>
      </c>
      <c r="I213" s="2" t="inlineStr">
        <is>
          <t>俊兴</t>
        </is>
      </c>
      <c r="J213" s="2" t="inlineStr">
        <is>
          <t>欧冶物宝</t>
        </is>
      </c>
      <c r="K213" s="10" t="n">
        <v>1453705.7</v>
      </c>
      <c r="L213" s="10" t="n">
        <v>0</v>
      </c>
      <c r="M213" s="10">
        <f>IF(OR(N213="已登记",LEFT(N213,2)="按状"),0,K213-L213)</f>
        <v/>
      </c>
      <c r="N213" s="2" t="inlineStr">
        <is>
          <t>待登记</t>
        </is>
      </c>
      <c r="O213" s="2" t="n">
        <v>14</v>
      </c>
      <c r="P213" s="2" t="n"/>
    </row>
    <row r="214">
      <c r="A214" s="2" t="n">
        <v>62</v>
      </c>
      <c r="B214" s="8" t="n">
        <v>46272</v>
      </c>
      <c r="C214" s="2" t="inlineStr">
        <is>
          <t>鲁济宁货1567</t>
        </is>
      </c>
      <c r="D214" s="2" t="inlineStr">
        <is>
          <t>配票/反向</t>
        </is>
      </c>
      <c r="E214" s="2" t="inlineStr">
        <is>
          <t>我们配票（经俊兴）</t>
        </is>
      </c>
      <c r="F214" s="2" t="inlineStr">
        <is>
          <t>林凯车队</t>
        </is>
      </c>
      <c r="G214" s="2" t="inlineStr">
        <is>
          <t>回款</t>
        </is>
      </c>
      <c r="H214" s="2" t="inlineStr">
        <is>
          <t>欧冶回款</t>
        </is>
      </c>
      <c r="I214" s="2" t="inlineStr">
        <is>
          <t>欧冶物宝</t>
        </is>
      </c>
      <c r="J214" s="2" t="inlineStr">
        <is>
          <t>俊兴</t>
        </is>
      </c>
      <c r="K214" s="10" t="n">
        <v>1453705.7</v>
      </c>
      <c r="L214" s="10" t="n">
        <v>0</v>
      </c>
      <c r="M214" s="10">
        <f>IF(OR(N214="已登记",LEFT(N214,2)="按状"),0,K214-L214)</f>
        <v/>
      </c>
      <c r="N214" s="2" t="inlineStr">
        <is>
          <t>未开始(前一环节未完成)</t>
        </is>
      </c>
      <c r="O214" s="2" t="n"/>
      <c r="P214" s="2" t="n"/>
    </row>
    <row r="215">
      <c r="A215" s="2" t="n">
        <v>62</v>
      </c>
      <c r="B215" s="8" t="n">
        <v>46272</v>
      </c>
      <c r="C215" s="2" t="inlineStr">
        <is>
          <t>鲁济宁货1567</t>
        </is>
      </c>
      <c r="D215" s="2" t="inlineStr">
        <is>
          <t>配票/反向</t>
        </is>
      </c>
      <c r="E215" s="2" t="inlineStr">
        <is>
          <t>我们配票（经俊兴）</t>
        </is>
      </c>
      <c r="F215" s="2" t="inlineStr">
        <is>
          <t>林凯车队</t>
        </is>
      </c>
      <c r="G215" s="2" t="inlineStr">
        <is>
          <t>回款</t>
        </is>
      </c>
      <c r="H215" s="2" t="inlineStr">
        <is>
          <t>付票源</t>
        </is>
      </c>
      <c r="I215" s="2" t="inlineStr">
        <is>
          <t>俊兴</t>
        </is>
      </c>
      <c r="J215" s="2" t="inlineStr">
        <is>
          <t>煌烽</t>
        </is>
      </c>
      <c r="K215" s="10" t="n">
        <v>1453705.7</v>
      </c>
      <c r="L215" s="10" t="n">
        <v>0</v>
      </c>
      <c r="M215" s="10">
        <f>IF(OR(N215="已登记",LEFT(N215,2)="按状"),0,K215-L215)</f>
        <v/>
      </c>
      <c r="N215" s="2" t="inlineStr">
        <is>
          <t>未开始(前一环节未完成)</t>
        </is>
      </c>
      <c r="O215" s="2" t="n"/>
      <c r="P215" s="2" t="n"/>
    </row>
    <row r="216">
      <c r="A216" s="2" t="n">
        <v>62</v>
      </c>
      <c r="B216" s="8" t="n">
        <v>46272</v>
      </c>
      <c r="C216" s="2" t="inlineStr">
        <is>
          <t>鲁济宁货1567</t>
        </is>
      </c>
      <c r="D216" s="2" t="inlineStr">
        <is>
          <t>配票/反向</t>
        </is>
      </c>
      <c r="E216" s="2" t="inlineStr">
        <is>
          <t>我们配票（经俊兴）</t>
        </is>
      </c>
      <c r="F216" s="2" t="inlineStr">
        <is>
          <t>林凯车队</t>
        </is>
      </c>
      <c r="G216" s="2" t="inlineStr">
        <is>
          <t>回款</t>
        </is>
      </c>
      <c r="H216" s="2" t="inlineStr">
        <is>
          <t>到客户账户</t>
        </is>
      </c>
      <c r="I216" s="2" t="inlineStr">
        <is>
          <t>煌烽</t>
        </is>
      </c>
      <c r="J216" s="2" t="inlineStr">
        <is>
          <t>林凯车队·客户账户</t>
        </is>
      </c>
      <c r="K216" s="10" t="n">
        <v>1453705.7</v>
      </c>
      <c r="L216" s="10" t="n">
        <v>0</v>
      </c>
      <c r="M216" s="10">
        <f>IF(OR(N216="已登记",LEFT(N216,2)="按状"),0,K216-L216)</f>
        <v/>
      </c>
      <c r="N216" s="2" t="inlineStr">
        <is>
          <t>未开始(前一环节未完成)</t>
        </is>
      </c>
      <c r="O216" s="2" t="n"/>
      <c r="P216" s="2" t="n"/>
    </row>
    <row r="217">
      <c r="A217" s="2" t="n">
        <v>63</v>
      </c>
      <c r="B217" s="8" t="n">
        <v>46275</v>
      </c>
      <c r="C217" s="2" t="inlineStr">
        <is>
          <t>苏DBE075</t>
        </is>
      </c>
      <c r="D217" s="2" t="inlineStr">
        <is>
          <t>带票带货</t>
        </is>
      </c>
      <c r="E217" s="2" t="inlineStr">
        <is>
          <t>我们配票（经俊兴）</t>
        </is>
      </c>
      <c r="F217" s="2" t="inlineStr">
        <is>
          <t>君盛</t>
        </is>
      </c>
      <c r="G217" s="2" t="inlineStr">
        <is>
          <t>开票</t>
        </is>
      </c>
      <c r="H217" s="2" t="inlineStr">
        <is>
          <t>销项→欧冶</t>
        </is>
      </c>
      <c r="I217" s="2" t="inlineStr">
        <is>
          <t>俊兴</t>
        </is>
      </c>
      <c r="J217" s="2" t="inlineStr">
        <is>
          <t>欧冶物宝</t>
        </is>
      </c>
      <c r="K217" s="10" t="n">
        <v>206225.82</v>
      </c>
      <c r="L217" s="10" t="n">
        <v>0</v>
      </c>
      <c r="M217" s="10">
        <f>IF(OR(N217="已登记",LEFT(N217,2)="按状"),0,K217-L217)</f>
        <v/>
      </c>
      <c r="N217" s="2" t="inlineStr">
        <is>
          <t>待登记</t>
        </is>
      </c>
      <c r="O217" s="2" t="n">
        <v>11</v>
      </c>
      <c r="P217" s="2" t="n"/>
    </row>
    <row r="218">
      <c r="A218" s="2" t="n">
        <v>63</v>
      </c>
      <c r="B218" s="8" t="n">
        <v>46275</v>
      </c>
      <c r="C218" s="2" t="inlineStr">
        <is>
          <t>苏DBE075</t>
        </is>
      </c>
      <c r="D218" s="2" t="inlineStr">
        <is>
          <t>带票带货</t>
        </is>
      </c>
      <c r="E218" s="2" t="inlineStr">
        <is>
          <t>我们配票（经俊兴）</t>
        </is>
      </c>
      <c r="F218" s="2" t="inlineStr">
        <is>
          <t>君盛</t>
        </is>
      </c>
      <c r="G218" s="2" t="inlineStr">
        <is>
          <t>回款</t>
        </is>
      </c>
      <c r="H218" s="2" t="inlineStr">
        <is>
          <t>欧冶回款</t>
        </is>
      </c>
      <c r="I218" s="2" t="inlineStr">
        <is>
          <t>欧冶物宝</t>
        </is>
      </c>
      <c r="J218" s="2" t="inlineStr">
        <is>
          <t>俊兴</t>
        </is>
      </c>
      <c r="K218" s="10" t="n">
        <v>206225.82</v>
      </c>
      <c r="L218" s="10" t="n">
        <v>0</v>
      </c>
      <c r="M218" s="10">
        <f>IF(OR(N218="已登记",LEFT(N218,2)="按状"),0,K218-L218)</f>
        <v/>
      </c>
      <c r="N218" s="2" t="inlineStr">
        <is>
          <t>未开始(前一环节未完成)</t>
        </is>
      </c>
      <c r="O218" s="2" t="n"/>
      <c r="P218" s="2" t="n"/>
    </row>
    <row r="219">
      <c r="A219" s="2" t="n">
        <v>63</v>
      </c>
      <c r="B219" s="8" t="n">
        <v>46275</v>
      </c>
      <c r="C219" s="2" t="inlineStr">
        <is>
          <t>苏DBE075</t>
        </is>
      </c>
      <c r="D219" s="2" t="inlineStr">
        <is>
          <t>带票带货</t>
        </is>
      </c>
      <c r="E219" s="2" t="inlineStr">
        <is>
          <t>我们配票（经俊兴）</t>
        </is>
      </c>
      <c r="F219" s="2" t="inlineStr">
        <is>
          <t>君盛</t>
        </is>
      </c>
      <c r="G219" s="2" t="inlineStr">
        <is>
          <t>回款</t>
        </is>
      </c>
      <c r="H219" s="2" t="inlineStr">
        <is>
          <t>到客户账户</t>
        </is>
      </c>
      <c r="I219" s="2" t="inlineStr">
        <is>
          <t>俊兴</t>
        </is>
      </c>
      <c r="J219" s="2" t="inlineStr">
        <is>
          <t>君盛·客户账户</t>
        </is>
      </c>
      <c r="K219" s="10" t="n">
        <v>206225.82</v>
      </c>
      <c r="L219" s="10" t="n">
        <v>0</v>
      </c>
      <c r="M219" s="10">
        <f>IF(OR(N219="已登记",LEFT(N219,2)="按状"),0,K219-L219)</f>
        <v/>
      </c>
      <c r="N219" s="2" t="inlineStr">
        <is>
          <t>未开始(前一环节未完成)</t>
        </is>
      </c>
      <c r="O219" s="2" t="n"/>
      <c r="P219" s="2" t="n"/>
    </row>
    <row r="220">
      <c r="A220" s="2" t="n">
        <v>64</v>
      </c>
      <c r="B220" s="8" t="n">
        <v>46276</v>
      </c>
      <c r="C220" s="2" t="inlineStr">
        <is>
          <t>苏DBB772</t>
        </is>
      </c>
      <c r="D220" s="2" t="inlineStr">
        <is>
          <t>带票带货</t>
        </is>
      </c>
      <c r="E220" s="2" t="inlineStr">
        <is>
          <t>我们配票（经俊兴）</t>
        </is>
      </c>
      <c r="F220" s="2" t="inlineStr">
        <is>
          <t>君盛</t>
        </is>
      </c>
      <c r="G220" s="2" t="inlineStr">
        <is>
          <t>开票</t>
        </is>
      </c>
      <c r="H220" s="2" t="inlineStr">
        <is>
          <t>销项→欧冶</t>
        </is>
      </c>
      <c r="I220" s="2" t="inlineStr">
        <is>
          <t>俊兴</t>
        </is>
      </c>
      <c r="J220" s="2" t="inlineStr">
        <is>
          <t>欧冶物宝</t>
        </is>
      </c>
      <c r="K220" s="10" t="n">
        <v>206075.4</v>
      </c>
      <c r="L220" s="10" t="n">
        <v>0</v>
      </c>
      <c r="M220" s="10">
        <f>IF(OR(N220="已登记",LEFT(N220,2)="按状"),0,K220-L220)</f>
        <v/>
      </c>
      <c r="N220" s="2" t="inlineStr">
        <is>
          <t>待登记</t>
        </is>
      </c>
      <c r="O220" s="2" t="n">
        <v>10</v>
      </c>
      <c r="P220" s="2" t="n"/>
    </row>
    <row r="221">
      <c r="A221" s="2" t="n">
        <v>64</v>
      </c>
      <c r="B221" s="8" t="n">
        <v>46276</v>
      </c>
      <c r="C221" s="2" t="inlineStr">
        <is>
          <t>苏DBB772</t>
        </is>
      </c>
      <c r="D221" s="2" t="inlineStr">
        <is>
          <t>带票带货</t>
        </is>
      </c>
      <c r="E221" s="2" t="inlineStr">
        <is>
          <t>我们配票（经俊兴）</t>
        </is>
      </c>
      <c r="F221" s="2" t="inlineStr">
        <is>
          <t>君盛</t>
        </is>
      </c>
      <c r="G221" s="2" t="inlineStr">
        <is>
          <t>回款</t>
        </is>
      </c>
      <c r="H221" s="2" t="inlineStr">
        <is>
          <t>欧冶回款</t>
        </is>
      </c>
      <c r="I221" s="2" t="inlineStr">
        <is>
          <t>欧冶物宝</t>
        </is>
      </c>
      <c r="J221" s="2" t="inlineStr">
        <is>
          <t>俊兴</t>
        </is>
      </c>
      <c r="K221" s="10" t="n">
        <v>206075.4</v>
      </c>
      <c r="L221" s="10" t="n">
        <v>0</v>
      </c>
      <c r="M221" s="10">
        <f>IF(OR(N221="已登记",LEFT(N221,2)="按状"),0,K221-L221)</f>
        <v/>
      </c>
      <c r="N221" s="2" t="inlineStr">
        <is>
          <t>未开始(前一环节未完成)</t>
        </is>
      </c>
      <c r="O221" s="2" t="n"/>
      <c r="P221" s="2" t="n"/>
    </row>
    <row r="222">
      <c r="A222" s="2" t="n">
        <v>64</v>
      </c>
      <c r="B222" s="8" t="n">
        <v>46276</v>
      </c>
      <c r="C222" s="2" t="inlineStr">
        <is>
          <t>苏DBB772</t>
        </is>
      </c>
      <c r="D222" s="2" t="inlineStr">
        <is>
          <t>带票带货</t>
        </is>
      </c>
      <c r="E222" s="2" t="inlineStr">
        <is>
          <t>我们配票（经俊兴）</t>
        </is>
      </c>
      <c r="F222" s="2" t="inlineStr">
        <is>
          <t>君盛</t>
        </is>
      </c>
      <c r="G222" s="2" t="inlineStr">
        <is>
          <t>回款</t>
        </is>
      </c>
      <c r="H222" s="2" t="inlineStr">
        <is>
          <t>到客户账户</t>
        </is>
      </c>
      <c r="I222" s="2" t="inlineStr">
        <is>
          <t>俊兴</t>
        </is>
      </c>
      <c r="J222" s="2" t="inlineStr">
        <is>
          <t>君盛·客户账户</t>
        </is>
      </c>
      <c r="K222" s="10" t="n">
        <v>206075.4</v>
      </c>
      <c r="L222" s="10" t="n">
        <v>0</v>
      </c>
      <c r="M222" s="10">
        <f>IF(OR(N222="已登记",LEFT(N222,2)="按状"),0,K222-L222)</f>
        <v/>
      </c>
      <c r="N222" s="2" t="inlineStr">
        <is>
          <t>未开始(前一环节未完成)</t>
        </is>
      </c>
      <c r="O222" s="2" t="n"/>
      <c r="P222" s="2" t="n"/>
    </row>
    <row r="223">
      <c r="A223" s="2" t="n">
        <v>65</v>
      </c>
      <c r="B223" s="8" t="n">
        <v>46277</v>
      </c>
      <c r="C223" s="2" t="inlineStr">
        <is>
          <t>苏DBE961</t>
        </is>
      </c>
      <c r="D223" s="2" t="inlineStr">
        <is>
          <t>带票带货</t>
        </is>
      </c>
      <c r="E223" s="2" t="inlineStr">
        <is>
          <t>我们配票（经俊兴）</t>
        </is>
      </c>
      <c r="F223" s="2" t="inlineStr">
        <is>
          <t>力拓</t>
        </is>
      </c>
      <c r="G223" s="2" t="inlineStr">
        <is>
          <t>开票</t>
        </is>
      </c>
      <c r="H223" s="2" t="inlineStr">
        <is>
          <t>销项→欧冶</t>
        </is>
      </c>
      <c r="I223" s="2" t="inlineStr">
        <is>
          <t>俊兴</t>
        </is>
      </c>
      <c r="J223" s="2" t="inlineStr">
        <is>
          <t>欧冶物宝</t>
        </is>
      </c>
      <c r="K223" s="10" t="n">
        <v>180018.32</v>
      </c>
      <c r="L223" s="10" t="n">
        <v>0</v>
      </c>
      <c r="M223" s="10">
        <f>IF(OR(N223="已登记",LEFT(N223,2)="按状"),0,K223-L223)</f>
        <v/>
      </c>
      <c r="N223" s="2" t="inlineStr">
        <is>
          <t>待登记</t>
        </is>
      </c>
      <c r="O223" s="2" t="n">
        <v>9</v>
      </c>
      <c r="P223" s="2" t="n"/>
    </row>
    <row r="224">
      <c r="A224" s="2" t="n">
        <v>65</v>
      </c>
      <c r="B224" s="8" t="n">
        <v>46277</v>
      </c>
      <c r="C224" s="2" t="inlineStr">
        <is>
          <t>苏DBE961</t>
        </is>
      </c>
      <c r="D224" s="2" t="inlineStr">
        <is>
          <t>带票带货</t>
        </is>
      </c>
      <c r="E224" s="2" t="inlineStr">
        <is>
          <t>我们配票（经俊兴）</t>
        </is>
      </c>
      <c r="F224" s="2" t="inlineStr">
        <is>
          <t>力拓</t>
        </is>
      </c>
      <c r="G224" s="2" t="inlineStr">
        <is>
          <t>回款</t>
        </is>
      </c>
      <c r="H224" s="2" t="inlineStr">
        <is>
          <t>欧冶回款</t>
        </is>
      </c>
      <c r="I224" s="2" t="inlineStr">
        <is>
          <t>欧冶物宝</t>
        </is>
      </c>
      <c r="J224" s="2" t="inlineStr">
        <is>
          <t>俊兴</t>
        </is>
      </c>
      <c r="K224" s="10" t="n">
        <v>180018.32</v>
      </c>
      <c r="L224" s="10" t="n">
        <v>0</v>
      </c>
      <c r="M224" s="10">
        <f>IF(OR(N224="已登记",LEFT(N224,2)="按状"),0,K224-L224)</f>
        <v/>
      </c>
      <c r="N224" s="2" t="inlineStr">
        <is>
          <t>未开始(前一环节未完成)</t>
        </is>
      </c>
      <c r="O224" s="2" t="n"/>
      <c r="P224" s="2" t="n"/>
    </row>
    <row r="225">
      <c r="A225" s="2" t="n">
        <v>65</v>
      </c>
      <c r="B225" s="8" t="n">
        <v>46277</v>
      </c>
      <c r="C225" s="2" t="inlineStr">
        <is>
          <t>苏DBE961</t>
        </is>
      </c>
      <c r="D225" s="2" t="inlineStr">
        <is>
          <t>带票带货</t>
        </is>
      </c>
      <c r="E225" s="2" t="inlineStr">
        <is>
          <t>我们配票（经俊兴）</t>
        </is>
      </c>
      <c r="F225" s="2" t="inlineStr">
        <is>
          <t>力拓</t>
        </is>
      </c>
      <c r="G225" s="2" t="inlineStr">
        <is>
          <t>回款</t>
        </is>
      </c>
      <c r="H225" s="2" t="inlineStr">
        <is>
          <t>到客户账户</t>
        </is>
      </c>
      <c r="I225" s="2" t="inlineStr">
        <is>
          <t>俊兴</t>
        </is>
      </c>
      <c r="J225" s="2" t="inlineStr">
        <is>
          <t>力拓·客户账户</t>
        </is>
      </c>
      <c r="K225" s="10" t="n">
        <v>180018.32</v>
      </c>
      <c r="L225" s="10" t="n">
        <v>0</v>
      </c>
      <c r="M225" s="10">
        <f>IF(OR(N225="已登记",LEFT(N225,2)="按状"),0,K225-L225)</f>
        <v/>
      </c>
      <c r="N225" s="2" t="inlineStr">
        <is>
          <t>未开始(前一环节未完成)</t>
        </is>
      </c>
      <c r="O225" s="2" t="n"/>
      <c r="P225" s="2" t="n"/>
    </row>
    <row r="226">
      <c r="A226" s="2" t="n">
        <v>66</v>
      </c>
      <c r="B226" s="8" t="n">
        <v>46277</v>
      </c>
      <c r="C226" s="2" t="inlineStr">
        <is>
          <t>苏DBE075</t>
        </is>
      </c>
      <c r="D226" s="2" t="inlineStr">
        <is>
          <t>带票带货</t>
        </is>
      </c>
      <c r="E226" s="2" t="inlineStr">
        <is>
          <t>我们配票（经俊兴）</t>
        </is>
      </c>
      <c r="F226" s="2" t="inlineStr">
        <is>
          <t>𠓾景通</t>
        </is>
      </c>
      <c r="G226" s="2" t="inlineStr">
        <is>
          <t>开票</t>
        </is>
      </c>
      <c r="H226" s="2" t="inlineStr">
        <is>
          <t>销项→欧冶</t>
        </is>
      </c>
      <c r="I226" s="2" t="inlineStr">
        <is>
          <t>俊兴</t>
        </is>
      </c>
      <c r="J226" s="2" t="inlineStr">
        <is>
          <t>欧冶物宝</t>
        </is>
      </c>
      <c r="K226" s="10" t="n">
        <v>198267.88</v>
      </c>
      <c r="L226" s="10" t="n">
        <v>0</v>
      </c>
      <c r="M226" s="10">
        <f>IF(OR(N226="已登记",LEFT(N226,2)="按状"),0,K226-L226)</f>
        <v/>
      </c>
      <c r="N226" s="2" t="inlineStr">
        <is>
          <t>待登记</t>
        </is>
      </c>
      <c r="O226" s="2" t="n">
        <v>9</v>
      </c>
      <c r="P226" s="2" t="n"/>
    </row>
    <row r="227">
      <c r="A227" s="2" t="n">
        <v>66</v>
      </c>
      <c r="B227" s="8" t="n">
        <v>46277</v>
      </c>
      <c r="C227" s="2" t="inlineStr">
        <is>
          <t>苏DBE075</t>
        </is>
      </c>
      <c r="D227" s="2" t="inlineStr">
        <is>
          <t>带票带货</t>
        </is>
      </c>
      <c r="E227" s="2" t="inlineStr">
        <is>
          <t>我们配票（经俊兴）</t>
        </is>
      </c>
      <c r="F227" s="2" t="inlineStr">
        <is>
          <t>𠓾景通</t>
        </is>
      </c>
      <c r="G227" s="2" t="inlineStr">
        <is>
          <t>回款</t>
        </is>
      </c>
      <c r="H227" s="2" t="inlineStr">
        <is>
          <t>欧冶回款</t>
        </is>
      </c>
      <c r="I227" s="2" t="inlineStr">
        <is>
          <t>欧冶物宝</t>
        </is>
      </c>
      <c r="J227" s="2" t="inlineStr">
        <is>
          <t>俊兴</t>
        </is>
      </c>
      <c r="K227" s="10" t="n">
        <v>198267.88</v>
      </c>
      <c r="L227" s="10" t="n">
        <v>0</v>
      </c>
      <c r="M227" s="10">
        <f>IF(OR(N227="已登记",LEFT(N227,2)="按状"),0,K227-L227)</f>
        <v/>
      </c>
      <c r="N227" s="2" t="inlineStr">
        <is>
          <t>未开始(前一环节未完成)</t>
        </is>
      </c>
      <c r="O227" s="2" t="n"/>
      <c r="P227" s="2" t="n"/>
    </row>
    <row r="228">
      <c r="A228" s="2" t="n">
        <v>66</v>
      </c>
      <c r="B228" s="8" t="n">
        <v>46277</v>
      </c>
      <c r="C228" s="2" t="inlineStr">
        <is>
          <t>苏DBE075</t>
        </is>
      </c>
      <c r="D228" s="2" t="inlineStr">
        <is>
          <t>带票带货</t>
        </is>
      </c>
      <c r="E228" s="2" t="inlineStr">
        <is>
          <t>我们配票（经俊兴）</t>
        </is>
      </c>
      <c r="F228" s="2" t="inlineStr">
        <is>
          <t>𠓾景通</t>
        </is>
      </c>
      <c r="G228" s="2" t="inlineStr">
        <is>
          <t>回款</t>
        </is>
      </c>
      <c r="H228" s="2" t="inlineStr">
        <is>
          <t>到客户账户</t>
        </is>
      </c>
      <c r="I228" s="2" t="inlineStr">
        <is>
          <t>俊兴</t>
        </is>
      </c>
      <c r="J228" s="2" t="inlineStr">
        <is>
          <t>𠓾景通·客户账户</t>
        </is>
      </c>
      <c r="K228" s="10" t="n">
        <v>198267.88</v>
      </c>
      <c r="L228" s="10" t="n">
        <v>0</v>
      </c>
      <c r="M228" s="10">
        <f>IF(OR(N228="已登记",LEFT(N228,2)="按状"),0,K228-L228)</f>
        <v/>
      </c>
      <c r="N228" s="2" t="inlineStr">
        <is>
          <t>未开始(前一环节未完成)</t>
        </is>
      </c>
      <c r="O228" s="2" t="n"/>
      <c r="P228" s="2" t="n"/>
    </row>
    <row r="229">
      <c r="A229" s="2" t="n">
        <v>67</v>
      </c>
      <c r="B229" s="8" t="n">
        <v>46277</v>
      </c>
      <c r="C229" s="2" t="inlineStr">
        <is>
          <t>皖F30399</t>
        </is>
      </c>
      <c r="D229" s="2" t="inlineStr">
        <is>
          <t>配票/反向</t>
        </is>
      </c>
      <c r="E229" s="2" t="inlineStr">
        <is>
          <t>我们配票（经俊兴）</t>
        </is>
      </c>
      <c r="F229" s="2" t="inlineStr">
        <is>
          <t>邓晶焱车队</t>
        </is>
      </c>
      <c r="G229" s="2" t="inlineStr">
        <is>
          <t>开票</t>
        </is>
      </c>
      <c r="H229" s="2" t="inlineStr">
        <is>
          <t>销项→欧冶</t>
        </is>
      </c>
      <c r="I229" s="2" t="inlineStr">
        <is>
          <t>俊兴</t>
        </is>
      </c>
      <c r="J229" s="2" t="inlineStr">
        <is>
          <t>欧冶物宝</t>
        </is>
      </c>
      <c r="K229" s="10" t="n">
        <v>93107.09</v>
      </c>
      <c r="L229" s="10" t="n">
        <v>0</v>
      </c>
      <c r="M229" s="10">
        <f>IF(OR(N229="已登记",LEFT(N229,2)="按状"),0,K229-L229)</f>
        <v/>
      </c>
      <c r="N229" s="2" t="inlineStr">
        <is>
          <t>待登记</t>
        </is>
      </c>
      <c r="O229" s="2" t="n">
        <v>9</v>
      </c>
      <c r="P229" s="2" t="n"/>
    </row>
    <row r="230">
      <c r="A230" s="2" t="n">
        <v>67</v>
      </c>
      <c r="B230" s="8" t="n">
        <v>46277</v>
      </c>
      <c r="C230" s="2" t="inlineStr">
        <is>
          <t>皖F30399</t>
        </is>
      </c>
      <c r="D230" s="2" t="inlineStr">
        <is>
          <t>配票/反向</t>
        </is>
      </c>
      <c r="E230" s="2" t="inlineStr">
        <is>
          <t>我们配票（经俊兴）</t>
        </is>
      </c>
      <c r="F230" s="2" t="inlineStr">
        <is>
          <t>邓晶焱车队</t>
        </is>
      </c>
      <c r="G230" s="2" t="inlineStr">
        <is>
          <t>回款</t>
        </is>
      </c>
      <c r="H230" s="2" t="inlineStr">
        <is>
          <t>欧冶回款</t>
        </is>
      </c>
      <c r="I230" s="2" t="inlineStr">
        <is>
          <t>欧冶物宝</t>
        </is>
      </c>
      <c r="J230" s="2" t="inlineStr">
        <is>
          <t>俊兴</t>
        </is>
      </c>
      <c r="K230" s="10" t="n">
        <v>93107.09</v>
      </c>
      <c r="L230" s="10" t="n">
        <v>0</v>
      </c>
      <c r="M230" s="10">
        <f>IF(OR(N230="已登记",LEFT(N230,2)="按状"),0,K230-L230)</f>
        <v/>
      </c>
      <c r="N230" s="2" t="inlineStr">
        <is>
          <t>未开始(前一环节未完成)</t>
        </is>
      </c>
      <c r="O230" s="2" t="n"/>
      <c r="P230" s="2" t="n"/>
    </row>
    <row r="231">
      <c r="A231" s="2" t="n">
        <v>67</v>
      </c>
      <c r="B231" s="8" t="n">
        <v>46277</v>
      </c>
      <c r="C231" s="2" t="inlineStr">
        <is>
          <t>皖F30399</t>
        </is>
      </c>
      <c r="D231" s="2" t="inlineStr">
        <is>
          <t>配票/反向</t>
        </is>
      </c>
      <c r="E231" s="2" t="inlineStr">
        <is>
          <t>我们配票（经俊兴）</t>
        </is>
      </c>
      <c r="F231" s="2" t="inlineStr">
        <is>
          <t>邓晶焱车队</t>
        </is>
      </c>
      <c r="G231" s="2" t="inlineStr">
        <is>
          <t>回款</t>
        </is>
      </c>
      <c r="H231" s="2" t="inlineStr">
        <is>
          <t>到客户账户</t>
        </is>
      </c>
      <c r="I231" s="2" t="inlineStr">
        <is>
          <t>俊兴</t>
        </is>
      </c>
      <c r="J231" s="2" t="inlineStr">
        <is>
          <t>邓晶焱车队·客户账户</t>
        </is>
      </c>
      <c r="K231" s="10" t="n">
        <v>93107.09</v>
      </c>
      <c r="L231" s="10" t="n">
        <v>0</v>
      </c>
      <c r="M231" s="10">
        <f>IF(OR(N231="已登记",LEFT(N231,2)="按状"),0,K231-L231)</f>
        <v/>
      </c>
      <c r="N231" s="2" t="inlineStr">
        <is>
          <t>未开始(前一环节未完成)</t>
        </is>
      </c>
      <c r="O231" s="2" t="n"/>
      <c r="P231" s="2" t="n"/>
    </row>
    <row r="232">
      <c r="A232" s="2" t="n">
        <v>68</v>
      </c>
      <c r="B232" s="8" t="n">
        <v>46277</v>
      </c>
      <c r="C232" s="2" t="inlineStr">
        <is>
          <t>苏DBE075</t>
        </is>
      </c>
      <c r="D232" s="2" t="inlineStr">
        <is>
          <t>带票带货</t>
        </is>
      </c>
      <c r="E232" s="2" t="inlineStr">
        <is>
          <t>我们配票（经俊兴）</t>
        </is>
      </c>
      <c r="F232" s="2" t="inlineStr">
        <is>
          <t>君盛</t>
        </is>
      </c>
      <c r="G232" s="2" t="inlineStr">
        <is>
          <t>开票</t>
        </is>
      </c>
      <c r="H232" s="2" t="inlineStr">
        <is>
          <t>销项→欧冶</t>
        </is>
      </c>
      <c r="I232" s="2" t="inlineStr">
        <is>
          <t>俊兴</t>
        </is>
      </c>
      <c r="J232" s="2" t="inlineStr">
        <is>
          <t>欧冶物宝</t>
        </is>
      </c>
      <c r="K232" s="10" t="n">
        <v>145734.88</v>
      </c>
      <c r="L232" s="10" t="n">
        <v>0</v>
      </c>
      <c r="M232" s="10">
        <f>IF(OR(N232="已登记",LEFT(N232,2)="按状"),0,K232-L232)</f>
        <v/>
      </c>
      <c r="N232" s="2" t="inlineStr">
        <is>
          <t>待登记</t>
        </is>
      </c>
      <c r="O232" s="2" t="n">
        <v>9</v>
      </c>
      <c r="P232" s="2" t="n"/>
    </row>
    <row r="233">
      <c r="A233" s="2" t="n">
        <v>68</v>
      </c>
      <c r="B233" s="8" t="n">
        <v>46277</v>
      </c>
      <c r="C233" s="2" t="inlineStr">
        <is>
          <t>苏DBE075</t>
        </is>
      </c>
      <c r="D233" s="2" t="inlineStr">
        <is>
          <t>带票带货</t>
        </is>
      </c>
      <c r="E233" s="2" t="inlineStr">
        <is>
          <t>我们配票（经俊兴）</t>
        </is>
      </c>
      <c r="F233" s="2" t="inlineStr">
        <is>
          <t>君盛</t>
        </is>
      </c>
      <c r="G233" s="2" t="inlineStr">
        <is>
          <t>回款</t>
        </is>
      </c>
      <c r="H233" s="2" t="inlineStr">
        <is>
          <t>欧冶回款</t>
        </is>
      </c>
      <c r="I233" s="2" t="inlineStr">
        <is>
          <t>欧冶物宝</t>
        </is>
      </c>
      <c r="J233" s="2" t="inlineStr">
        <is>
          <t>俊兴</t>
        </is>
      </c>
      <c r="K233" s="10" t="n">
        <v>145734.88</v>
      </c>
      <c r="L233" s="10" t="n">
        <v>0</v>
      </c>
      <c r="M233" s="10">
        <f>IF(OR(N233="已登记",LEFT(N233,2)="按状"),0,K233-L233)</f>
        <v/>
      </c>
      <c r="N233" s="2" t="inlineStr">
        <is>
          <t>未开始(前一环节未完成)</t>
        </is>
      </c>
      <c r="O233" s="2" t="n"/>
      <c r="P233" s="2" t="n"/>
    </row>
    <row r="234">
      <c r="A234" s="2" t="n">
        <v>68</v>
      </c>
      <c r="B234" s="8" t="n">
        <v>46277</v>
      </c>
      <c r="C234" s="2" t="inlineStr">
        <is>
          <t>苏DBE075</t>
        </is>
      </c>
      <c r="D234" s="2" t="inlineStr">
        <is>
          <t>带票带货</t>
        </is>
      </c>
      <c r="E234" s="2" t="inlineStr">
        <is>
          <t>我们配票（经俊兴）</t>
        </is>
      </c>
      <c r="F234" s="2" t="inlineStr">
        <is>
          <t>君盛</t>
        </is>
      </c>
      <c r="G234" s="2" t="inlineStr">
        <is>
          <t>回款</t>
        </is>
      </c>
      <c r="H234" s="2" t="inlineStr">
        <is>
          <t>到客户账户</t>
        </is>
      </c>
      <c r="I234" s="2" t="inlineStr">
        <is>
          <t>俊兴</t>
        </is>
      </c>
      <c r="J234" s="2" t="inlineStr">
        <is>
          <t>君盛·客户账户</t>
        </is>
      </c>
      <c r="K234" s="10" t="n">
        <v>145734.88</v>
      </c>
      <c r="L234" s="10" t="n">
        <v>0</v>
      </c>
      <c r="M234" s="10">
        <f>IF(OR(N234="已登记",LEFT(N234,2)="按状"),0,K234-L234)</f>
        <v/>
      </c>
      <c r="N234" s="2" t="inlineStr">
        <is>
          <t>未开始(前一环节未完成)</t>
        </is>
      </c>
      <c r="O234" s="2" t="n"/>
      <c r="P234" s="2" t="n"/>
    </row>
    <row r="235">
      <c r="A235" s="2" t="n">
        <v>69</v>
      </c>
      <c r="B235" s="8" t="n">
        <v>46279</v>
      </c>
      <c r="C235" s="2" t="inlineStr">
        <is>
          <t>苏DBB772</t>
        </is>
      </c>
      <c r="D235" s="2" t="inlineStr">
        <is>
          <t>配票/反向</t>
        </is>
      </c>
      <c r="E235" s="2" t="inlineStr">
        <is>
          <t>我们配票（经俊兴）</t>
        </is>
      </c>
      <c r="F235" s="2" t="inlineStr">
        <is>
          <t>林凯车队</t>
        </is>
      </c>
      <c r="G235" s="2" t="inlineStr">
        <is>
          <t>开票</t>
        </is>
      </c>
      <c r="H235" s="2" t="inlineStr">
        <is>
          <t>销项→欧冶</t>
        </is>
      </c>
      <c r="I235" s="2" t="inlineStr">
        <is>
          <t>俊兴</t>
        </is>
      </c>
      <c r="J235" s="2" t="inlineStr">
        <is>
          <t>欧冶物宝</t>
        </is>
      </c>
      <c r="K235" s="10" t="n">
        <v>135624.3</v>
      </c>
      <c r="L235" s="10" t="n">
        <v>0</v>
      </c>
      <c r="M235" s="10">
        <f>IF(OR(N235="已登记",LEFT(N235,2)="按状"),0,K235-L235)</f>
        <v/>
      </c>
      <c r="N235" s="2" t="inlineStr">
        <is>
          <t>待登记</t>
        </is>
      </c>
      <c r="O235" s="2" t="n">
        <v>7</v>
      </c>
      <c r="P235" s="2" t="n"/>
    </row>
    <row r="236">
      <c r="A236" s="2" t="n">
        <v>69</v>
      </c>
      <c r="B236" s="8" t="n">
        <v>46279</v>
      </c>
      <c r="C236" s="2" t="inlineStr">
        <is>
          <t>苏DBB772</t>
        </is>
      </c>
      <c r="D236" s="2" t="inlineStr">
        <is>
          <t>配票/反向</t>
        </is>
      </c>
      <c r="E236" s="2" t="inlineStr">
        <is>
          <t>我们配票（经俊兴）</t>
        </is>
      </c>
      <c r="F236" s="2" t="inlineStr">
        <is>
          <t>林凯车队</t>
        </is>
      </c>
      <c r="G236" s="2" t="inlineStr">
        <is>
          <t>回款</t>
        </is>
      </c>
      <c r="H236" s="2" t="inlineStr">
        <is>
          <t>欧冶回款</t>
        </is>
      </c>
      <c r="I236" s="2" t="inlineStr">
        <is>
          <t>欧冶物宝</t>
        </is>
      </c>
      <c r="J236" s="2" t="inlineStr">
        <is>
          <t>俊兴</t>
        </is>
      </c>
      <c r="K236" s="10" t="n">
        <v>135624.3</v>
      </c>
      <c r="L236" s="10" t="n">
        <v>0</v>
      </c>
      <c r="M236" s="10">
        <f>IF(OR(N236="已登记",LEFT(N236,2)="按状"),0,K236-L236)</f>
        <v/>
      </c>
      <c r="N236" s="2" t="inlineStr">
        <is>
          <t>未开始(前一环节未完成)</t>
        </is>
      </c>
      <c r="O236" s="2" t="n"/>
      <c r="P236" s="2" t="n"/>
    </row>
    <row r="237">
      <c r="A237" s="2" t="n">
        <v>69</v>
      </c>
      <c r="B237" s="8" t="n">
        <v>46279</v>
      </c>
      <c r="C237" s="2" t="inlineStr">
        <is>
          <t>苏DBB772</t>
        </is>
      </c>
      <c r="D237" s="2" t="inlineStr">
        <is>
          <t>配票/反向</t>
        </is>
      </c>
      <c r="E237" s="2" t="inlineStr">
        <is>
          <t>我们配票（经俊兴）</t>
        </is>
      </c>
      <c r="F237" s="2" t="inlineStr">
        <is>
          <t>林凯车队</t>
        </is>
      </c>
      <c r="G237" s="2" t="inlineStr">
        <is>
          <t>回款</t>
        </is>
      </c>
      <c r="H237" s="2" t="inlineStr">
        <is>
          <t>到客户账户</t>
        </is>
      </c>
      <c r="I237" s="2" t="inlineStr">
        <is>
          <t>俊兴</t>
        </is>
      </c>
      <c r="J237" s="2" t="inlineStr">
        <is>
          <t>林凯车队·客户账户</t>
        </is>
      </c>
      <c r="K237" s="10" t="n">
        <v>135624.3</v>
      </c>
      <c r="L237" s="10" t="n">
        <v>0</v>
      </c>
      <c r="M237" s="10">
        <f>IF(OR(N237="已登记",LEFT(N237,2)="按状"),0,K237-L237)</f>
        <v/>
      </c>
      <c r="N237" s="2" t="inlineStr">
        <is>
          <t>未开始(前一环节未完成)</t>
        </is>
      </c>
      <c r="O237" s="2" t="n"/>
      <c r="P237" s="2" t="n"/>
    </row>
    <row r="238">
      <c r="A238" s="2" t="n">
        <v>70</v>
      </c>
      <c r="B238" s="8" t="n">
        <v>46279</v>
      </c>
      <c r="C238" s="2" t="inlineStr">
        <is>
          <t>苏DBE961</t>
        </is>
      </c>
      <c r="D238" s="2" t="inlineStr">
        <is>
          <t>带票带货</t>
        </is>
      </c>
      <c r="E238" s="2" t="inlineStr">
        <is>
          <t>我们配票（经俊兴）</t>
        </is>
      </c>
      <c r="F238" s="2" t="inlineStr">
        <is>
          <t>力拓</t>
        </is>
      </c>
      <c r="G238" s="2" t="inlineStr">
        <is>
          <t>开票</t>
        </is>
      </c>
      <c r="H238" s="2" t="inlineStr">
        <is>
          <t>销项→欧冶</t>
        </is>
      </c>
      <c r="I238" s="2" t="inlineStr">
        <is>
          <t>俊兴</t>
        </is>
      </c>
      <c r="J238" s="2" t="inlineStr">
        <is>
          <t>欧冶物宝</t>
        </is>
      </c>
      <c r="K238" s="10" t="n">
        <v>190231.16</v>
      </c>
      <c r="L238" s="10" t="n">
        <v>0</v>
      </c>
      <c r="M238" s="10">
        <f>IF(OR(N238="已登记",LEFT(N238,2)="按状"),0,K238-L238)</f>
        <v/>
      </c>
      <c r="N238" s="2" t="inlineStr">
        <is>
          <t>待登记</t>
        </is>
      </c>
      <c r="O238" s="2" t="n">
        <v>7</v>
      </c>
      <c r="P238" s="2" t="n"/>
    </row>
    <row r="239">
      <c r="A239" s="2" t="n">
        <v>70</v>
      </c>
      <c r="B239" s="8" t="n">
        <v>46279</v>
      </c>
      <c r="C239" s="2" t="inlineStr">
        <is>
          <t>苏DBE961</t>
        </is>
      </c>
      <c r="D239" s="2" t="inlineStr">
        <is>
          <t>带票带货</t>
        </is>
      </c>
      <c r="E239" s="2" t="inlineStr">
        <is>
          <t>我们配票（经俊兴）</t>
        </is>
      </c>
      <c r="F239" s="2" t="inlineStr">
        <is>
          <t>力拓</t>
        </is>
      </c>
      <c r="G239" s="2" t="inlineStr">
        <is>
          <t>回款</t>
        </is>
      </c>
      <c r="H239" s="2" t="inlineStr">
        <is>
          <t>欧冶回款</t>
        </is>
      </c>
      <c r="I239" s="2" t="inlineStr">
        <is>
          <t>欧冶物宝</t>
        </is>
      </c>
      <c r="J239" s="2" t="inlineStr">
        <is>
          <t>俊兴</t>
        </is>
      </c>
      <c r="K239" s="10" t="n">
        <v>190231.16</v>
      </c>
      <c r="L239" s="10" t="n">
        <v>0</v>
      </c>
      <c r="M239" s="10">
        <f>IF(OR(N239="已登记",LEFT(N239,2)="按状"),0,K239-L239)</f>
        <v/>
      </c>
      <c r="N239" s="2" t="inlineStr">
        <is>
          <t>未开始(前一环节未完成)</t>
        </is>
      </c>
      <c r="O239" s="2" t="n"/>
      <c r="P239" s="2" t="n"/>
    </row>
    <row r="240">
      <c r="A240" s="2" t="n">
        <v>70</v>
      </c>
      <c r="B240" s="8" t="n">
        <v>46279</v>
      </c>
      <c r="C240" s="2" t="inlineStr">
        <is>
          <t>苏DBE961</t>
        </is>
      </c>
      <c r="D240" s="2" t="inlineStr">
        <is>
          <t>带票带货</t>
        </is>
      </c>
      <c r="E240" s="2" t="inlineStr">
        <is>
          <t>我们配票（经俊兴）</t>
        </is>
      </c>
      <c r="F240" s="2" t="inlineStr">
        <is>
          <t>力拓</t>
        </is>
      </c>
      <c r="G240" s="2" t="inlineStr">
        <is>
          <t>回款</t>
        </is>
      </c>
      <c r="H240" s="2" t="inlineStr">
        <is>
          <t>到客户账户</t>
        </is>
      </c>
      <c r="I240" s="2" t="inlineStr">
        <is>
          <t>俊兴</t>
        </is>
      </c>
      <c r="J240" s="2" t="inlineStr">
        <is>
          <t>力拓·客户账户</t>
        </is>
      </c>
      <c r="K240" s="10" t="n">
        <v>190231.16</v>
      </c>
      <c r="L240" s="10" t="n">
        <v>0</v>
      </c>
      <c r="M240" s="10">
        <f>IF(OR(N240="已登记",LEFT(N240,2)="按状"),0,K240-L240)</f>
        <v/>
      </c>
      <c r="N240" s="2" t="inlineStr">
        <is>
          <t>未开始(前一环节未完成)</t>
        </is>
      </c>
      <c r="O240" s="2" t="n"/>
      <c r="P240" s="2" t="n"/>
    </row>
    <row r="241">
      <c r="A241" s="2" t="n">
        <v>71</v>
      </c>
      <c r="B241" s="8" t="n">
        <v>46279</v>
      </c>
      <c r="C241" s="2" t="inlineStr">
        <is>
          <t>鲁DC6106</t>
        </is>
      </c>
      <c r="D241" s="2" t="inlineStr">
        <is>
          <t>带票带货</t>
        </is>
      </c>
      <c r="E241" s="2" t="inlineStr">
        <is>
          <t>票商/反向 → 供货厂 → 欧冶</t>
        </is>
      </c>
      <c r="F241" s="2" t="inlineStr">
        <is>
          <t>邓晶焱车队</t>
        </is>
      </c>
      <c r="G241" s="2" t="inlineStr">
        <is>
          <t>开票</t>
        </is>
      </c>
      <c r="H241" s="2" t="inlineStr">
        <is>
          <t>进项</t>
        </is>
      </c>
      <c r="I241" s="2" t="inlineStr">
        <is>
          <t>煌烽</t>
        </is>
      </c>
      <c r="J241" s="2" t="inlineStr">
        <is>
          <t>邓晶焱车队</t>
        </is>
      </c>
      <c r="K241" s="10" t="n">
        <v>102262.44</v>
      </c>
      <c r="L241" s="10" t="n">
        <v>0</v>
      </c>
      <c r="M241" s="10">
        <f>IF(OR(N241="已登记",LEFT(N241,2)="按状"),0,K241-L241)</f>
        <v/>
      </c>
      <c r="N241" s="2" t="inlineStr">
        <is>
          <t>待登记</t>
        </is>
      </c>
      <c r="O241" s="2" t="n">
        <v>7</v>
      </c>
      <c r="P241" s="2" t="n"/>
    </row>
    <row r="242">
      <c r="A242" s="2" t="n">
        <v>71</v>
      </c>
      <c r="B242" s="8" t="n">
        <v>46279</v>
      </c>
      <c r="C242" s="2" t="inlineStr">
        <is>
          <t>鲁DC6106</t>
        </is>
      </c>
      <c r="D242" s="2" t="inlineStr">
        <is>
          <t>带票带货</t>
        </is>
      </c>
      <c r="E242" s="2" t="inlineStr">
        <is>
          <t>票商/反向 → 供货厂 → 欧冶</t>
        </is>
      </c>
      <c r="F242" s="2" t="inlineStr">
        <is>
          <t>邓晶焱车队</t>
        </is>
      </c>
      <c r="G242" s="2" t="inlineStr">
        <is>
          <t>开票</t>
        </is>
      </c>
      <c r="H242" s="2" t="inlineStr">
        <is>
          <t>销项→欧冶</t>
        </is>
      </c>
      <c r="I242" s="2" t="inlineStr">
        <is>
          <t>邓晶焱车队</t>
        </is>
      </c>
      <c r="J242" s="2" t="inlineStr">
        <is>
          <t>欧冶物宝</t>
        </is>
      </c>
      <c r="K242" s="10" t="n">
        <v>102262.44</v>
      </c>
      <c r="L242" s="10" t="n">
        <v>0</v>
      </c>
      <c r="M242" s="10">
        <f>IF(OR(N242="已登记",LEFT(N242,2)="按状"),0,K242-L242)</f>
        <v/>
      </c>
      <c r="N242" s="2" t="inlineStr">
        <is>
          <t>待登记</t>
        </is>
      </c>
      <c r="O242" s="2" t="n">
        <v>7</v>
      </c>
      <c r="P242" s="2" t="n"/>
    </row>
    <row r="243">
      <c r="A243" s="2" t="n">
        <v>71</v>
      </c>
      <c r="B243" s="8" t="n">
        <v>46279</v>
      </c>
      <c r="C243" s="2" t="inlineStr">
        <is>
          <t>鲁DC6106</t>
        </is>
      </c>
      <c r="D243" s="2" t="inlineStr">
        <is>
          <t>带票带货</t>
        </is>
      </c>
      <c r="E243" s="2" t="inlineStr">
        <is>
          <t>票商/反向 → 供货厂 → 欧冶</t>
        </is>
      </c>
      <c r="F243" s="2" t="inlineStr">
        <is>
          <t>邓晶焱车队</t>
        </is>
      </c>
      <c r="G243" s="2" t="inlineStr">
        <is>
          <t>回款</t>
        </is>
      </c>
      <c r="H243" s="2" t="inlineStr">
        <is>
          <t>欧冶回款</t>
        </is>
      </c>
      <c r="I243" s="2" t="inlineStr">
        <is>
          <t>欧冶物宝</t>
        </is>
      </c>
      <c r="J243" s="2" t="inlineStr">
        <is>
          <t>邓晶焱车队</t>
        </is>
      </c>
      <c r="K243" s="10" t="n">
        <v>102262.44</v>
      </c>
      <c r="L243" s="10" t="n">
        <v>0</v>
      </c>
      <c r="M243" s="10">
        <f>IF(OR(N243="已登记",LEFT(N243,2)="按状"),0,K243-L243)</f>
        <v/>
      </c>
      <c r="N243" s="2" t="inlineStr">
        <is>
          <t>未开始(前一环节未完成)</t>
        </is>
      </c>
      <c r="O243" s="2" t="n"/>
      <c r="P243" s="2" t="n"/>
    </row>
    <row r="244">
      <c r="A244" s="2" t="n">
        <v>71</v>
      </c>
      <c r="B244" s="8" t="n">
        <v>46279</v>
      </c>
      <c r="C244" s="2" t="inlineStr">
        <is>
          <t>鲁DC6106</t>
        </is>
      </c>
      <c r="D244" s="2" t="inlineStr">
        <is>
          <t>带票带货</t>
        </is>
      </c>
      <c r="E244" s="2" t="inlineStr">
        <is>
          <t>票商/反向 → 供货厂 → 欧冶</t>
        </is>
      </c>
      <c r="F244" s="2" t="inlineStr">
        <is>
          <t>邓晶焱车队</t>
        </is>
      </c>
      <c r="G244" s="2" t="inlineStr">
        <is>
          <t>回款</t>
        </is>
      </c>
      <c r="H244" s="2" t="inlineStr">
        <is>
          <t>付票源</t>
        </is>
      </c>
      <c r="I244" s="2" t="inlineStr">
        <is>
          <t>邓晶焱车队</t>
        </is>
      </c>
      <c r="J244" s="2" t="inlineStr">
        <is>
          <t>煌烽</t>
        </is>
      </c>
      <c r="K244" s="10" t="n">
        <v>102262.44</v>
      </c>
      <c r="L244" s="10" t="n">
        <v>0</v>
      </c>
      <c r="M244" s="10">
        <f>IF(OR(N244="已登记",LEFT(N244,2)="按状"),0,K244-L244)</f>
        <v/>
      </c>
      <c r="N244" s="2" t="inlineStr">
        <is>
          <t>未开始(前一环节未完成)</t>
        </is>
      </c>
      <c r="O244" s="2" t="n"/>
      <c r="P244" s="2" t="n"/>
    </row>
    <row r="245">
      <c r="A245" s="2" t="n">
        <v>72</v>
      </c>
      <c r="B245" s="8" t="n">
        <v>46279</v>
      </c>
      <c r="C245" s="2" t="inlineStr">
        <is>
          <t>苏J19371</t>
        </is>
      </c>
      <c r="D245" s="2" t="inlineStr">
        <is>
          <t>带票带货</t>
        </is>
      </c>
      <c r="E245" s="2" t="inlineStr">
        <is>
          <t>票商/反向 → 供货厂 → 欧冶</t>
        </is>
      </c>
      <c r="F245" s="2" t="inlineStr">
        <is>
          <t>闫东朋车队</t>
        </is>
      </c>
      <c r="G245" s="2" t="inlineStr">
        <is>
          <t>开票</t>
        </is>
      </c>
      <c r="H245" s="2" t="inlineStr">
        <is>
          <t>进项</t>
        </is>
      </c>
      <c r="I245" s="2" t="inlineStr">
        <is>
          <t>反向-闫东朋</t>
        </is>
      </c>
      <c r="J245" s="2" t="inlineStr">
        <is>
          <t>闫东朋车队</t>
        </is>
      </c>
      <c r="K245" s="10" t="n">
        <v>196448.52</v>
      </c>
      <c r="L245" s="10" t="n">
        <v>0</v>
      </c>
      <c r="M245" s="10">
        <f>IF(OR(N245="已登记",LEFT(N245,2)="按状"),0,K245-L245)</f>
        <v/>
      </c>
      <c r="N245" s="2" t="inlineStr">
        <is>
          <t>待登记</t>
        </is>
      </c>
      <c r="O245" s="2" t="n">
        <v>7</v>
      </c>
      <c r="P245" s="2" t="n"/>
    </row>
    <row r="246">
      <c r="A246" s="2" t="n">
        <v>72</v>
      </c>
      <c r="B246" s="8" t="n">
        <v>46279</v>
      </c>
      <c r="C246" s="2" t="inlineStr">
        <is>
          <t>苏J19371</t>
        </is>
      </c>
      <c r="D246" s="2" t="inlineStr">
        <is>
          <t>带票带货</t>
        </is>
      </c>
      <c r="E246" s="2" t="inlineStr">
        <is>
          <t>票商/反向 → 供货厂 → 欧冶</t>
        </is>
      </c>
      <c r="F246" s="2" t="inlineStr">
        <is>
          <t>闫东朋车队</t>
        </is>
      </c>
      <c r="G246" s="2" t="inlineStr">
        <is>
          <t>开票</t>
        </is>
      </c>
      <c r="H246" s="2" t="inlineStr">
        <is>
          <t>销项→欧冶</t>
        </is>
      </c>
      <c r="I246" s="2" t="inlineStr">
        <is>
          <t>闫东朋车队</t>
        </is>
      </c>
      <c r="J246" s="2" t="inlineStr">
        <is>
          <t>欧冶物宝</t>
        </is>
      </c>
      <c r="K246" s="10" t="n">
        <v>196448.52</v>
      </c>
      <c r="L246" s="10" t="n">
        <v>0</v>
      </c>
      <c r="M246" s="10">
        <f>IF(OR(N246="已登记",LEFT(N246,2)="按状"),0,K246-L246)</f>
        <v/>
      </c>
      <c r="N246" s="2" t="inlineStr">
        <is>
          <t>待登记</t>
        </is>
      </c>
      <c r="O246" s="2" t="n">
        <v>7</v>
      </c>
      <c r="P246" s="2" t="n"/>
    </row>
    <row r="247">
      <c r="A247" s="2" t="n">
        <v>72</v>
      </c>
      <c r="B247" s="8" t="n">
        <v>46279</v>
      </c>
      <c r="C247" s="2" t="inlineStr">
        <is>
          <t>苏J19371</t>
        </is>
      </c>
      <c r="D247" s="2" t="inlineStr">
        <is>
          <t>带票带货</t>
        </is>
      </c>
      <c r="E247" s="2" t="inlineStr">
        <is>
          <t>票商/反向 → 供货厂 → 欧冶</t>
        </is>
      </c>
      <c r="F247" s="2" t="inlineStr">
        <is>
          <t>闫东朋车队</t>
        </is>
      </c>
      <c r="G247" s="2" t="inlineStr">
        <is>
          <t>回款</t>
        </is>
      </c>
      <c r="H247" s="2" t="inlineStr">
        <is>
          <t>欧冶回款</t>
        </is>
      </c>
      <c r="I247" s="2" t="inlineStr">
        <is>
          <t>欧冶物宝</t>
        </is>
      </c>
      <c r="J247" s="2" t="inlineStr">
        <is>
          <t>闫东朋车队</t>
        </is>
      </c>
      <c r="K247" s="10" t="n">
        <v>196448.52</v>
      </c>
      <c r="L247" s="10" t="n">
        <v>0</v>
      </c>
      <c r="M247" s="10">
        <f>IF(OR(N247="已登记",LEFT(N247,2)="按状"),0,K247-L247)</f>
        <v/>
      </c>
      <c r="N247" s="2" t="inlineStr">
        <is>
          <t>未开始(前一环节未完成)</t>
        </is>
      </c>
      <c r="O247" s="2" t="n"/>
      <c r="P247" s="2" t="n"/>
    </row>
    <row r="248">
      <c r="A248" s="2" t="n">
        <v>72</v>
      </c>
      <c r="B248" s="8" t="n">
        <v>46279</v>
      </c>
      <c r="C248" s="2" t="inlineStr">
        <is>
          <t>苏J19371</t>
        </is>
      </c>
      <c r="D248" s="2" t="inlineStr">
        <is>
          <t>带票带货</t>
        </is>
      </c>
      <c r="E248" s="2" t="inlineStr">
        <is>
          <t>票商/反向 → 供货厂 → 欧冶</t>
        </is>
      </c>
      <c r="F248" s="2" t="inlineStr">
        <is>
          <t>闫东朋车队</t>
        </is>
      </c>
      <c r="G248" s="2" t="inlineStr">
        <is>
          <t>回款</t>
        </is>
      </c>
      <c r="H248" s="2" t="inlineStr">
        <is>
          <t>付票源</t>
        </is>
      </c>
      <c r="I248" s="2" t="inlineStr">
        <is>
          <t>闫东朋车队</t>
        </is>
      </c>
      <c r="J248" s="2" t="inlineStr">
        <is>
          <t>反向-闫东朋</t>
        </is>
      </c>
      <c r="K248" s="10" t="n">
        <v>196448.52</v>
      </c>
      <c r="L248" s="10" t="n">
        <v>0</v>
      </c>
      <c r="M248" s="10">
        <f>IF(OR(N248="已登记",LEFT(N248,2)="按状"),0,K248-L248)</f>
        <v/>
      </c>
      <c r="N248" s="2" t="inlineStr">
        <is>
          <t>未开始(前一环节未完成)</t>
        </is>
      </c>
      <c r="O248" s="2" t="n"/>
      <c r="P248" s="2" t="n"/>
    </row>
    <row r="249">
      <c r="A249" s="2" t="n">
        <v>73</v>
      </c>
      <c r="B249" s="8" t="n">
        <v>46280</v>
      </c>
      <c r="C249" s="2" t="inlineStr">
        <is>
          <t>苏ELU629</t>
        </is>
      </c>
      <c r="D249" s="2" t="inlineStr">
        <is>
          <t>配票/反向</t>
        </is>
      </c>
      <c r="E249" s="2" t="inlineStr">
        <is>
          <t>我们配票（经俊兴）</t>
        </is>
      </c>
      <c r="F249" s="2" t="inlineStr">
        <is>
          <t>未填供货厂</t>
        </is>
      </c>
      <c r="G249" s="2" t="inlineStr">
        <is>
          <t>开票</t>
        </is>
      </c>
      <c r="H249" s="2" t="inlineStr">
        <is>
          <t>进项</t>
        </is>
      </c>
      <c r="I249" s="2" t="inlineStr">
        <is>
          <t>煌烽</t>
        </is>
      </c>
      <c r="J249" s="2" t="inlineStr">
        <is>
          <t>俊兴</t>
        </is>
      </c>
      <c r="K249" s="10" t="n">
        <v>81472.14</v>
      </c>
      <c r="L249" s="10" t="n">
        <v>0</v>
      </c>
      <c r="M249" s="10">
        <f>IF(OR(N249="已登记",LEFT(N249,2)="按状"),0,K249-L249)</f>
        <v/>
      </c>
      <c r="N249" s="2" t="inlineStr">
        <is>
          <t>待登记</t>
        </is>
      </c>
      <c r="O249" s="2" t="n">
        <v>6</v>
      </c>
      <c r="P249" s="2" t="n"/>
    </row>
    <row r="250">
      <c r="A250" s="2" t="n">
        <v>73</v>
      </c>
      <c r="B250" s="8" t="n">
        <v>46280</v>
      </c>
      <c r="C250" s="2" t="inlineStr">
        <is>
          <t>苏ELU629</t>
        </is>
      </c>
      <c r="D250" s="2" t="inlineStr">
        <is>
          <t>配票/反向</t>
        </is>
      </c>
      <c r="E250" s="2" t="inlineStr">
        <is>
          <t>我们配票（经俊兴）</t>
        </is>
      </c>
      <c r="F250" s="2" t="inlineStr">
        <is>
          <t>未填供货厂</t>
        </is>
      </c>
      <c r="G250" s="2" t="inlineStr">
        <is>
          <t>开票</t>
        </is>
      </c>
      <c r="H250" s="2" t="inlineStr">
        <is>
          <t>销项→欧冶</t>
        </is>
      </c>
      <c r="I250" s="2" t="inlineStr">
        <is>
          <t>俊兴</t>
        </is>
      </c>
      <c r="J250" s="2" t="inlineStr">
        <is>
          <t>欧冶物宝</t>
        </is>
      </c>
      <c r="K250" s="10" t="n">
        <v>81472.14</v>
      </c>
      <c r="L250" s="10" t="n">
        <v>0</v>
      </c>
      <c r="M250" s="10">
        <f>IF(OR(N250="已登记",LEFT(N250,2)="按状"),0,K250-L250)</f>
        <v/>
      </c>
      <c r="N250" s="2" t="inlineStr">
        <is>
          <t>待登记</t>
        </is>
      </c>
      <c r="O250" s="2" t="n">
        <v>6</v>
      </c>
      <c r="P250" s="2" t="n"/>
    </row>
    <row r="251">
      <c r="A251" s="2" t="n">
        <v>73</v>
      </c>
      <c r="B251" s="8" t="n">
        <v>46280</v>
      </c>
      <c r="C251" s="2" t="inlineStr">
        <is>
          <t>苏ELU629</t>
        </is>
      </c>
      <c r="D251" s="2" t="inlineStr">
        <is>
          <t>配票/反向</t>
        </is>
      </c>
      <c r="E251" s="2" t="inlineStr">
        <is>
          <t>我们配票（经俊兴）</t>
        </is>
      </c>
      <c r="F251" s="2" t="inlineStr">
        <is>
          <t>未填供货厂</t>
        </is>
      </c>
      <c r="G251" s="2" t="inlineStr">
        <is>
          <t>回款</t>
        </is>
      </c>
      <c r="H251" s="2" t="inlineStr">
        <is>
          <t>欧冶回款</t>
        </is>
      </c>
      <c r="I251" s="2" t="inlineStr">
        <is>
          <t>欧冶物宝</t>
        </is>
      </c>
      <c r="J251" s="2" t="inlineStr">
        <is>
          <t>俊兴</t>
        </is>
      </c>
      <c r="K251" s="10" t="n">
        <v>81472.14</v>
      </c>
      <c r="L251" s="10" t="n">
        <v>0</v>
      </c>
      <c r="M251" s="10">
        <f>IF(OR(N251="已登记",LEFT(N251,2)="按状"),0,K251-L251)</f>
        <v/>
      </c>
      <c r="N251" s="2" t="inlineStr">
        <is>
          <t>未开始(前一环节未完成)</t>
        </is>
      </c>
      <c r="O251" s="2" t="n"/>
      <c r="P251" s="2" t="n"/>
    </row>
    <row r="252">
      <c r="A252" s="2" t="n">
        <v>73</v>
      </c>
      <c r="B252" s="8" t="n">
        <v>46280</v>
      </c>
      <c r="C252" s="2" t="inlineStr">
        <is>
          <t>苏ELU629</t>
        </is>
      </c>
      <c r="D252" s="2" t="inlineStr">
        <is>
          <t>配票/反向</t>
        </is>
      </c>
      <c r="E252" s="2" t="inlineStr">
        <is>
          <t>我们配票（经俊兴）</t>
        </is>
      </c>
      <c r="F252" s="2" t="inlineStr">
        <is>
          <t>未填供货厂</t>
        </is>
      </c>
      <c r="G252" s="2" t="inlineStr">
        <is>
          <t>回款</t>
        </is>
      </c>
      <c r="H252" s="2" t="inlineStr">
        <is>
          <t>付票源</t>
        </is>
      </c>
      <c r="I252" s="2" t="inlineStr">
        <is>
          <t>俊兴</t>
        </is>
      </c>
      <c r="J252" s="2" t="inlineStr">
        <is>
          <t>煌烽</t>
        </is>
      </c>
      <c r="K252" s="10" t="n">
        <v>81472.14</v>
      </c>
      <c r="L252" s="10" t="n">
        <v>0</v>
      </c>
      <c r="M252" s="10">
        <f>IF(OR(N252="已登记",LEFT(N252,2)="按状"),0,K252-L252)</f>
        <v/>
      </c>
      <c r="N252" s="2" t="inlineStr">
        <is>
          <t>未开始(前一环节未完成)</t>
        </is>
      </c>
      <c r="O252" s="2" t="n"/>
      <c r="P252" s="2" t="n"/>
    </row>
    <row r="253">
      <c r="A253" s="2" t="n">
        <v>73</v>
      </c>
      <c r="B253" s="8" t="n">
        <v>46280</v>
      </c>
      <c r="C253" s="2" t="inlineStr">
        <is>
          <t>苏ELU629</t>
        </is>
      </c>
      <c r="D253" s="2" t="inlineStr">
        <is>
          <t>配票/反向</t>
        </is>
      </c>
      <c r="E253" s="2" t="inlineStr">
        <is>
          <t>我们配票（经俊兴）</t>
        </is>
      </c>
      <c r="F253" s="2" t="inlineStr">
        <is>
          <t>未填供货厂</t>
        </is>
      </c>
      <c r="G253" s="2" t="inlineStr">
        <is>
          <t>回款</t>
        </is>
      </c>
      <c r="H253" s="2" t="inlineStr">
        <is>
          <t>到客户账户</t>
        </is>
      </c>
      <c r="I253" s="2" t="inlineStr">
        <is>
          <t>煌烽</t>
        </is>
      </c>
      <c r="J253" s="2" t="inlineStr">
        <is>
          <t>客户·客户账户</t>
        </is>
      </c>
      <c r="K253" s="10" t="n">
        <v>81472.14</v>
      </c>
      <c r="L253" s="10" t="n">
        <v>0</v>
      </c>
      <c r="M253" s="10">
        <f>IF(OR(N253="已登记",LEFT(N253,2)="按状"),0,K253-L253)</f>
        <v/>
      </c>
      <c r="N253" s="2" t="inlineStr">
        <is>
          <t>未开始(前一环节未完成)</t>
        </is>
      </c>
      <c r="O253" s="2" t="n"/>
      <c r="P253" s="2" t="n"/>
    </row>
    <row r="254">
      <c r="A254" s="2" t="n">
        <v>74</v>
      </c>
      <c r="B254" s="8" t="n">
        <v>46280</v>
      </c>
      <c r="C254" s="2" t="inlineStr">
        <is>
          <t>苏DBE075</t>
        </is>
      </c>
      <c r="D254" s="2" t="inlineStr">
        <is>
          <t>带票带货</t>
        </is>
      </c>
      <c r="E254" s="2" t="inlineStr">
        <is>
          <t>供货厂自带票（带票带货）</t>
        </is>
      </c>
      <c r="F254" s="2" t="inlineStr">
        <is>
          <t>君盛</t>
        </is>
      </c>
      <c r="G254" s="2" t="inlineStr">
        <is>
          <t>开票</t>
        </is>
      </c>
      <c r="H254" s="2" t="inlineStr">
        <is>
          <t>销项→欧冶</t>
        </is>
      </c>
      <c r="I254" s="2" t="inlineStr">
        <is>
          <t>君盛</t>
        </is>
      </c>
      <c r="J254" s="2" t="inlineStr">
        <is>
          <t>欧冶物宝</t>
        </is>
      </c>
      <c r="K254" s="10" t="n">
        <v>70061.42</v>
      </c>
      <c r="L254" s="10" t="n">
        <v>0</v>
      </c>
      <c r="M254" s="10">
        <f>IF(OR(N254="已登记",LEFT(N254,2)="按状"),0,K254-L254)</f>
        <v/>
      </c>
      <c r="N254" s="2" t="inlineStr">
        <is>
          <t>待登记</t>
        </is>
      </c>
      <c r="O254" s="2" t="n">
        <v>6</v>
      </c>
      <c r="P254" s="2" t="n"/>
    </row>
    <row r="255">
      <c r="A255" s="2" t="n">
        <v>74</v>
      </c>
      <c r="B255" s="8" t="n">
        <v>46280</v>
      </c>
      <c r="C255" s="2" t="inlineStr">
        <is>
          <t>苏DBE075</t>
        </is>
      </c>
      <c r="D255" s="2" t="inlineStr">
        <is>
          <t>带票带货</t>
        </is>
      </c>
      <c r="E255" s="2" t="inlineStr">
        <is>
          <t>供货厂自带票（带票带货）</t>
        </is>
      </c>
      <c r="F255" s="2" t="inlineStr">
        <is>
          <t>君盛</t>
        </is>
      </c>
      <c r="G255" s="2" t="inlineStr">
        <is>
          <t>回款</t>
        </is>
      </c>
      <c r="H255" s="2" t="inlineStr">
        <is>
          <t>欧冶回款</t>
        </is>
      </c>
      <c r="I255" s="2" t="inlineStr">
        <is>
          <t>欧冶物宝</t>
        </is>
      </c>
      <c r="J255" s="2" t="inlineStr">
        <is>
          <t>君盛</t>
        </is>
      </c>
      <c r="K255" s="10" t="n">
        <v>70061.42</v>
      </c>
      <c r="L255" s="10" t="n">
        <v>0</v>
      </c>
      <c r="M255" s="10">
        <f>IF(OR(N255="已登记",LEFT(N255,2)="按状"),0,K255-L255)</f>
        <v/>
      </c>
      <c r="N255" s="2" t="inlineStr">
        <is>
          <t>未开始(前一环节未完成)</t>
        </is>
      </c>
      <c r="O255" s="2" t="n"/>
      <c r="P255" s="2" t="n"/>
    </row>
    <row r="256">
      <c r="A256" s="2" t="n">
        <v>75</v>
      </c>
      <c r="B256" s="8" t="n">
        <v>46280</v>
      </c>
      <c r="C256" s="2" t="inlineStr">
        <is>
          <t>苏L80153</t>
        </is>
      </c>
      <c r="D256" s="2" t="inlineStr">
        <is>
          <t>配票/反向</t>
        </is>
      </c>
      <c r="E256" s="2" t="inlineStr">
        <is>
          <t>票商/反向 → 供货厂 → 欧冶</t>
        </is>
      </c>
      <c r="F256" s="2" t="inlineStr">
        <is>
          <t>闫东朋车队</t>
        </is>
      </c>
      <c r="G256" s="2" t="inlineStr">
        <is>
          <t>开票</t>
        </is>
      </c>
      <c r="H256" s="2" t="inlineStr">
        <is>
          <t>进项</t>
        </is>
      </c>
      <c r="I256" s="2" t="inlineStr">
        <is>
          <t>反向-闫东朋</t>
        </is>
      </c>
      <c r="J256" s="2" t="inlineStr">
        <is>
          <t>闫东朋车队</t>
        </is>
      </c>
      <c r="K256" s="10" t="n">
        <v>123308.6</v>
      </c>
      <c r="L256" s="10" t="n">
        <v>0</v>
      </c>
      <c r="M256" s="10">
        <f>IF(OR(N256="已登记",LEFT(N256,2)="按状"),0,K256-L256)</f>
        <v/>
      </c>
      <c r="N256" s="2" t="inlineStr">
        <is>
          <t>待登记</t>
        </is>
      </c>
      <c r="O256" s="2" t="n">
        <v>6</v>
      </c>
      <c r="P256" s="2" t="n"/>
    </row>
    <row r="257">
      <c r="A257" s="2" t="n">
        <v>75</v>
      </c>
      <c r="B257" s="8" t="n">
        <v>46280</v>
      </c>
      <c r="C257" s="2" t="inlineStr">
        <is>
          <t>苏L80153</t>
        </is>
      </c>
      <c r="D257" s="2" t="inlineStr">
        <is>
          <t>配票/反向</t>
        </is>
      </c>
      <c r="E257" s="2" t="inlineStr">
        <is>
          <t>票商/反向 → 供货厂 → 欧冶</t>
        </is>
      </c>
      <c r="F257" s="2" t="inlineStr">
        <is>
          <t>闫东朋车队</t>
        </is>
      </c>
      <c r="G257" s="2" t="inlineStr">
        <is>
          <t>开票</t>
        </is>
      </c>
      <c r="H257" s="2" t="inlineStr">
        <is>
          <t>销项→欧冶</t>
        </is>
      </c>
      <c r="I257" s="2" t="inlineStr">
        <is>
          <t>闫东朋车队</t>
        </is>
      </c>
      <c r="J257" s="2" t="inlineStr">
        <is>
          <t>欧冶物宝</t>
        </is>
      </c>
      <c r="K257" s="10" t="n">
        <v>123308.6</v>
      </c>
      <c r="L257" s="10" t="n">
        <v>0</v>
      </c>
      <c r="M257" s="10">
        <f>IF(OR(N257="已登记",LEFT(N257,2)="按状"),0,K257-L257)</f>
        <v/>
      </c>
      <c r="N257" s="2" t="inlineStr">
        <is>
          <t>待登记</t>
        </is>
      </c>
      <c r="O257" s="2" t="n">
        <v>6</v>
      </c>
      <c r="P257" s="2" t="n"/>
    </row>
    <row r="258">
      <c r="A258" s="2" t="n">
        <v>75</v>
      </c>
      <c r="B258" s="8" t="n">
        <v>46280</v>
      </c>
      <c r="C258" s="2" t="inlineStr">
        <is>
          <t>苏L80153</t>
        </is>
      </c>
      <c r="D258" s="2" t="inlineStr">
        <is>
          <t>配票/反向</t>
        </is>
      </c>
      <c r="E258" s="2" t="inlineStr">
        <is>
          <t>票商/反向 → 供货厂 → 欧冶</t>
        </is>
      </c>
      <c r="F258" s="2" t="inlineStr">
        <is>
          <t>闫东朋车队</t>
        </is>
      </c>
      <c r="G258" s="2" t="inlineStr">
        <is>
          <t>回款</t>
        </is>
      </c>
      <c r="H258" s="2" t="inlineStr">
        <is>
          <t>欧冶回款</t>
        </is>
      </c>
      <c r="I258" s="2" t="inlineStr">
        <is>
          <t>欧冶物宝</t>
        </is>
      </c>
      <c r="J258" s="2" t="inlineStr">
        <is>
          <t>闫东朋车队</t>
        </is>
      </c>
      <c r="K258" s="10" t="n">
        <v>123308.6</v>
      </c>
      <c r="L258" s="10" t="n">
        <v>0</v>
      </c>
      <c r="M258" s="10">
        <f>IF(OR(N258="已登记",LEFT(N258,2)="按状"),0,K258-L258)</f>
        <v/>
      </c>
      <c r="N258" s="2" t="inlineStr">
        <is>
          <t>未开始(前一环节未完成)</t>
        </is>
      </c>
      <c r="O258" s="2" t="n"/>
      <c r="P258" s="2" t="n"/>
    </row>
    <row r="259">
      <c r="A259" s="2" t="n">
        <v>75</v>
      </c>
      <c r="B259" s="8" t="n">
        <v>46280</v>
      </c>
      <c r="C259" s="2" t="inlineStr">
        <is>
          <t>苏L80153</t>
        </is>
      </c>
      <c r="D259" s="2" t="inlineStr">
        <is>
          <t>配票/反向</t>
        </is>
      </c>
      <c r="E259" s="2" t="inlineStr">
        <is>
          <t>票商/反向 → 供货厂 → 欧冶</t>
        </is>
      </c>
      <c r="F259" s="2" t="inlineStr">
        <is>
          <t>闫东朋车队</t>
        </is>
      </c>
      <c r="G259" s="2" t="inlineStr">
        <is>
          <t>回款</t>
        </is>
      </c>
      <c r="H259" s="2" t="inlineStr">
        <is>
          <t>付票源</t>
        </is>
      </c>
      <c r="I259" s="2" t="inlineStr">
        <is>
          <t>闫东朋车队</t>
        </is>
      </c>
      <c r="J259" s="2" t="inlineStr">
        <is>
          <t>反向-闫东朋</t>
        </is>
      </c>
      <c r="K259" s="10" t="n">
        <v>123308.6</v>
      </c>
      <c r="L259" s="10" t="n">
        <v>0</v>
      </c>
      <c r="M259" s="10">
        <f>IF(OR(N259="已登记",LEFT(N259,2)="按状"),0,K259-L259)</f>
        <v/>
      </c>
      <c r="N259" s="2" t="inlineStr">
        <is>
          <t>未开始(前一环节未完成)</t>
        </is>
      </c>
      <c r="O259" s="2" t="n"/>
      <c r="P259" s="2" t="n"/>
    </row>
    <row r="260">
      <c r="A260" s="2" t="n">
        <v>76</v>
      </c>
      <c r="B260" s="8" t="n">
        <v>46280</v>
      </c>
      <c r="C260" s="2" t="inlineStr">
        <is>
          <t>苏J19371</t>
        </is>
      </c>
      <c r="D260" s="2" t="inlineStr">
        <is>
          <t>配票/反向</t>
        </is>
      </c>
      <c r="E260" s="2" t="inlineStr">
        <is>
          <t>票商/反向 → 供货厂 → 欧冶</t>
        </is>
      </c>
      <c r="F260" s="2" t="inlineStr">
        <is>
          <t>闫东朋车队</t>
        </is>
      </c>
      <c r="G260" s="2" t="inlineStr">
        <is>
          <t>开票</t>
        </is>
      </c>
      <c r="H260" s="2" t="inlineStr">
        <is>
          <t>进项</t>
        </is>
      </c>
      <c r="I260" s="2" t="inlineStr">
        <is>
          <t>反向-闫东朋</t>
        </is>
      </c>
      <c r="J260" s="2" t="inlineStr">
        <is>
          <t>闫东朋车队</t>
        </is>
      </c>
      <c r="K260" s="10" t="n">
        <v>199745.8</v>
      </c>
      <c r="L260" s="10" t="n">
        <v>0</v>
      </c>
      <c r="M260" s="10">
        <f>IF(OR(N260="已登记",LEFT(N260,2)="按状"),0,K260-L260)</f>
        <v/>
      </c>
      <c r="N260" s="2" t="inlineStr">
        <is>
          <t>待登记</t>
        </is>
      </c>
      <c r="O260" s="2" t="n">
        <v>6</v>
      </c>
      <c r="P260" s="2" t="n"/>
    </row>
    <row r="261">
      <c r="A261" s="2" t="n">
        <v>76</v>
      </c>
      <c r="B261" s="8" t="n">
        <v>46280</v>
      </c>
      <c r="C261" s="2" t="inlineStr">
        <is>
          <t>苏J19371</t>
        </is>
      </c>
      <c r="D261" s="2" t="inlineStr">
        <is>
          <t>配票/反向</t>
        </is>
      </c>
      <c r="E261" s="2" t="inlineStr">
        <is>
          <t>票商/反向 → 供货厂 → 欧冶</t>
        </is>
      </c>
      <c r="F261" s="2" t="inlineStr">
        <is>
          <t>闫东朋车队</t>
        </is>
      </c>
      <c r="G261" s="2" t="inlineStr">
        <is>
          <t>开票</t>
        </is>
      </c>
      <c r="H261" s="2" t="inlineStr">
        <is>
          <t>销项→欧冶</t>
        </is>
      </c>
      <c r="I261" s="2" t="inlineStr">
        <is>
          <t>闫东朋车队</t>
        </is>
      </c>
      <c r="J261" s="2" t="inlineStr">
        <is>
          <t>欧冶物宝</t>
        </is>
      </c>
      <c r="K261" s="10" t="n">
        <v>199745.8</v>
      </c>
      <c r="L261" s="10" t="n">
        <v>0</v>
      </c>
      <c r="M261" s="10">
        <f>IF(OR(N261="已登记",LEFT(N261,2)="按状"),0,K261-L261)</f>
        <v/>
      </c>
      <c r="N261" s="2" t="inlineStr">
        <is>
          <t>待登记</t>
        </is>
      </c>
      <c r="O261" s="2" t="n">
        <v>6</v>
      </c>
      <c r="P261" s="2" t="n"/>
    </row>
    <row r="262">
      <c r="A262" s="2" t="n">
        <v>76</v>
      </c>
      <c r="B262" s="8" t="n">
        <v>46280</v>
      </c>
      <c r="C262" s="2" t="inlineStr">
        <is>
          <t>苏J19371</t>
        </is>
      </c>
      <c r="D262" s="2" t="inlineStr">
        <is>
          <t>配票/反向</t>
        </is>
      </c>
      <c r="E262" s="2" t="inlineStr">
        <is>
          <t>票商/反向 → 供货厂 → 欧冶</t>
        </is>
      </c>
      <c r="F262" s="2" t="inlineStr">
        <is>
          <t>闫东朋车队</t>
        </is>
      </c>
      <c r="G262" s="2" t="inlineStr">
        <is>
          <t>回款</t>
        </is>
      </c>
      <c r="H262" s="2" t="inlineStr">
        <is>
          <t>欧冶回款</t>
        </is>
      </c>
      <c r="I262" s="2" t="inlineStr">
        <is>
          <t>欧冶物宝</t>
        </is>
      </c>
      <c r="J262" s="2" t="inlineStr">
        <is>
          <t>闫东朋车队</t>
        </is>
      </c>
      <c r="K262" s="10" t="n">
        <v>199745.8</v>
      </c>
      <c r="L262" s="10" t="n">
        <v>0</v>
      </c>
      <c r="M262" s="10">
        <f>IF(OR(N262="已登记",LEFT(N262,2)="按状"),0,K262-L262)</f>
        <v/>
      </c>
      <c r="N262" s="2" t="inlineStr">
        <is>
          <t>未开始(前一环节未完成)</t>
        </is>
      </c>
      <c r="O262" s="2" t="n"/>
      <c r="P262" s="2" t="n"/>
    </row>
    <row r="263">
      <c r="A263" s="2" t="n">
        <v>76</v>
      </c>
      <c r="B263" s="8" t="n">
        <v>46280</v>
      </c>
      <c r="C263" s="2" t="inlineStr">
        <is>
          <t>苏J19371</t>
        </is>
      </c>
      <c r="D263" s="2" t="inlineStr">
        <is>
          <t>配票/反向</t>
        </is>
      </c>
      <c r="E263" s="2" t="inlineStr">
        <is>
          <t>票商/反向 → 供货厂 → 欧冶</t>
        </is>
      </c>
      <c r="F263" s="2" t="inlineStr">
        <is>
          <t>闫东朋车队</t>
        </is>
      </c>
      <c r="G263" s="2" t="inlineStr">
        <is>
          <t>回款</t>
        </is>
      </c>
      <c r="H263" s="2" t="inlineStr">
        <is>
          <t>付票源</t>
        </is>
      </c>
      <c r="I263" s="2" t="inlineStr">
        <is>
          <t>闫东朋车队</t>
        </is>
      </c>
      <c r="J263" s="2" t="inlineStr">
        <is>
          <t>反向-闫东朋</t>
        </is>
      </c>
      <c r="K263" s="10" t="n">
        <v>199745.8</v>
      </c>
      <c r="L263" s="10" t="n">
        <v>0</v>
      </c>
      <c r="M263" s="10">
        <f>IF(OR(N263="已登记",LEFT(N263,2)="按状"),0,K263-L263)</f>
        <v/>
      </c>
      <c r="N263" s="2" t="inlineStr">
        <is>
          <t>未开始(前一环节未完成)</t>
        </is>
      </c>
      <c r="O263" s="2" t="n"/>
      <c r="P263" s="2" t="n"/>
    </row>
    <row r="264">
      <c r="A264" s="2" t="n">
        <v>77</v>
      </c>
      <c r="B264" s="8" t="n">
        <v>46280</v>
      </c>
      <c r="C264" s="2" t="inlineStr">
        <is>
          <t>苏CLK667</t>
        </is>
      </c>
      <c r="D264" s="2" t="inlineStr">
        <is>
          <t>配票/反向</t>
        </is>
      </c>
      <c r="E264" s="2" t="inlineStr">
        <is>
          <t>我们配票（经俊兴）</t>
        </is>
      </c>
      <c r="F264" s="2" t="inlineStr">
        <is>
          <t>未填供货厂</t>
        </is>
      </c>
      <c r="G264" s="2" t="inlineStr">
        <is>
          <t>开票</t>
        </is>
      </c>
      <c r="H264" s="2" t="inlineStr">
        <is>
          <t>进项</t>
        </is>
      </c>
      <c r="I264" s="2" t="inlineStr">
        <is>
          <t>煌烽</t>
        </is>
      </c>
      <c r="J264" s="2" t="inlineStr">
        <is>
          <t>俊兴</t>
        </is>
      </c>
      <c r="K264" s="10" t="n">
        <v>75846.94</v>
      </c>
      <c r="L264" s="10" t="n">
        <v>0</v>
      </c>
      <c r="M264" s="10">
        <f>IF(OR(N264="已登记",LEFT(N264,2)="按状"),0,K264-L264)</f>
        <v/>
      </c>
      <c r="N264" s="2" t="inlineStr">
        <is>
          <t>待登记</t>
        </is>
      </c>
      <c r="O264" s="2" t="n">
        <v>6</v>
      </c>
      <c r="P264" s="2" t="n"/>
    </row>
    <row r="265">
      <c r="A265" s="2" t="n">
        <v>77</v>
      </c>
      <c r="B265" s="8" t="n">
        <v>46280</v>
      </c>
      <c r="C265" s="2" t="inlineStr">
        <is>
          <t>苏CLK667</t>
        </is>
      </c>
      <c r="D265" s="2" t="inlineStr">
        <is>
          <t>配票/反向</t>
        </is>
      </c>
      <c r="E265" s="2" t="inlineStr">
        <is>
          <t>我们配票（经俊兴）</t>
        </is>
      </c>
      <c r="F265" s="2" t="inlineStr">
        <is>
          <t>未填供货厂</t>
        </is>
      </c>
      <c r="G265" s="2" t="inlineStr">
        <is>
          <t>开票</t>
        </is>
      </c>
      <c r="H265" s="2" t="inlineStr">
        <is>
          <t>销项→欧冶</t>
        </is>
      </c>
      <c r="I265" s="2" t="inlineStr">
        <is>
          <t>俊兴</t>
        </is>
      </c>
      <c r="J265" s="2" t="inlineStr">
        <is>
          <t>欧冶物宝</t>
        </is>
      </c>
      <c r="K265" s="10" t="n">
        <v>75846.94</v>
      </c>
      <c r="L265" s="10" t="n">
        <v>0</v>
      </c>
      <c r="M265" s="10">
        <f>IF(OR(N265="已登记",LEFT(N265,2)="按状"),0,K265-L265)</f>
        <v/>
      </c>
      <c r="N265" s="2" t="inlineStr">
        <is>
          <t>待登记</t>
        </is>
      </c>
      <c r="O265" s="2" t="n">
        <v>6</v>
      </c>
      <c r="P265" s="2" t="n"/>
    </row>
    <row r="266">
      <c r="A266" s="2" t="n">
        <v>77</v>
      </c>
      <c r="B266" s="8" t="n">
        <v>46280</v>
      </c>
      <c r="C266" s="2" t="inlineStr">
        <is>
          <t>苏CLK667</t>
        </is>
      </c>
      <c r="D266" s="2" t="inlineStr">
        <is>
          <t>配票/反向</t>
        </is>
      </c>
      <c r="E266" s="2" t="inlineStr">
        <is>
          <t>我们配票（经俊兴）</t>
        </is>
      </c>
      <c r="F266" s="2" t="inlineStr">
        <is>
          <t>未填供货厂</t>
        </is>
      </c>
      <c r="G266" s="2" t="inlineStr">
        <is>
          <t>回款</t>
        </is>
      </c>
      <c r="H266" s="2" t="inlineStr">
        <is>
          <t>欧冶回款</t>
        </is>
      </c>
      <c r="I266" s="2" t="inlineStr">
        <is>
          <t>欧冶物宝</t>
        </is>
      </c>
      <c r="J266" s="2" t="inlineStr">
        <is>
          <t>俊兴</t>
        </is>
      </c>
      <c r="K266" s="10" t="n">
        <v>75846.94</v>
      </c>
      <c r="L266" s="10" t="n">
        <v>0</v>
      </c>
      <c r="M266" s="10">
        <f>IF(OR(N266="已登记",LEFT(N266,2)="按状"),0,K266-L266)</f>
        <v/>
      </c>
      <c r="N266" s="2" t="inlineStr">
        <is>
          <t>未开始(前一环节未完成)</t>
        </is>
      </c>
      <c r="O266" s="2" t="n"/>
      <c r="P266" s="2" t="n"/>
    </row>
    <row r="267">
      <c r="A267" s="2" t="n">
        <v>77</v>
      </c>
      <c r="B267" s="8" t="n">
        <v>46280</v>
      </c>
      <c r="C267" s="2" t="inlineStr">
        <is>
          <t>苏CLK667</t>
        </is>
      </c>
      <c r="D267" s="2" t="inlineStr">
        <is>
          <t>配票/反向</t>
        </is>
      </c>
      <c r="E267" s="2" t="inlineStr">
        <is>
          <t>我们配票（经俊兴）</t>
        </is>
      </c>
      <c r="F267" s="2" t="inlineStr">
        <is>
          <t>未填供货厂</t>
        </is>
      </c>
      <c r="G267" s="2" t="inlineStr">
        <is>
          <t>回款</t>
        </is>
      </c>
      <c r="H267" s="2" t="inlineStr">
        <is>
          <t>付票源</t>
        </is>
      </c>
      <c r="I267" s="2" t="inlineStr">
        <is>
          <t>俊兴</t>
        </is>
      </c>
      <c r="J267" s="2" t="inlineStr">
        <is>
          <t>煌烽</t>
        </is>
      </c>
      <c r="K267" s="10" t="n">
        <v>75846.94</v>
      </c>
      <c r="L267" s="10" t="n">
        <v>0</v>
      </c>
      <c r="M267" s="10">
        <f>IF(OR(N267="已登记",LEFT(N267,2)="按状"),0,K267-L267)</f>
        <v/>
      </c>
      <c r="N267" s="2" t="inlineStr">
        <is>
          <t>未开始(前一环节未完成)</t>
        </is>
      </c>
      <c r="O267" s="2" t="n"/>
      <c r="P267" s="2" t="n"/>
    </row>
    <row r="268">
      <c r="A268" s="2" t="n">
        <v>77</v>
      </c>
      <c r="B268" s="8" t="n">
        <v>46280</v>
      </c>
      <c r="C268" s="2" t="inlineStr">
        <is>
          <t>苏CLK667</t>
        </is>
      </c>
      <c r="D268" s="2" t="inlineStr">
        <is>
          <t>配票/反向</t>
        </is>
      </c>
      <c r="E268" s="2" t="inlineStr">
        <is>
          <t>我们配票（经俊兴）</t>
        </is>
      </c>
      <c r="F268" s="2" t="inlineStr">
        <is>
          <t>未填供货厂</t>
        </is>
      </c>
      <c r="G268" s="2" t="inlineStr">
        <is>
          <t>回款</t>
        </is>
      </c>
      <c r="H268" s="2" t="inlineStr">
        <is>
          <t>到客户账户</t>
        </is>
      </c>
      <c r="I268" s="2" t="inlineStr">
        <is>
          <t>煌烽</t>
        </is>
      </c>
      <c r="J268" s="2" t="inlineStr">
        <is>
          <t>客户·客户账户</t>
        </is>
      </c>
      <c r="K268" s="10" t="n">
        <v>75846.94</v>
      </c>
      <c r="L268" s="10" t="n">
        <v>0</v>
      </c>
      <c r="M268" s="10">
        <f>IF(OR(N268="已登记",LEFT(N268,2)="按状"),0,K268-L268)</f>
        <v/>
      </c>
      <c r="N268" s="2" t="inlineStr">
        <is>
          <t>未开始(前一环节未完成)</t>
        </is>
      </c>
      <c r="O268" s="2" t="n"/>
      <c r="P268" s="2" t="n"/>
    </row>
    <row r="269">
      <c r="A269" s="2" t="n">
        <v>78</v>
      </c>
      <c r="B269" s="8" t="n">
        <v>46280</v>
      </c>
      <c r="C269" s="2" t="inlineStr">
        <is>
          <t>苏DBB772</t>
        </is>
      </c>
      <c r="D269" s="2" t="inlineStr">
        <is>
          <t>带票带货</t>
        </is>
      </c>
      <c r="E269" s="2" t="inlineStr">
        <is>
          <t>供货厂自带票（带票带货）</t>
        </is>
      </c>
      <c r="F269" s="2" t="inlineStr">
        <is>
          <t>𠓾景通</t>
        </is>
      </c>
      <c r="G269" s="2" t="inlineStr">
        <is>
          <t>开票</t>
        </is>
      </c>
      <c r="H269" s="2" t="inlineStr">
        <is>
          <t>销项→欧冶</t>
        </is>
      </c>
      <c r="I269" s="2" t="inlineStr">
        <is>
          <t>𠓾景通</t>
        </is>
      </c>
      <c r="J269" s="2" t="inlineStr">
        <is>
          <t>欧冶物宝</t>
        </is>
      </c>
      <c r="K269" s="10" t="n">
        <v>167810.5</v>
      </c>
      <c r="L269" s="10" t="n">
        <v>0</v>
      </c>
      <c r="M269" s="10">
        <f>IF(OR(N269="已登记",LEFT(N269,2)="按状"),0,K269-L269)</f>
        <v/>
      </c>
      <c r="N269" s="2" t="inlineStr">
        <is>
          <t>待登记</t>
        </is>
      </c>
      <c r="O269" s="2" t="n">
        <v>6</v>
      </c>
      <c r="P269" s="2" t="n"/>
    </row>
    <row r="270">
      <c r="A270" s="2" t="n">
        <v>78</v>
      </c>
      <c r="B270" s="8" t="n">
        <v>46280</v>
      </c>
      <c r="C270" s="2" t="inlineStr">
        <is>
          <t>苏DBB772</t>
        </is>
      </c>
      <c r="D270" s="2" t="inlineStr">
        <is>
          <t>带票带货</t>
        </is>
      </c>
      <c r="E270" s="2" t="inlineStr">
        <is>
          <t>供货厂自带票（带票带货）</t>
        </is>
      </c>
      <c r="F270" s="2" t="inlineStr">
        <is>
          <t>𠓾景通</t>
        </is>
      </c>
      <c r="G270" s="2" t="inlineStr">
        <is>
          <t>回款</t>
        </is>
      </c>
      <c r="H270" s="2" t="inlineStr">
        <is>
          <t>欧冶回款</t>
        </is>
      </c>
      <c r="I270" s="2" t="inlineStr">
        <is>
          <t>欧冶物宝</t>
        </is>
      </c>
      <c r="J270" s="2" t="inlineStr">
        <is>
          <t>𠓾景通</t>
        </is>
      </c>
      <c r="K270" s="10" t="n">
        <v>167810.5</v>
      </c>
      <c r="L270" s="10" t="n">
        <v>0</v>
      </c>
      <c r="M270" s="10">
        <f>IF(OR(N270="已登记",LEFT(N270,2)="按状"),0,K270-L270)</f>
        <v/>
      </c>
      <c r="N270" s="2" t="inlineStr">
        <is>
          <t>未开始(前一环节未完成)</t>
        </is>
      </c>
      <c r="O270" s="2" t="n"/>
      <c r="P270" s="2" t="n"/>
    </row>
    <row r="271">
      <c r="A271" s="2" t="n">
        <v>79</v>
      </c>
      <c r="B271" s="8" t="n">
        <v>46280</v>
      </c>
      <c r="C271" s="2" t="inlineStr">
        <is>
          <t>苏DBE961</t>
        </is>
      </c>
      <c r="D271" s="2" t="inlineStr">
        <is>
          <t>带票带货</t>
        </is>
      </c>
      <c r="E271" s="2" t="inlineStr">
        <is>
          <t>供货厂自带票（带票带货）</t>
        </is>
      </c>
      <c r="F271" s="2" t="inlineStr">
        <is>
          <t>君盛</t>
        </is>
      </c>
      <c r="G271" s="2" t="inlineStr">
        <is>
          <t>开票</t>
        </is>
      </c>
      <c r="H271" s="2" t="inlineStr">
        <is>
          <t>销项→欧冶</t>
        </is>
      </c>
      <c r="I271" s="2" t="inlineStr">
        <is>
          <t>君盛</t>
        </is>
      </c>
      <c r="J271" s="2" t="inlineStr">
        <is>
          <t>欧冶物宝</t>
        </is>
      </c>
      <c r="K271" s="10" t="n">
        <v>69883.25999999999</v>
      </c>
      <c r="L271" s="10" t="n">
        <v>0</v>
      </c>
      <c r="M271" s="10">
        <f>IF(OR(N271="已登记",LEFT(N271,2)="按状"),0,K271-L271)</f>
        <v/>
      </c>
      <c r="N271" s="2" t="inlineStr">
        <is>
          <t>待登记</t>
        </is>
      </c>
      <c r="O271" s="2" t="n">
        <v>6</v>
      </c>
      <c r="P271" s="2" t="n"/>
    </row>
    <row r="272">
      <c r="A272" s="2" t="n">
        <v>79</v>
      </c>
      <c r="B272" s="8" t="n">
        <v>46280</v>
      </c>
      <c r="C272" s="2" t="inlineStr">
        <is>
          <t>苏DBE961</t>
        </is>
      </c>
      <c r="D272" s="2" t="inlineStr">
        <is>
          <t>带票带货</t>
        </is>
      </c>
      <c r="E272" s="2" t="inlineStr">
        <is>
          <t>供货厂自带票（带票带货）</t>
        </is>
      </c>
      <c r="F272" s="2" t="inlineStr">
        <is>
          <t>君盛</t>
        </is>
      </c>
      <c r="G272" s="2" t="inlineStr">
        <is>
          <t>回款</t>
        </is>
      </c>
      <c r="H272" s="2" t="inlineStr">
        <is>
          <t>欧冶回款</t>
        </is>
      </c>
      <c r="I272" s="2" t="inlineStr">
        <is>
          <t>欧冶物宝</t>
        </is>
      </c>
      <c r="J272" s="2" t="inlineStr">
        <is>
          <t>君盛</t>
        </is>
      </c>
      <c r="K272" s="10" t="n">
        <v>69883.25999999999</v>
      </c>
      <c r="L272" s="10" t="n">
        <v>0</v>
      </c>
      <c r="M272" s="10">
        <f>IF(OR(N272="已登记",LEFT(N272,2)="按状"),0,K272-L272)</f>
        <v/>
      </c>
      <c r="N272" s="2" t="inlineStr">
        <is>
          <t>未开始(前一环节未完成)</t>
        </is>
      </c>
      <c r="O272" s="2" t="n"/>
      <c r="P272" s="2" t="n"/>
    </row>
    <row r="273">
      <c r="A273" s="2" t="n">
        <v>80</v>
      </c>
      <c r="B273" s="8" t="n">
        <v>46280</v>
      </c>
      <c r="C273" s="2" t="inlineStr">
        <is>
          <t>皖四航6058</t>
        </is>
      </c>
      <c r="D273" s="2" t="inlineStr">
        <is>
          <t>配票/反向</t>
        </is>
      </c>
      <c r="E273" s="2" t="inlineStr">
        <is>
          <t>我们配票（经俊兴）</t>
        </is>
      </c>
      <c r="F273" s="2" t="inlineStr">
        <is>
          <t>尹鹏飞</t>
        </is>
      </c>
      <c r="G273" s="2" t="inlineStr">
        <is>
          <t>开票</t>
        </is>
      </c>
      <c r="H273" s="2" t="inlineStr">
        <is>
          <t>进项</t>
        </is>
      </c>
      <c r="I273" s="2" t="inlineStr">
        <is>
          <t>煌烽</t>
        </is>
      </c>
      <c r="J273" s="2" t="inlineStr">
        <is>
          <t>俊兴</t>
        </is>
      </c>
      <c r="K273" s="10" t="n">
        <v>1431043.56</v>
      </c>
      <c r="L273" s="10" t="n">
        <v>0</v>
      </c>
      <c r="M273" s="10">
        <f>IF(OR(N273="已登记",LEFT(N273,2)="按状"),0,K273-L273)</f>
        <v/>
      </c>
      <c r="N273" s="2" t="inlineStr">
        <is>
          <t>待登记</t>
        </is>
      </c>
      <c r="O273" s="2" t="n">
        <v>6</v>
      </c>
      <c r="P273" s="2" t="n"/>
    </row>
    <row r="274">
      <c r="A274" s="2" t="n">
        <v>80</v>
      </c>
      <c r="B274" s="8" t="n">
        <v>46280</v>
      </c>
      <c r="C274" s="2" t="inlineStr">
        <is>
          <t>皖四航6058</t>
        </is>
      </c>
      <c r="D274" s="2" t="inlineStr">
        <is>
          <t>配票/反向</t>
        </is>
      </c>
      <c r="E274" s="2" t="inlineStr">
        <is>
          <t>我们配票（经俊兴）</t>
        </is>
      </c>
      <c r="F274" s="2" t="inlineStr">
        <is>
          <t>尹鹏飞</t>
        </is>
      </c>
      <c r="G274" s="2" t="inlineStr">
        <is>
          <t>开票</t>
        </is>
      </c>
      <c r="H274" s="2" t="inlineStr">
        <is>
          <t>销项→欧冶</t>
        </is>
      </c>
      <c r="I274" s="2" t="inlineStr">
        <is>
          <t>俊兴</t>
        </is>
      </c>
      <c r="J274" s="2" t="inlineStr">
        <is>
          <t>欧冶物宝</t>
        </is>
      </c>
      <c r="K274" s="10" t="n">
        <v>1431043.56</v>
      </c>
      <c r="L274" s="10" t="n">
        <v>0</v>
      </c>
      <c r="M274" s="10">
        <f>IF(OR(N274="已登记",LEFT(N274,2)="按状"),0,K274-L274)</f>
        <v/>
      </c>
      <c r="N274" s="2" t="inlineStr">
        <is>
          <t>待登记</t>
        </is>
      </c>
      <c r="O274" s="2" t="n">
        <v>6</v>
      </c>
      <c r="P274" s="2" t="n"/>
    </row>
    <row r="275">
      <c r="A275" s="2" t="n">
        <v>80</v>
      </c>
      <c r="B275" s="8" t="n">
        <v>46280</v>
      </c>
      <c r="C275" s="2" t="inlineStr">
        <is>
          <t>皖四航6058</t>
        </is>
      </c>
      <c r="D275" s="2" t="inlineStr">
        <is>
          <t>配票/反向</t>
        </is>
      </c>
      <c r="E275" s="2" t="inlineStr">
        <is>
          <t>我们配票（经俊兴）</t>
        </is>
      </c>
      <c r="F275" s="2" t="inlineStr">
        <is>
          <t>尹鹏飞</t>
        </is>
      </c>
      <c r="G275" s="2" t="inlineStr">
        <is>
          <t>回款</t>
        </is>
      </c>
      <c r="H275" s="2" t="inlineStr">
        <is>
          <t>欧冶回款</t>
        </is>
      </c>
      <c r="I275" s="2" t="inlineStr">
        <is>
          <t>欧冶物宝</t>
        </is>
      </c>
      <c r="J275" s="2" t="inlineStr">
        <is>
          <t>俊兴</t>
        </is>
      </c>
      <c r="K275" s="10" t="n">
        <v>1431043.56</v>
      </c>
      <c r="L275" s="10" t="n">
        <v>0</v>
      </c>
      <c r="M275" s="10">
        <f>IF(OR(N275="已登记",LEFT(N275,2)="按状"),0,K275-L275)</f>
        <v/>
      </c>
      <c r="N275" s="2" t="inlineStr">
        <is>
          <t>未开始(前一环节未完成)</t>
        </is>
      </c>
      <c r="O275" s="2" t="n"/>
      <c r="P275" s="2" t="n"/>
    </row>
    <row r="276">
      <c r="A276" s="2" t="n">
        <v>80</v>
      </c>
      <c r="B276" s="8" t="n">
        <v>46280</v>
      </c>
      <c r="C276" s="2" t="inlineStr">
        <is>
          <t>皖四航6058</t>
        </is>
      </c>
      <c r="D276" s="2" t="inlineStr">
        <is>
          <t>配票/反向</t>
        </is>
      </c>
      <c r="E276" s="2" t="inlineStr">
        <is>
          <t>我们配票（经俊兴）</t>
        </is>
      </c>
      <c r="F276" s="2" t="inlineStr">
        <is>
          <t>尹鹏飞</t>
        </is>
      </c>
      <c r="G276" s="2" t="inlineStr">
        <is>
          <t>回款</t>
        </is>
      </c>
      <c r="H276" s="2" t="inlineStr">
        <is>
          <t>付票源</t>
        </is>
      </c>
      <c r="I276" s="2" t="inlineStr">
        <is>
          <t>俊兴</t>
        </is>
      </c>
      <c r="J276" s="2" t="inlineStr">
        <is>
          <t>煌烽</t>
        </is>
      </c>
      <c r="K276" s="10" t="n">
        <v>1431043.56</v>
      </c>
      <c r="L276" s="10" t="n">
        <v>0</v>
      </c>
      <c r="M276" s="10">
        <f>IF(OR(N276="已登记",LEFT(N276,2)="按状"),0,K276-L276)</f>
        <v/>
      </c>
      <c r="N276" s="2" t="inlineStr">
        <is>
          <t>未开始(前一环节未完成)</t>
        </is>
      </c>
      <c r="O276" s="2" t="n"/>
      <c r="P276" s="2" t="n"/>
    </row>
    <row r="277">
      <c r="A277" s="2" t="n">
        <v>80</v>
      </c>
      <c r="B277" s="8" t="n">
        <v>46280</v>
      </c>
      <c r="C277" s="2" t="inlineStr">
        <is>
          <t>皖四航6058</t>
        </is>
      </c>
      <c r="D277" s="2" t="inlineStr">
        <is>
          <t>配票/反向</t>
        </is>
      </c>
      <c r="E277" s="2" t="inlineStr">
        <is>
          <t>我们配票（经俊兴）</t>
        </is>
      </c>
      <c r="F277" s="2" t="inlineStr">
        <is>
          <t>尹鹏飞</t>
        </is>
      </c>
      <c r="G277" s="2" t="inlineStr">
        <is>
          <t>回款</t>
        </is>
      </c>
      <c r="H277" s="2" t="inlineStr">
        <is>
          <t>到客户账户</t>
        </is>
      </c>
      <c r="I277" s="2" t="inlineStr">
        <is>
          <t>煌烽</t>
        </is>
      </c>
      <c r="J277" s="2" t="inlineStr">
        <is>
          <t>尹鹏飞·客户账户</t>
        </is>
      </c>
      <c r="K277" s="10" t="n">
        <v>1431043.56</v>
      </c>
      <c r="L277" s="10" t="n">
        <v>0</v>
      </c>
      <c r="M277" s="10">
        <f>IF(OR(N277="已登记",LEFT(N277,2)="按状"),0,K277-L277)</f>
        <v/>
      </c>
      <c r="N277" s="2" t="inlineStr">
        <is>
          <t>未开始(前一环节未完成)</t>
        </is>
      </c>
      <c r="O277" s="2" t="n"/>
      <c r="P277" s="2" t="n"/>
    </row>
    <row r="278">
      <c r="A278" s="2" t="n">
        <v>81</v>
      </c>
      <c r="B278" s="8" t="n">
        <v>46281</v>
      </c>
      <c r="C278" s="2" t="inlineStr">
        <is>
          <t>皖SC6167</t>
        </is>
      </c>
      <c r="D278" s="2" t="inlineStr">
        <is>
          <t>配票/反向</t>
        </is>
      </c>
      <c r="E278" s="2" t="inlineStr">
        <is>
          <t>票商/反向 → 供货厂 → 欧冶</t>
        </is>
      </c>
      <c r="F278" s="2" t="inlineStr">
        <is>
          <t>闫东朋车队</t>
        </is>
      </c>
      <c r="G278" s="2" t="inlineStr">
        <is>
          <t>开票</t>
        </is>
      </c>
      <c r="H278" s="2" t="inlineStr">
        <is>
          <t>进项</t>
        </is>
      </c>
      <c r="I278" s="2" t="inlineStr">
        <is>
          <t>反向-闫东朋</t>
        </is>
      </c>
      <c r="J278" s="2" t="inlineStr">
        <is>
          <t>闫东朋车队</t>
        </is>
      </c>
      <c r="K278" s="10" t="n">
        <v>128017.28</v>
      </c>
      <c r="L278" s="10" t="n">
        <v>0</v>
      </c>
      <c r="M278" s="10">
        <f>IF(OR(N278="已登记",LEFT(N278,2)="按状"),0,K278-L278)</f>
        <v/>
      </c>
      <c r="N278" s="2" t="inlineStr">
        <is>
          <t>待登记</t>
        </is>
      </c>
      <c r="O278" s="2" t="n">
        <v>5</v>
      </c>
      <c r="P278" s="2" t="n"/>
    </row>
    <row r="279">
      <c r="A279" s="2" t="n">
        <v>81</v>
      </c>
      <c r="B279" s="8" t="n">
        <v>46281</v>
      </c>
      <c r="C279" s="2" t="inlineStr">
        <is>
          <t>皖SC6167</t>
        </is>
      </c>
      <c r="D279" s="2" t="inlineStr">
        <is>
          <t>配票/反向</t>
        </is>
      </c>
      <c r="E279" s="2" t="inlineStr">
        <is>
          <t>票商/反向 → 供货厂 → 欧冶</t>
        </is>
      </c>
      <c r="F279" s="2" t="inlineStr">
        <is>
          <t>闫东朋车队</t>
        </is>
      </c>
      <c r="G279" s="2" t="inlineStr">
        <is>
          <t>开票</t>
        </is>
      </c>
      <c r="H279" s="2" t="inlineStr">
        <is>
          <t>销项→欧冶</t>
        </is>
      </c>
      <c r="I279" s="2" t="inlineStr">
        <is>
          <t>闫东朋车队</t>
        </is>
      </c>
      <c r="J279" s="2" t="inlineStr">
        <is>
          <t>欧冶物宝</t>
        </is>
      </c>
      <c r="K279" s="10" t="n">
        <v>128017.28</v>
      </c>
      <c r="L279" s="10" t="n">
        <v>0</v>
      </c>
      <c r="M279" s="10">
        <f>IF(OR(N279="已登记",LEFT(N279,2)="按状"),0,K279-L279)</f>
        <v/>
      </c>
      <c r="N279" s="2" t="inlineStr">
        <is>
          <t>待登记</t>
        </is>
      </c>
      <c r="O279" s="2" t="n">
        <v>5</v>
      </c>
      <c r="P279" s="2" t="n"/>
    </row>
    <row r="280">
      <c r="A280" s="2" t="n">
        <v>81</v>
      </c>
      <c r="B280" s="8" t="n">
        <v>46281</v>
      </c>
      <c r="C280" s="2" t="inlineStr">
        <is>
          <t>皖SC6167</t>
        </is>
      </c>
      <c r="D280" s="2" t="inlineStr">
        <is>
          <t>配票/反向</t>
        </is>
      </c>
      <c r="E280" s="2" t="inlineStr">
        <is>
          <t>票商/反向 → 供货厂 → 欧冶</t>
        </is>
      </c>
      <c r="F280" s="2" t="inlineStr">
        <is>
          <t>闫东朋车队</t>
        </is>
      </c>
      <c r="G280" s="2" t="inlineStr">
        <is>
          <t>回款</t>
        </is>
      </c>
      <c r="H280" s="2" t="inlineStr">
        <is>
          <t>欧冶回款</t>
        </is>
      </c>
      <c r="I280" s="2" t="inlineStr">
        <is>
          <t>欧冶物宝</t>
        </is>
      </c>
      <c r="J280" s="2" t="inlineStr">
        <is>
          <t>闫东朋车队</t>
        </is>
      </c>
      <c r="K280" s="10" t="n">
        <v>128017.28</v>
      </c>
      <c r="L280" s="10" t="n">
        <v>0</v>
      </c>
      <c r="M280" s="10">
        <f>IF(OR(N280="已登记",LEFT(N280,2)="按状"),0,K280-L280)</f>
        <v/>
      </c>
      <c r="N280" s="2" t="inlineStr">
        <is>
          <t>未开始(前一环节未完成)</t>
        </is>
      </c>
      <c r="O280" s="2" t="n"/>
      <c r="P280" s="2" t="n"/>
    </row>
    <row r="281">
      <c r="A281" s="2" t="n">
        <v>81</v>
      </c>
      <c r="B281" s="8" t="n">
        <v>46281</v>
      </c>
      <c r="C281" s="2" t="inlineStr">
        <is>
          <t>皖SC6167</t>
        </is>
      </c>
      <c r="D281" s="2" t="inlineStr">
        <is>
          <t>配票/反向</t>
        </is>
      </c>
      <c r="E281" s="2" t="inlineStr">
        <is>
          <t>票商/反向 → 供货厂 → 欧冶</t>
        </is>
      </c>
      <c r="F281" s="2" t="inlineStr">
        <is>
          <t>闫东朋车队</t>
        </is>
      </c>
      <c r="G281" s="2" t="inlineStr">
        <is>
          <t>回款</t>
        </is>
      </c>
      <c r="H281" s="2" t="inlineStr">
        <is>
          <t>付票源</t>
        </is>
      </c>
      <c r="I281" s="2" t="inlineStr">
        <is>
          <t>闫东朋车队</t>
        </is>
      </c>
      <c r="J281" s="2" t="inlineStr">
        <is>
          <t>反向-闫东朋</t>
        </is>
      </c>
      <c r="K281" s="10" t="n">
        <v>128017.28</v>
      </c>
      <c r="L281" s="10" t="n">
        <v>0</v>
      </c>
      <c r="M281" s="10">
        <f>IF(OR(N281="已登记",LEFT(N281,2)="按状"),0,K281-L281)</f>
        <v/>
      </c>
      <c r="N281" s="2" t="inlineStr">
        <is>
          <t>未开始(前一环节未完成)</t>
        </is>
      </c>
      <c r="O281" s="2" t="n"/>
      <c r="P281" s="2" t="n"/>
    </row>
    <row r="282">
      <c r="A282" s="2" t="n">
        <v>82</v>
      </c>
      <c r="B282" s="8" t="n">
        <v>46281</v>
      </c>
      <c r="C282" s="2" t="inlineStr">
        <is>
          <t>皖AK6033</t>
        </is>
      </c>
      <c r="D282" s="2" t="inlineStr">
        <is>
          <t>配票/反向</t>
        </is>
      </c>
      <c r="E282" s="2" t="inlineStr">
        <is>
          <t>我们配票（经俊兴）</t>
        </is>
      </c>
      <c r="F282" s="2" t="inlineStr">
        <is>
          <t>未填供货厂</t>
        </is>
      </c>
      <c r="G282" s="2" t="inlineStr">
        <is>
          <t>开票</t>
        </is>
      </c>
      <c r="H282" s="2" t="inlineStr">
        <is>
          <t>进项</t>
        </is>
      </c>
      <c r="I282" s="2" t="inlineStr">
        <is>
          <t>煌烽</t>
        </is>
      </c>
      <c r="J282" s="2" t="inlineStr">
        <is>
          <t>俊兴</t>
        </is>
      </c>
      <c r="K282" s="10" t="n">
        <v>95141.74000000001</v>
      </c>
      <c r="L282" s="10" t="n">
        <v>0</v>
      </c>
      <c r="M282" s="10">
        <f>IF(OR(N282="已登记",LEFT(N282,2)="按状"),0,K282-L282)</f>
        <v/>
      </c>
      <c r="N282" s="2" t="inlineStr">
        <is>
          <t>待登记</t>
        </is>
      </c>
      <c r="O282" s="2" t="n">
        <v>5</v>
      </c>
      <c r="P282" s="2" t="n"/>
    </row>
    <row r="283">
      <c r="A283" s="2" t="n">
        <v>82</v>
      </c>
      <c r="B283" s="8" t="n">
        <v>46281</v>
      </c>
      <c r="C283" s="2" t="inlineStr">
        <is>
          <t>皖AK6033</t>
        </is>
      </c>
      <c r="D283" s="2" t="inlineStr">
        <is>
          <t>配票/反向</t>
        </is>
      </c>
      <c r="E283" s="2" t="inlineStr">
        <is>
          <t>我们配票（经俊兴）</t>
        </is>
      </c>
      <c r="F283" s="2" t="inlineStr">
        <is>
          <t>未填供货厂</t>
        </is>
      </c>
      <c r="G283" s="2" t="inlineStr">
        <is>
          <t>开票</t>
        </is>
      </c>
      <c r="H283" s="2" t="inlineStr">
        <is>
          <t>销项→欧冶</t>
        </is>
      </c>
      <c r="I283" s="2" t="inlineStr">
        <is>
          <t>俊兴</t>
        </is>
      </c>
      <c r="J283" s="2" t="inlineStr">
        <is>
          <t>欧冶物宝</t>
        </is>
      </c>
      <c r="K283" s="10" t="n">
        <v>95141.74000000001</v>
      </c>
      <c r="L283" s="10" t="n">
        <v>0</v>
      </c>
      <c r="M283" s="10">
        <f>IF(OR(N283="已登记",LEFT(N283,2)="按状"),0,K283-L283)</f>
        <v/>
      </c>
      <c r="N283" s="2" t="inlineStr">
        <is>
          <t>待登记</t>
        </is>
      </c>
      <c r="O283" s="2" t="n">
        <v>5</v>
      </c>
      <c r="P283" s="2" t="n"/>
    </row>
    <row r="284">
      <c r="A284" s="2" t="n">
        <v>82</v>
      </c>
      <c r="B284" s="8" t="n">
        <v>46281</v>
      </c>
      <c r="C284" s="2" t="inlineStr">
        <is>
          <t>皖AK6033</t>
        </is>
      </c>
      <c r="D284" s="2" t="inlineStr">
        <is>
          <t>配票/反向</t>
        </is>
      </c>
      <c r="E284" s="2" t="inlineStr">
        <is>
          <t>我们配票（经俊兴）</t>
        </is>
      </c>
      <c r="F284" s="2" t="inlineStr">
        <is>
          <t>未填供货厂</t>
        </is>
      </c>
      <c r="G284" s="2" t="inlineStr">
        <is>
          <t>回款</t>
        </is>
      </c>
      <c r="H284" s="2" t="inlineStr">
        <is>
          <t>欧冶回款</t>
        </is>
      </c>
      <c r="I284" s="2" t="inlineStr">
        <is>
          <t>欧冶物宝</t>
        </is>
      </c>
      <c r="J284" s="2" t="inlineStr">
        <is>
          <t>俊兴</t>
        </is>
      </c>
      <c r="K284" s="10" t="n">
        <v>95141.74000000001</v>
      </c>
      <c r="L284" s="10" t="n">
        <v>0</v>
      </c>
      <c r="M284" s="10">
        <f>IF(OR(N284="已登记",LEFT(N284,2)="按状"),0,K284-L284)</f>
        <v/>
      </c>
      <c r="N284" s="2" t="inlineStr">
        <is>
          <t>未开始(前一环节未完成)</t>
        </is>
      </c>
      <c r="O284" s="2" t="n"/>
      <c r="P284" s="2" t="n"/>
    </row>
    <row r="285">
      <c r="A285" s="2" t="n">
        <v>82</v>
      </c>
      <c r="B285" s="8" t="n">
        <v>46281</v>
      </c>
      <c r="C285" s="2" t="inlineStr">
        <is>
          <t>皖AK6033</t>
        </is>
      </c>
      <c r="D285" s="2" t="inlineStr">
        <is>
          <t>配票/反向</t>
        </is>
      </c>
      <c r="E285" s="2" t="inlineStr">
        <is>
          <t>我们配票（经俊兴）</t>
        </is>
      </c>
      <c r="F285" s="2" t="inlineStr">
        <is>
          <t>未填供货厂</t>
        </is>
      </c>
      <c r="G285" s="2" t="inlineStr">
        <is>
          <t>回款</t>
        </is>
      </c>
      <c r="H285" s="2" t="inlineStr">
        <is>
          <t>付票源</t>
        </is>
      </c>
      <c r="I285" s="2" t="inlineStr">
        <is>
          <t>俊兴</t>
        </is>
      </c>
      <c r="J285" s="2" t="inlineStr">
        <is>
          <t>煌烽</t>
        </is>
      </c>
      <c r="K285" s="10" t="n">
        <v>95141.74000000001</v>
      </c>
      <c r="L285" s="10" t="n">
        <v>0</v>
      </c>
      <c r="M285" s="10">
        <f>IF(OR(N285="已登记",LEFT(N285,2)="按状"),0,K285-L285)</f>
        <v/>
      </c>
      <c r="N285" s="2" t="inlineStr">
        <is>
          <t>未开始(前一环节未完成)</t>
        </is>
      </c>
      <c r="O285" s="2" t="n"/>
      <c r="P285" s="2" t="n"/>
    </row>
    <row r="286">
      <c r="A286" s="2" t="n">
        <v>82</v>
      </c>
      <c r="B286" s="8" t="n">
        <v>46281</v>
      </c>
      <c r="C286" s="2" t="inlineStr">
        <is>
          <t>皖AK6033</t>
        </is>
      </c>
      <c r="D286" s="2" t="inlineStr">
        <is>
          <t>配票/反向</t>
        </is>
      </c>
      <c r="E286" s="2" t="inlineStr">
        <is>
          <t>我们配票（经俊兴）</t>
        </is>
      </c>
      <c r="F286" s="2" t="inlineStr">
        <is>
          <t>未填供货厂</t>
        </is>
      </c>
      <c r="G286" s="2" t="inlineStr">
        <is>
          <t>回款</t>
        </is>
      </c>
      <c r="H286" s="2" t="inlineStr">
        <is>
          <t>到客户账户</t>
        </is>
      </c>
      <c r="I286" s="2" t="inlineStr">
        <is>
          <t>煌烽</t>
        </is>
      </c>
      <c r="J286" s="2" t="inlineStr">
        <is>
          <t>客户·客户账户</t>
        </is>
      </c>
      <c r="K286" s="10" t="n">
        <v>95141.74000000001</v>
      </c>
      <c r="L286" s="10" t="n">
        <v>0</v>
      </c>
      <c r="M286" s="10">
        <f>IF(OR(N286="已登记",LEFT(N286,2)="按状"),0,K286-L286)</f>
        <v/>
      </c>
      <c r="N286" s="2" t="inlineStr">
        <is>
          <t>未开始(前一环节未完成)</t>
        </is>
      </c>
      <c r="O286" s="2" t="n"/>
      <c r="P286" s="2" t="n"/>
    </row>
    <row r="287">
      <c r="A287" s="2" t="n">
        <v>83</v>
      </c>
      <c r="B287" s="8" t="n">
        <v>46282</v>
      </c>
      <c r="C287" s="2" t="inlineStr">
        <is>
          <t>苏DBE075</t>
        </is>
      </c>
      <c r="D287" s="2" t="inlineStr">
        <is>
          <t>带票带货</t>
        </is>
      </c>
      <c r="E287" s="2" t="inlineStr">
        <is>
          <t>供货厂自带票（带票带货）</t>
        </is>
      </c>
      <c r="F287" s="2" t="inlineStr">
        <is>
          <t>力拓</t>
        </is>
      </c>
      <c r="G287" s="2" t="inlineStr">
        <is>
          <t>开票</t>
        </is>
      </c>
      <c r="H287" s="2" t="inlineStr">
        <is>
          <t>销项→欧冶</t>
        </is>
      </c>
      <c r="I287" s="2" t="inlineStr">
        <is>
          <t>力拓</t>
        </is>
      </c>
      <c r="J287" s="2" t="inlineStr">
        <is>
          <t>欧冶物宝</t>
        </is>
      </c>
      <c r="K287" s="10" t="n">
        <v>204220.22</v>
      </c>
      <c r="L287" s="10" t="n">
        <v>0</v>
      </c>
      <c r="M287" s="10">
        <f>IF(OR(N287="已登记",LEFT(N287,2)="按状"),0,K287-L287)</f>
        <v/>
      </c>
      <c r="N287" s="2" t="inlineStr">
        <is>
          <t>待登记</t>
        </is>
      </c>
      <c r="O287" s="2" t="n">
        <v>4</v>
      </c>
      <c r="P287" s="2" t="n"/>
    </row>
    <row r="288">
      <c r="A288" s="2" t="n">
        <v>83</v>
      </c>
      <c r="B288" s="8" t="n">
        <v>46282</v>
      </c>
      <c r="C288" s="2" t="inlineStr">
        <is>
          <t>苏DBE075</t>
        </is>
      </c>
      <c r="D288" s="2" t="inlineStr">
        <is>
          <t>带票带货</t>
        </is>
      </c>
      <c r="E288" s="2" t="inlineStr">
        <is>
          <t>供货厂自带票（带票带货）</t>
        </is>
      </c>
      <c r="F288" s="2" t="inlineStr">
        <is>
          <t>力拓</t>
        </is>
      </c>
      <c r="G288" s="2" t="inlineStr">
        <is>
          <t>回款</t>
        </is>
      </c>
      <c r="H288" s="2" t="inlineStr">
        <is>
          <t>欧冶回款</t>
        </is>
      </c>
      <c r="I288" s="2" t="inlineStr">
        <is>
          <t>欧冶物宝</t>
        </is>
      </c>
      <c r="J288" s="2" t="inlineStr">
        <is>
          <t>力拓</t>
        </is>
      </c>
      <c r="K288" s="10" t="n">
        <v>204220.22</v>
      </c>
      <c r="L288" s="10" t="n">
        <v>0</v>
      </c>
      <c r="M288" s="10">
        <f>IF(OR(N288="已登记",LEFT(N288,2)="按状"),0,K288-L288)</f>
        <v/>
      </c>
      <c r="N288" s="2" t="inlineStr">
        <is>
          <t>未开始(前一环节未完成)</t>
        </is>
      </c>
      <c r="O288" s="2" t="n"/>
      <c r="P288" s="2" t="n"/>
    </row>
    <row r="289">
      <c r="A289" s="2" t="n">
        <v>84</v>
      </c>
      <c r="B289" s="8" t="n">
        <v>46282</v>
      </c>
      <c r="C289" s="2" t="inlineStr">
        <is>
          <t>皖AP1626</t>
        </is>
      </c>
      <c r="D289" s="2" t="inlineStr">
        <is>
          <t>配票/反向</t>
        </is>
      </c>
      <c r="E289" s="2" t="inlineStr">
        <is>
          <t>票商/反向 → 供货厂 → 欧冶</t>
        </is>
      </c>
      <c r="F289" s="2" t="inlineStr">
        <is>
          <t>闫东朋车队</t>
        </is>
      </c>
      <c r="G289" s="2" t="inlineStr">
        <is>
          <t>开票</t>
        </is>
      </c>
      <c r="H289" s="2" t="inlineStr">
        <is>
          <t>进项</t>
        </is>
      </c>
      <c r="I289" s="2" t="inlineStr">
        <is>
          <t>反向-闫东朋</t>
        </is>
      </c>
      <c r="J289" s="2" t="inlineStr">
        <is>
          <t>闫东朋车队</t>
        </is>
      </c>
      <c r="K289" s="10" t="n">
        <v>126308</v>
      </c>
      <c r="L289" s="10" t="n">
        <v>0</v>
      </c>
      <c r="M289" s="10">
        <f>IF(OR(N289="已登记",LEFT(N289,2)="按状"),0,K289-L289)</f>
        <v/>
      </c>
      <c r="N289" s="2" t="inlineStr">
        <is>
          <t>待登记</t>
        </is>
      </c>
      <c r="O289" s="2" t="n">
        <v>4</v>
      </c>
      <c r="P289" s="2" t="n"/>
    </row>
    <row r="290">
      <c r="A290" s="2" t="n">
        <v>84</v>
      </c>
      <c r="B290" s="8" t="n">
        <v>46282</v>
      </c>
      <c r="C290" s="2" t="inlineStr">
        <is>
          <t>皖AP1626</t>
        </is>
      </c>
      <c r="D290" s="2" t="inlineStr">
        <is>
          <t>配票/反向</t>
        </is>
      </c>
      <c r="E290" s="2" t="inlineStr">
        <is>
          <t>票商/反向 → 供货厂 → 欧冶</t>
        </is>
      </c>
      <c r="F290" s="2" t="inlineStr">
        <is>
          <t>闫东朋车队</t>
        </is>
      </c>
      <c r="G290" s="2" t="inlineStr">
        <is>
          <t>开票</t>
        </is>
      </c>
      <c r="H290" s="2" t="inlineStr">
        <is>
          <t>销项→欧冶</t>
        </is>
      </c>
      <c r="I290" s="2" t="inlineStr">
        <is>
          <t>闫东朋车队</t>
        </is>
      </c>
      <c r="J290" s="2" t="inlineStr">
        <is>
          <t>欧冶物宝</t>
        </is>
      </c>
      <c r="K290" s="10" t="n">
        <v>126308</v>
      </c>
      <c r="L290" s="10" t="n">
        <v>0</v>
      </c>
      <c r="M290" s="10">
        <f>IF(OR(N290="已登记",LEFT(N290,2)="按状"),0,K290-L290)</f>
        <v/>
      </c>
      <c r="N290" s="2" t="inlineStr">
        <is>
          <t>待登记</t>
        </is>
      </c>
      <c r="O290" s="2" t="n">
        <v>4</v>
      </c>
      <c r="P290" s="2" t="n"/>
    </row>
    <row r="291">
      <c r="A291" s="2" t="n">
        <v>84</v>
      </c>
      <c r="B291" s="8" t="n">
        <v>46282</v>
      </c>
      <c r="C291" s="2" t="inlineStr">
        <is>
          <t>皖AP1626</t>
        </is>
      </c>
      <c r="D291" s="2" t="inlineStr">
        <is>
          <t>配票/反向</t>
        </is>
      </c>
      <c r="E291" s="2" t="inlineStr">
        <is>
          <t>票商/反向 → 供货厂 → 欧冶</t>
        </is>
      </c>
      <c r="F291" s="2" t="inlineStr">
        <is>
          <t>闫东朋车队</t>
        </is>
      </c>
      <c r="G291" s="2" t="inlineStr">
        <is>
          <t>回款</t>
        </is>
      </c>
      <c r="H291" s="2" t="inlineStr">
        <is>
          <t>欧冶回款</t>
        </is>
      </c>
      <c r="I291" s="2" t="inlineStr">
        <is>
          <t>欧冶物宝</t>
        </is>
      </c>
      <c r="J291" s="2" t="inlineStr">
        <is>
          <t>闫东朋车队</t>
        </is>
      </c>
      <c r="K291" s="10" t="n">
        <v>126308</v>
      </c>
      <c r="L291" s="10" t="n">
        <v>0</v>
      </c>
      <c r="M291" s="10">
        <f>IF(OR(N291="已登记",LEFT(N291,2)="按状"),0,K291-L291)</f>
        <v/>
      </c>
      <c r="N291" s="2" t="inlineStr">
        <is>
          <t>未开始(前一环节未完成)</t>
        </is>
      </c>
      <c r="O291" s="2" t="n"/>
      <c r="P291" s="2" t="n"/>
    </row>
    <row r="292">
      <c r="A292" s="2" t="n">
        <v>84</v>
      </c>
      <c r="B292" s="8" t="n">
        <v>46282</v>
      </c>
      <c r="C292" s="2" t="inlineStr">
        <is>
          <t>皖AP1626</t>
        </is>
      </c>
      <c r="D292" s="2" t="inlineStr">
        <is>
          <t>配票/反向</t>
        </is>
      </c>
      <c r="E292" s="2" t="inlineStr">
        <is>
          <t>票商/反向 → 供货厂 → 欧冶</t>
        </is>
      </c>
      <c r="F292" s="2" t="inlineStr">
        <is>
          <t>闫东朋车队</t>
        </is>
      </c>
      <c r="G292" s="2" t="inlineStr">
        <is>
          <t>回款</t>
        </is>
      </c>
      <c r="H292" s="2" t="inlineStr">
        <is>
          <t>付票源</t>
        </is>
      </c>
      <c r="I292" s="2" t="inlineStr">
        <is>
          <t>闫东朋车队</t>
        </is>
      </c>
      <c r="J292" s="2" t="inlineStr">
        <is>
          <t>反向-闫东朋</t>
        </is>
      </c>
      <c r="K292" s="10" t="n">
        <v>126308</v>
      </c>
      <c r="L292" s="10" t="n">
        <v>0</v>
      </c>
      <c r="M292" s="10">
        <f>IF(OR(N292="已登记",LEFT(N292,2)="按状"),0,K292-L292)</f>
        <v/>
      </c>
      <c r="N292" s="2" t="inlineStr">
        <is>
          <t>未开始(前一环节未完成)</t>
        </is>
      </c>
      <c r="O292" s="2" t="n"/>
      <c r="P292" s="2" t="n"/>
    </row>
    <row r="293">
      <c r="A293" s="2" t="n">
        <v>85</v>
      </c>
      <c r="B293" s="8" t="n">
        <v>46282</v>
      </c>
      <c r="C293" s="2" t="inlineStr">
        <is>
          <t>苏J19371</t>
        </is>
      </c>
      <c r="D293" s="2" t="inlineStr">
        <is>
          <t>配票/反向</t>
        </is>
      </c>
      <c r="E293" s="2" t="inlineStr">
        <is>
          <t>票商/反向 → 供货厂 → 欧冶</t>
        </is>
      </c>
      <c r="F293" s="2" t="inlineStr">
        <is>
          <t>闫东朋车队</t>
        </is>
      </c>
      <c r="G293" s="2" t="inlineStr">
        <is>
          <t>开票</t>
        </is>
      </c>
      <c r="H293" s="2" t="inlineStr">
        <is>
          <t>进项</t>
        </is>
      </c>
      <c r="I293" s="2" t="inlineStr">
        <is>
          <t>反向-闫东朋</t>
        </is>
      </c>
      <c r="J293" s="2" t="inlineStr">
        <is>
          <t>闫东朋车队</t>
        </is>
      </c>
      <c r="K293" s="10" t="n">
        <v>186056.2</v>
      </c>
      <c r="L293" s="10" t="n">
        <v>0</v>
      </c>
      <c r="M293" s="10">
        <f>IF(OR(N293="已登记",LEFT(N293,2)="按状"),0,K293-L293)</f>
        <v/>
      </c>
      <c r="N293" s="2" t="inlineStr">
        <is>
          <t>待登记</t>
        </is>
      </c>
      <c r="O293" s="2" t="n">
        <v>4</v>
      </c>
      <c r="P293" s="2" t="n"/>
    </row>
    <row r="294">
      <c r="A294" s="2" t="n">
        <v>85</v>
      </c>
      <c r="B294" s="8" t="n">
        <v>46282</v>
      </c>
      <c r="C294" s="2" t="inlineStr">
        <is>
          <t>苏J19371</t>
        </is>
      </c>
      <c r="D294" s="2" t="inlineStr">
        <is>
          <t>配票/反向</t>
        </is>
      </c>
      <c r="E294" s="2" t="inlineStr">
        <is>
          <t>票商/反向 → 供货厂 → 欧冶</t>
        </is>
      </c>
      <c r="F294" s="2" t="inlineStr">
        <is>
          <t>闫东朋车队</t>
        </is>
      </c>
      <c r="G294" s="2" t="inlineStr">
        <is>
          <t>开票</t>
        </is>
      </c>
      <c r="H294" s="2" t="inlineStr">
        <is>
          <t>销项→欧冶</t>
        </is>
      </c>
      <c r="I294" s="2" t="inlineStr">
        <is>
          <t>闫东朋车队</t>
        </is>
      </c>
      <c r="J294" s="2" t="inlineStr">
        <is>
          <t>欧冶物宝</t>
        </is>
      </c>
      <c r="K294" s="10" t="n">
        <v>186056.2</v>
      </c>
      <c r="L294" s="10" t="n">
        <v>0</v>
      </c>
      <c r="M294" s="10">
        <f>IF(OR(N294="已登记",LEFT(N294,2)="按状"),0,K294-L294)</f>
        <v/>
      </c>
      <c r="N294" s="2" t="inlineStr">
        <is>
          <t>待登记</t>
        </is>
      </c>
      <c r="O294" s="2" t="n">
        <v>4</v>
      </c>
      <c r="P294" s="2" t="n"/>
    </row>
    <row r="295">
      <c r="A295" s="2" t="n">
        <v>85</v>
      </c>
      <c r="B295" s="8" t="n">
        <v>46282</v>
      </c>
      <c r="C295" s="2" t="inlineStr">
        <is>
          <t>苏J19371</t>
        </is>
      </c>
      <c r="D295" s="2" t="inlineStr">
        <is>
          <t>配票/反向</t>
        </is>
      </c>
      <c r="E295" s="2" t="inlineStr">
        <is>
          <t>票商/反向 → 供货厂 → 欧冶</t>
        </is>
      </c>
      <c r="F295" s="2" t="inlineStr">
        <is>
          <t>闫东朋车队</t>
        </is>
      </c>
      <c r="G295" s="2" t="inlineStr">
        <is>
          <t>回款</t>
        </is>
      </c>
      <c r="H295" s="2" t="inlineStr">
        <is>
          <t>欧冶回款</t>
        </is>
      </c>
      <c r="I295" s="2" t="inlineStr">
        <is>
          <t>欧冶物宝</t>
        </is>
      </c>
      <c r="J295" s="2" t="inlineStr">
        <is>
          <t>闫东朋车队</t>
        </is>
      </c>
      <c r="K295" s="10" t="n">
        <v>186056.2</v>
      </c>
      <c r="L295" s="10" t="n">
        <v>0</v>
      </c>
      <c r="M295" s="10">
        <f>IF(OR(N295="已登记",LEFT(N295,2)="按状"),0,K295-L295)</f>
        <v/>
      </c>
      <c r="N295" s="2" t="inlineStr">
        <is>
          <t>未开始(前一环节未完成)</t>
        </is>
      </c>
      <c r="O295" s="2" t="n"/>
      <c r="P295" s="2" t="n"/>
    </row>
    <row r="296">
      <c r="A296" s="2" t="n">
        <v>85</v>
      </c>
      <c r="B296" s="8" t="n">
        <v>46282</v>
      </c>
      <c r="C296" s="2" t="inlineStr">
        <is>
          <t>苏J19371</t>
        </is>
      </c>
      <c r="D296" s="2" t="inlineStr">
        <is>
          <t>配票/反向</t>
        </is>
      </c>
      <c r="E296" s="2" t="inlineStr">
        <is>
          <t>票商/反向 → 供货厂 → 欧冶</t>
        </is>
      </c>
      <c r="F296" s="2" t="inlineStr">
        <is>
          <t>闫东朋车队</t>
        </is>
      </c>
      <c r="G296" s="2" t="inlineStr">
        <is>
          <t>回款</t>
        </is>
      </c>
      <c r="H296" s="2" t="inlineStr">
        <is>
          <t>付票源</t>
        </is>
      </c>
      <c r="I296" s="2" t="inlineStr">
        <is>
          <t>闫东朋车队</t>
        </is>
      </c>
      <c r="J296" s="2" t="inlineStr">
        <is>
          <t>反向-闫东朋</t>
        </is>
      </c>
      <c r="K296" s="10" t="n">
        <v>186056.2</v>
      </c>
      <c r="L296" s="10" t="n">
        <v>0</v>
      </c>
      <c r="M296" s="10">
        <f>IF(OR(N296="已登记",LEFT(N296,2)="按状"),0,K296-L296)</f>
        <v/>
      </c>
      <c r="N296" s="2" t="inlineStr">
        <is>
          <t>未开始(前一环节未完成)</t>
        </is>
      </c>
      <c r="O296" s="2" t="n"/>
      <c r="P296" s="2" t="n"/>
    </row>
    <row r="297">
      <c r="A297" s="2" t="n">
        <v>86</v>
      </c>
      <c r="B297" s="8" t="n">
        <v>46282</v>
      </c>
      <c r="C297" s="2" t="inlineStr">
        <is>
          <t>苏DBE075</t>
        </is>
      </c>
      <c r="D297" s="2" t="inlineStr">
        <is>
          <t>带票带货</t>
        </is>
      </c>
      <c r="E297" s="2" t="inlineStr">
        <is>
          <t>供货厂自带票（带票带货）</t>
        </is>
      </c>
      <c r="F297" s="2" t="inlineStr">
        <is>
          <t>君盛</t>
        </is>
      </c>
      <c r="G297" s="2" t="inlineStr">
        <is>
          <t>开票</t>
        </is>
      </c>
      <c r="H297" s="2" t="inlineStr">
        <is>
          <t>销项→欧冶</t>
        </is>
      </c>
      <c r="I297" s="2" t="inlineStr">
        <is>
          <t>君盛</t>
        </is>
      </c>
      <c r="J297" s="2" t="inlineStr">
        <is>
          <t>欧冶物宝</t>
        </is>
      </c>
      <c r="K297" s="10" t="n">
        <v>67891.41</v>
      </c>
      <c r="L297" s="10" t="n">
        <v>0</v>
      </c>
      <c r="M297" s="10">
        <f>IF(OR(N297="已登记",LEFT(N297,2)="按状"),0,K297-L297)</f>
        <v/>
      </c>
      <c r="N297" s="2" t="inlineStr">
        <is>
          <t>待登记</t>
        </is>
      </c>
      <c r="O297" s="2" t="n">
        <v>4</v>
      </c>
      <c r="P297" s="2" t="n"/>
    </row>
    <row r="298">
      <c r="A298" s="2" t="n">
        <v>86</v>
      </c>
      <c r="B298" s="8" t="n">
        <v>46282</v>
      </c>
      <c r="C298" s="2" t="inlineStr">
        <is>
          <t>苏DBE075</t>
        </is>
      </c>
      <c r="D298" s="2" t="inlineStr">
        <is>
          <t>带票带货</t>
        </is>
      </c>
      <c r="E298" s="2" t="inlineStr">
        <is>
          <t>供货厂自带票（带票带货）</t>
        </is>
      </c>
      <c r="F298" s="2" t="inlineStr">
        <is>
          <t>君盛</t>
        </is>
      </c>
      <c r="G298" s="2" t="inlineStr">
        <is>
          <t>回款</t>
        </is>
      </c>
      <c r="H298" s="2" t="inlineStr">
        <is>
          <t>欧冶回款</t>
        </is>
      </c>
      <c r="I298" s="2" t="inlineStr">
        <is>
          <t>欧冶物宝</t>
        </is>
      </c>
      <c r="J298" s="2" t="inlineStr">
        <is>
          <t>君盛</t>
        </is>
      </c>
      <c r="K298" s="10" t="n">
        <v>67891.41</v>
      </c>
      <c r="L298" s="10" t="n">
        <v>0</v>
      </c>
      <c r="M298" s="10">
        <f>IF(OR(N298="已登记",LEFT(N298,2)="按状"),0,K298-L298)</f>
        <v/>
      </c>
      <c r="N298" s="2" t="inlineStr">
        <is>
          <t>未开始(前一环节未完成)</t>
        </is>
      </c>
      <c r="O298" s="2" t="n"/>
      <c r="P298" s="2" t="n"/>
    </row>
    <row r="299">
      <c r="A299" s="2" t="n">
        <v>87</v>
      </c>
      <c r="B299" s="8" t="n">
        <v>46282</v>
      </c>
      <c r="C299" s="2" t="inlineStr">
        <is>
          <t>苏DBB772</t>
        </is>
      </c>
      <c r="D299" s="2" t="inlineStr">
        <is>
          <t>带票带货</t>
        </is>
      </c>
      <c r="E299" s="2" t="inlineStr">
        <is>
          <t>供货厂自带票（带票带货）</t>
        </is>
      </c>
      <c r="F299" s="2" t="inlineStr">
        <is>
          <t>君盛</t>
        </is>
      </c>
      <c r="G299" s="2" t="inlineStr">
        <is>
          <t>开票</t>
        </is>
      </c>
      <c r="H299" s="2" t="inlineStr">
        <is>
          <t>销项→欧冶</t>
        </is>
      </c>
      <c r="I299" s="2" t="inlineStr">
        <is>
          <t>君盛</t>
        </is>
      </c>
      <c r="J299" s="2" t="inlineStr">
        <is>
          <t>欧冶物宝</t>
        </is>
      </c>
      <c r="K299" s="10" t="n">
        <v>65726.36</v>
      </c>
      <c r="L299" s="10" t="n">
        <v>0</v>
      </c>
      <c r="M299" s="10">
        <f>IF(OR(N299="已登记",LEFT(N299,2)="按状"),0,K299-L299)</f>
        <v/>
      </c>
      <c r="N299" s="2" t="inlineStr">
        <is>
          <t>待登记</t>
        </is>
      </c>
      <c r="O299" s="2" t="n">
        <v>4</v>
      </c>
      <c r="P299" s="2" t="n"/>
    </row>
    <row r="300">
      <c r="A300" s="2" t="n">
        <v>87</v>
      </c>
      <c r="B300" s="8" t="n">
        <v>46282</v>
      </c>
      <c r="C300" s="2" t="inlineStr">
        <is>
          <t>苏DBB772</t>
        </is>
      </c>
      <c r="D300" s="2" t="inlineStr">
        <is>
          <t>带票带货</t>
        </is>
      </c>
      <c r="E300" s="2" t="inlineStr">
        <is>
          <t>供货厂自带票（带票带货）</t>
        </is>
      </c>
      <c r="F300" s="2" t="inlineStr">
        <is>
          <t>君盛</t>
        </is>
      </c>
      <c r="G300" s="2" t="inlineStr">
        <is>
          <t>回款</t>
        </is>
      </c>
      <c r="H300" s="2" t="inlineStr">
        <is>
          <t>欧冶回款</t>
        </is>
      </c>
      <c r="I300" s="2" t="inlineStr">
        <is>
          <t>欧冶物宝</t>
        </is>
      </c>
      <c r="J300" s="2" t="inlineStr">
        <is>
          <t>君盛</t>
        </is>
      </c>
      <c r="K300" s="10" t="n">
        <v>65726.36</v>
      </c>
      <c r="L300" s="10" t="n">
        <v>0</v>
      </c>
      <c r="M300" s="10">
        <f>IF(OR(N300="已登记",LEFT(N300,2)="按状"),0,K300-L300)</f>
        <v/>
      </c>
      <c r="N300" s="2" t="inlineStr">
        <is>
          <t>未开始(前一环节未完成)</t>
        </is>
      </c>
      <c r="O300" s="2" t="n"/>
      <c r="P300" s="2" t="n"/>
    </row>
    <row r="301">
      <c r="A301" s="2" t="n">
        <v>89</v>
      </c>
      <c r="B301" s="8" t="n">
        <v>46283</v>
      </c>
      <c r="C301" s="2" t="inlineStr">
        <is>
          <t>苏DBB772</t>
        </is>
      </c>
      <c r="D301" s="2" t="inlineStr">
        <is>
          <t>带票带货</t>
        </is>
      </c>
      <c r="E301" s="2" t="inlineStr">
        <is>
          <t>供货厂自带票（带票带货）</t>
        </is>
      </c>
      <c r="F301" s="2" t="inlineStr">
        <is>
          <t>君盛</t>
        </is>
      </c>
      <c r="G301" s="2" t="inlineStr">
        <is>
          <t>开票</t>
        </is>
      </c>
      <c r="H301" s="2" t="inlineStr">
        <is>
          <t>销项→欧冶</t>
        </is>
      </c>
      <c r="I301" s="2" t="inlineStr">
        <is>
          <t>君盛</t>
        </is>
      </c>
      <c r="J301" s="2" t="inlineStr">
        <is>
          <t>欧冶物宝</t>
        </is>
      </c>
      <c r="K301" s="10" t="n">
        <v>200724.78</v>
      </c>
      <c r="L301" s="10" t="n">
        <v>0</v>
      </c>
      <c r="M301" s="10">
        <f>IF(OR(N301="已登记",LEFT(N301,2)="按状"),0,K301-L301)</f>
        <v/>
      </c>
      <c r="N301" s="2" t="inlineStr">
        <is>
          <t>待登记</t>
        </is>
      </c>
      <c r="O301" s="2" t="n">
        <v>3</v>
      </c>
      <c r="P301" s="2" t="n"/>
    </row>
    <row r="302">
      <c r="A302" s="2" t="n">
        <v>89</v>
      </c>
      <c r="B302" s="8" t="n">
        <v>46283</v>
      </c>
      <c r="C302" s="2" t="inlineStr">
        <is>
          <t>苏DBB772</t>
        </is>
      </c>
      <c r="D302" s="2" t="inlineStr">
        <is>
          <t>带票带货</t>
        </is>
      </c>
      <c r="E302" s="2" t="inlineStr">
        <is>
          <t>供货厂自带票（带票带货）</t>
        </is>
      </c>
      <c r="F302" s="2" t="inlineStr">
        <is>
          <t>君盛</t>
        </is>
      </c>
      <c r="G302" s="2" t="inlineStr">
        <is>
          <t>回款</t>
        </is>
      </c>
      <c r="H302" s="2" t="inlineStr">
        <is>
          <t>欧冶回款</t>
        </is>
      </c>
      <c r="I302" s="2" t="inlineStr">
        <is>
          <t>欧冶物宝</t>
        </is>
      </c>
      <c r="J302" s="2" t="inlineStr">
        <is>
          <t>君盛</t>
        </is>
      </c>
      <c r="K302" s="10" t="n">
        <v>200724.78</v>
      </c>
      <c r="L302" s="10" t="n">
        <v>0</v>
      </c>
      <c r="M302" s="10">
        <f>IF(OR(N302="已登记",LEFT(N302,2)="按状"),0,K302-L302)</f>
        <v/>
      </c>
      <c r="N302" s="2" t="inlineStr">
        <is>
          <t>未开始(前一环节未完成)</t>
        </is>
      </c>
      <c r="O302" s="2" t="n"/>
      <c r="P302" s="2" t="n"/>
    </row>
    <row r="303">
      <c r="A303" s="2" t="n">
        <v>90</v>
      </c>
      <c r="B303" s="8" t="n">
        <v>46283</v>
      </c>
      <c r="C303" s="2" t="inlineStr">
        <is>
          <t>苏NEN536</t>
        </is>
      </c>
      <c r="D303" s="2" t="inlineStr">
        <is>
          <t>配票/反向</t>
        </is>
      </c>
      <c r="E303" s="2" t="inlineStr">
        <is>
          <t>我们配票（经俊兴）</t>
        </is>
      </c>
      <c r="F303" s="2" t="inlineStr">
        <is>
          <t>林凯车队</t>
        </is>
      </c>
      <c r="G303" s="2" t="inlineStr">
        <is>
          <t>开票</t>
        </is>
      </c>
      <c r="H303" s="2" t="inlineStr">
        <is>
          <t>进项</t>
        </is>
      </c>
      <c r="I303" s="2" t="inlineStr">
        <is>
          <t>煌烽</t>
        </is>
      </c>
      <c r="J303" s="2" t="inlineStr">
        <is>
          <t>俊兴</t>
        </is>
      </c>
      <c r="K303" s="10" t="n">
        <v>78484.14</v>
      </c>
      <c r="L303" s="10" t="n">
        <v>0</v>
      </c>
      <c r="M303" s="10">
        <f>IF(OR(N303="已登记",LEFT(N303,2)="按状"),0,K303-L303)</f>
        <v/>
      </c>
      <c r="N303" s="2" t="inlineStr">
        <is>
          <t>待登记</t>
        </is>
      </c>
      <c r="O303" s="2" t="n">
        <v>3</v>
      </c>
      <c r="P303" s="2" t="n"/>
    </row>
    <row r="304">
      <c r="A304" s="2" t="n">
        <v>90</v>
      </c>
      <c r="B304" s="8" t="n">
        <v>46283</v>
      </c>
      <c r="C304" s="2" t="inlineStr">
        <is>
          <t>苏NEN536</t>
        </is>
      </c>
      <c r="D304" s="2" t="inlineStr">
        <is>
          <t>配票/反向</t>
        </is>
      </c>
      <c r="E304" s="2" t="inlineStr">
        <is>
          <t>我们配票（经俊兴）</t>
        </is>
      </c>
      <c r="F304" s="2" t="inlineStr">
        <is>
          <t>林凯车队</t>
        </is>
      </c>
      <c r="G304" s="2" t="inlineStr">
        <is>
          <t>开票</t>
        </is>
      </c>
      <c r="H304" s="2" t="inlineStr">
        <is>
          <t>销项→欧冶</t>
        </is>
      </c>
      <c r="I304" s="2" t="inlineStr">
        <is>
          <t>俊兴</t>
        </is>
      </c>
      <c r="J304" s="2" t="inlineStr">
        <is>
          <t>欧冶物宝</t>
        </is>
      </c>
      <c r="K304" s="10" t="n">
        <v>78484.14</v>
      </c>
      <c r="L304" s="10" t="n">
        <v>0</v>
      </c>
      <c r="M304" s="10">
        <f>IF(OR(N304="已登记",LEFT(N304,2)="按状"),0,K304-L304)</f>
        <v/>
      </c>
      <c r="N304" s="2" t="inlineStr">
        <is>
          <t>待登记</t>
        </is>
      </c>
      <c r="O304" s="2" t="n">
        <v>3</v>
      </c>
      <c r="P304" s="2" t="n"/>
    </row>
    <row r="305">
      <c r="A305" s="2" t="n">
        <v>90</v>
      </c>
      <c r="B305" s="8" t="n">
        <v>46283</v>
      </c>
      <c r="C305" s="2" t="inlineStr">
        <is>
          <t>苏NEN536</t>
        </is>
      </c>
      <c r="D305" s="2" t="inlineStr">
        <is>
          <t>配票/反向</t>
        </is>
      </c>
      <c r="E305" s="2" t="inlineStr">
        <is>
          <t>我们配票（经俊兴）</t>
        </is>
      </c>
      <c r="F305" s="2" t="inlineStr">
        <is>
          <t>林凯车队</t>
        </is>
      </c>
      <c r="G305" s="2" t="inlineStr">
        <is>
          <t>回款</t>
        </is>
      </c>
      <c r="H305" s="2" t="inlineStr">
        <is>
          <t>欧冶回款</t>
        </is>
      </c>
      <c r="I305" s="2" t="inlineStr">
        <is>
          <t>欧冶物宝</t>
        </is>
      </c>
      <c r="J305" s="2" t="inlineStr">
        <is>
          <t>俊兴</t>
        </is>
      </c>
      <c r="K305" s="10" t="n">
        <v>78484.14</v>
      </c>
      <c r="L305" s="10" t="n">
        <v>0</v>
      </c>
      <c r="M305" s="10">
        <f>IF(OR(N305="已登记",LEFT(N305,2)="按状"),0,K305-L305)</f>
        <v/>
      </c>
      <c r="N305" s="2" t="inlineStr">
        <is>
          <t>未开始(前一环节未完成)</t>
        </is>
      </c>
      <c r="O305" s="2" t="n"/>
      <c r="P305" s="2" t="n"/>
    </row>
    <row r="306">
      <c r="A306" s="2" t="n">
        <v>90</v>
      </c>
      <c r="B306" s="8" t="n">
        <v>46283</v>
      </c>
      <c r="C306" s="2" t="inlineStr">
        <is>
          <t>苏NEN536</t>
        </is>
      </c>
      <c r="D306" s="2" t="inlineStr">
        <is>
          <t>配票/反向</t>
        </is>
      </c>
      <c r="E306" s="2" t="inlineStr">
        <is>
          <t>我们配票（经俊兴）</t>
        </is>
      </c>
      <c r="F306" s="2" t="inlineStr">
        <is>
          <t>林凯车队</t>
        </is>
      </c>
      <c r="G306" s="2" t="inlineStr">
        <is>
          <t>回款</t>
        </is>
      </c>
      <c r="H306" s="2" t="inlineStr">
        <is>
          <t>付票源</t>
        </is>
      </c>
      <c r="I306" s="2" t="inlineStr">
        <is>
          <t>俊兴</t>
        </is>
      </c>
      <c r="J306" s="2" t="inlineStr">
        <is>
          <t>煌烽</t>
        </is>
      </c>
      <c r="K306" s="10" t="n">
        <v>78484.14</v>
      </c>
      <c r="L306" s="10" t="n">
        <v>0</v>
      </c>
      <c r="M306" s="10">
        <f>IF(OR(N306="已登记",LEFT(N306,2)="按状"),0,K306-L306)</f>
        <v/>
      </c>
      <c r="N306" s="2" t="inlineStr">
        <is>
          <t>未开始(前一环节未完成)</t>
        </is>
      </c>
      <c r="O306" s="2" t="n"/>
      <c r="P306" s="2" t="n"/>
    </row>
    <row r="307">
      <c r="A307" s="2" t="n">
        <v>90</v>
      </c>
      <c r="B307" s="8" t="n">
        <v>46283</v>
      </c>
      <c r="C307" s="2" t="inlineStr">
        <is>
          <t>苏NEN536</t>
        </is>
      </c>
      <c r="D307" s="2" t="inlineStr">
        <is>
          <t>配票/反向</t>
        </is>
      </c>
      <c r="E307" s="2" t="inlineStr">
        <is>
          <t>我们配票（经俊兴）</t>
        </is>
      </c>
      <c r="F307" s="2" t="inlineStr">
        <is>
          <t>林凯车队</t>
        </is>
      </c>
      <c r="G307" s="2" t="inlineStr">
        <is>
          <t>回款</t>
        </is>
      </c>
      <c r="H307" s="2" t="inlineStr">
        <is>
          <t>到客户账户</t>
        </is>
      </c>
      <c r="I307" s="2" t="inlineStr">
        <is>
          <t>煌烽</t>
        </is>
      </c>
      <c r="J307" s="2" t="inlineStr">
        <is>
          <t>林凯车队·客户账户</t>
        </is>
      </c>
      <c r="K307" s="10" t="n">
        <v>78484.14</v>
      </c>
      <c r="L307" s="10" t="n">
        <v>0</v>
      </c>
      <c r="M307" s="10">
        <f>IF(OR(N307="已登记",LEFT(N307,2)="按状"),0,K307-L307)</f>
        <v/>
      </c>
      <c r="N307" s="2" t="inlineStr">
        <is>
          <t>未开始(前一环节未完成)</t>
        </is>
      </c>
      <c r="O307" s="2" t="n"/>
      <c r="P307" s="2" t="n"/>
    </row>
    <row r="308">
      <c r="A308" s="2" t="n">
        <v>91</v>
      </c>
      <c r="B308" s="8" t="n">
        <v>46283</v>
      </c>
      <c r="C308" s="2" t="inlineStr">
        <is>
          <t>苏DBE075</t>
        </is>
      </c>
      <c r="D308" s="2" t="inlineStr">
        <is>
          <t>带票带货</t>
        </is>
      </c>
      <c r="E308" s="2" t="inlineStr">
        <is>
          <t>供货厂自带票（带票带货）</t>
        </is>
      </c>
      <c r="F308" s="2" t="inlineStr">
        <is>
          <t>君盛</t>
        </is>
      </c>
      <c r="G308" s="2" t="inlineStr">
        <is>
          <t>开票</t>
        </is>
      </c>
      <c r="H308" s="2" t="inlineStr">
        <is>
          <t>销项→欧冶</t>
        </is>
      </c>
      <c r="I308" s="2" t="inlineStr">
        <is>
          <t>君盛</t>
        </is>
      </c>
      <c r="J308" s="2" t="inlineStr">
        <is>
          <t>欧冶物宝</t>
        </is>
      </c>
      <c r="K308" s="10" t="n">
        <v>70010.88</v>
      </c>
      <c r="L308" s="10" t="n">
        <v>0</v>
      </c>
      <c r="M308" s="10">
        <f>IF(OR(N308="已登记",LEFT(N308,2)="按状"),0,K308-L308)</f>
        <v/>
      </c>
      <c r="N308" s="2" t="inlineStr">
        <is>
          <t>待登记</t>
        </is>
      </c>
      <c r="O308" s="2" t="n">
        <v>3</v>
      </c>
      <c r="P308" s="2" t="n"/>
    </row>
    <row r="309">
      <c r="A309" s="2" t="n">
        <v>91</v>
      </c>
      <c r="B309" s="8" t="n">
        <v>46283</v>
      </c>
      <c r="C309" s="2" t="inlineStr">
        <is>
          <t>苏DBE075</t>
        </is>
      </c>
      <c r="D309" s="2" t="inlineStr">
        <is>
          <t>带票带货</t>
        </is>
      </c>
      <c r="E309" s="2" t="inlineStr">
        <is>
          <t>供货厂自带票（带票带货）</t>
        </is>
      </c>
      <c r="F309" s="2" t="inlineStr">
        <is>
          <t>君盛</t>
        </is>
      </c>
      <c r="G309" s="2" t="inlineStr">
        <is>
          <t>回款</t>
        </is>
      </c>
      <c r="H309" s="2" t="inlineStr">
        <is>
          <t>欧冶回款</t>
        </is>
      </c>
      <c r="I309" s="2" t="inlineStr">
        <is>
          <t>欧冶物宝</t>
        </is>
      </c>
      <c r="J309" s="2" t="inlineStr">
        <is>
          <t>君盛</t>
        </is>
      </c>
      <c r="K309" s="10" t="n">
        <v>70010.88</v>
      </c>
      <c r="L309" s="10" t="n">
        <v>0</v>
      </c>
      <c r="M309" s="10">
        <f>IF(OR(N309="已登记",LEFT(N309,2)="按状"),0,K309-L309)</f>
        <v/>
      </c>
      <c r="N309" s="2" t="inlineStr">
        <is>
          <t>未开始(前一环节未完成)</t>
        </is>
      </c>
      <c r="O309" s="2" t="n"/>
      <c r="P309" s="2" t="n"/>
    </row>
    <row r="310">
      <c r="A310" s="2" t="n">
        <v>92</v>
      </c>
      <c r="B310" s="8" t="n">
        <v>46283</v>
      </c>
      <c r="C310" s="2" t="inlineStr">
        <is>
          <t>苏DBB772</t>
        </is>
      </c>
      <c r="D310" s="2" t="inlineStr">
        <is>
          <t>带票带货</t>
        </is>
      </c>
      <c r="E310" s="2" t="inlineStr">
        <is>
          <t>供货厂自带票（带票带货）</t>
        </is>
      </c>
      <c r="F310" s="2" t="inlineStr">
        <is>
          <t>君盛</t>
        </is>
      </c>
      <c r="G310" s="2" t="inlineStr">
        <is>
          <t>开票</t>
        </is>
      </c>
      <c r="H310" s="2" t="inlineStr">
        <is>
          <t>销项→欧冶</t>
        </is>
      </c>
      <c r="I310" s="2" t="inlineStr">
        <is>
          <t>君盛</t>
        </is>
      </c>
      <c r="J310" s="2" t="inlineStr">
        <is>
          <t>欧冶物宝</t>
        </is>
      </c>
      <c r="K310" s="10" t="n">
        <v>71378.28</v>
      </c>
      <c r="L310" s="10" t="n">
        <v>0</v>
      </c>
      <c r="M310" s="10">
        <f>IF(OR(N310="已登记",LEFT(N310,2)="按状"),0,K310-L310)</f>
        <v/>
      </c>
      <c r="N310" s="2" t="inlineStr">
        <is>
          <t>待登记</t>
        </is>
      </c>
      <c r="O310" s="2" t="n">
        <v>3</v>
      </c>
      <c r="P310" s="2" t="n"/>
    </row>
    <row r="311">
      <c r="A311" s="2" t="n">
        <v>92</v>
      </c>
      <c r="B311" s="8" t="n">
        <v>46283</v>
      </c>
      <c r="C311" s="2" t="inlineStr">
        <is>
          <t>苏DBB772</t>
        </is>
      </c>
      <c r="D311" s="2" t="inlineStr">
        <is>
          <t>带票带货</t>
        </is>
      </c>
      <c r="E311" s="2" t="inlineStr">
        <is>
          <t>供货厂自带票（带票带货）</t>
        </is>
      </c>
      <c r="F311" s="2" t="inlineStr">
        <is>
          <t>君盛</t>
        </is>
      </c>
      <c r="G311" s="2" t="inlineStr">
        <is>
          <t>回款</t>
        </is>
      </c>
      <c r="H311" s="2" t="inlineStr">
        <is>
          <t>欧冶回款</t>
        </is>
      </c>
      <c r="I311" s="2" t="inlineStr">
        <is>
          <t>欧冶物宝</t>
        </is>
      </c>
      <c r="J311" s="2" t="inlineStr">
        <is>
          <t>君盛</t>
        </is>
      </c>
      <c r="K311" s="10" t="n">
        <v>71378.28</v>
      </c>
      <c r="L311" s="10" t="n">
        <v>0</v>
      </c>
      <c r="M311" s="10">
        <f>IF(OR(N311="已登记",LEFT(N311,2)="按状"),0,K311-L311)</f>
        <v/>
      </c>
      <c r="N311" s="2" t="inlineStr">
        <is>
          <t>未开始(前一环节未完成)</t>
        </is>
      </c>
      <c r="O311" s="2" t="n"/>
      <c r="P311" s="2" t="n"/>
    </row>
    <row r="312">
      <c r="A312" s="2" t="n">
        <v>93</v>
      </c>
      <c r="B312" s="8" t="n">
        <v>46283</v>
      </c>
      <c r="C312" s="2" t="inlineStr">
        <is>
          <t>苏通源货6666</t>
        </is>
      </c>
      <c r="D312" s="2" t="inlineStr">
        <is>
          <t>配票/反向</t>
        </is>
      </c>
      <c r="E312" s="2" t="inlineStr">
        <is>
          <t>票商/反向 → 供货厂 → 欧冶</t>
        </is>
      </c>
      <c r="F312" s="2" t="inlineStr">
        <is>
          <t>尹鹏飞</t>
        </is>
      </c>
      <c r="G312" s="2" t="inlineStr">
        <is>
          <t>开票</t>
        </is>
      </c>
      <c r="H312" s="2" t="inlineStr">
        <is>
          <t>进项</t>
        </is>
      </c>
      <c r="I312" s="2" t="inlineStr">
        <is>
          <t>反向-尹鹏飞</t>
        </is>
      </c>
      <c r="J312" s="2" t="inlineStr">
        <is>
          <t>尹鹏飞</t>
        </is>
      </c>
      <c r="K312" s="10" t="n">
        <v>1563945.84</v>
      </c>
      <c r="L312" s="10" t="n">
        <v>0</v>
      </c>
      <c r="M312" s="10">
        <f>IF(OR(N312="已登记",LEFT(N312,2)="按状"),0,K312-L312)</f>
        <v/>
      </c>
      <c r="N312" s="2" t="inlineStr">
        <is>
          <t>待登记</t>
        </is>
      </c>
      <c r="O312" s="2" t="n">
        <v>3</v>
      </c>
      <c r="P312" s="2" t="n"/>
    </row>
    <row r="313">
      <c r="A313" s="2" t="n">
        <v>93</v>
      </c>
      <c r="B313" s="8" t="n">
        <v>46283</v>
      </c>
      <c r="C313" s="2" t="inlineStr">
        <is>
          <t>苏通源货6666</t>
        </is>
      </c>
      <c r="D313" s="2" t="inlineStr">
        <is>
          <t>配票/反向</t>
        </is>
      </c>
      <c r="E313" s="2" t="inlineStr">
        <is>
          <t>票商/反向 → 供货厂 → 欧冶</t>
        </is>
      </c>
      <c r="F313" s="2" t="inlineStr">
        <is>
          <t>尹鹏飞</t>
        </is>
      </c>
      <c r="G313" s="2" t="inlineStr">
        <is>
          <t>开票</t>
        </is>
      </c>
      <c r="H313" s="2" t="inlineStr">
        <is>
          <t>销项→欧冶</t>
        </is>
      </c>
      <c r="I313" s="2" t="inlineStr">
        <is>
          <t>尹鹏飞</t>
        </is>
      </c>
      <c r="J313" s="2" t="inlineStr">
        <is>
          <t>欧冶物宝</t>
        </is>
      </c>
      <c r="K313" s="10" t="n">
        <v>1563945.84</v>
      </c>
      <c r="L313" s="10" t="n">
        <v>0</v>
      </c>
      <c r="M313" s="10">
        <f>IF(OR(N313="已登记",LEFT(N313,2)="按状"),0,K313-L313)</f>
        <v/>
      </c>
      <c r="N313" s="2" t="inlineStr">
        <is>
          <t>待登记</t>
        </is>
      </c>
      <c r="O313" s="2" t="n">
        <v>3</v>
      </c>
      <c r="P313" s="2" t="n"/>
    </row>
    <row r="314">
      <c r="A314" s="2" t="n">
        <v>93</v>
      </c>
      <c r="B314" s="8" t="n">
        <v>46283</v>
      </c>
      <c r="C314" s="2" t="inlineStr">
        <is>
          <t>苏通源货6666</t>
        </is>
      </c>
      <c r="D314" s="2" t="inlineStr">
        <is>
          <t>配票/反向</t>
        </is>
      </c>
      <c r="E314" s="2" t="inlineStr">
        <is>
          <t>票商/反向 → 供货厂 → 欧冶</t>
        </is>
      </c>
      <c r="F314" s="2" t="inlineStr">
        <is>
          <t>尹鹏飞</t>
        </is>
      </c>
      <c r="G314" s="2" t="inlineStr">
        <is>
          <t>回款</t>
        </is>
      </c>
      <c r="H314" s="2" t="inlineStr">
        <is>
          <t>欧冶回款</t>
        </is>
      </c>
      <c r="I314" s="2" t="inlineStr">
        <is>
          <t>欧冶物宝</t>
        </is>
      </c>
      <c r="J314" s="2" t="inlineStr">
        <is>
          <t>尹鹏飞</t>
        </is>
      </c>
      <c r="K314" s="10" t="n">
        <v>1563945.84</v>
      </c>
      <c r="L314" s="10" t="n">
        <v>0</v>
      </c>
      <c r="M314" s="10">
        <f>IF(OR(N314="已登记",LEFT(N314,2)="按状"),0,K314-L314)</f>
        <v/>
      </c>
      <c r="N314" s="2" t="inlineStr">
        <is>
          <t>未开始(前一环节未完成)</t>
        </is>
      </c>
      <c r="O314" s="2" t="n"/>
      <c r="P314" s="2" t="n"/>
    </row>
    <row r="315">
      <c r="A315" s="2" t="n">
        <v>93</v>
      </c>
      <c r="B315" s="8" t="n">
        <v>46283</v>
      </c>
      <c r="C315" s="2" t="inlineStr">
        <is>
          <t>苏通源货6666</t>
        </is>
      </c>
      <c r="D315" s="2" t="inlineStr">
        <is>
          <t>配票/反向</t>
        </is>
      </c>
      <c r="E315" s="2" t="inlineStr">
        <is>
          <t>票商/反向 → 供货厂 → 欧冶</t>
        </is>
      </c>
      <c r="F315" s="2" t="inlineStr">
        <is>
          <t>尹鹏飞</t>
        </is>
      </c>
      <c r="G315" s="2" t="inlineStr">
        <is>
          <t>回款</t>
        </is>
      </c>
      <c r="H315" s="2" t="inlineStr">
        <is>
          <t>付票源</t>
        </is>
      </c>
      <c r="I315" s="2" t="inlineStr">
        <is>
          <t>尹鹏飞</t>
        </is>
      </c>
      <c r="J315" s="2" t="inlineStr">
        <is>
          <t>反向-尹鹏飞</t>
        </is>
      </c>
      <c r="K315" s="10" t="n">
        <v>1563945.84</v>
      </c>
      <c r="L315" s="10" t="n">
        <v>0</v>
      </c>
      <c r="M315" s="10">
        <f>IF(OR(N315="已登记",LEFT(N315,2)="按状"),0,K315-L315)</f>
        <v/>
      </c>
      <c r="N315" s="2" t="inlineStr">
        <is>
          <t>未开始(前一环节未完成)</t>
        </is>
      </c>
      <c r="O315" s="2" t="n"/>
      <c r="P315" s="2" t="n"/>
    </row>
    <row r="316">
      <c r="A316" s="2" t="n">
        <v>94</v>
      </c>
      <c r="B316" s="8" t="n">
        <v>46284</v>
      </c>
      <c r="C316" s="2" t="inlineStr">
        <is>
          <t>皖AP7737</t>
        </is>
      </c>
      <c r="D316" s="2" t="inlineStr">
        <is>
          <t>配票/反向</t>
        </is>
      </c>
      <c r="E316" s="2" t="inlineStr">
        <is>
          <t>票商/反向 → 供货厂 → 欧冶</t>
        </is>
      </c>
      <c r="F316" s="2" t="inlineStr">
        <is>
          <t>闫东朋车队</t>
        </is>
      </c>
      <c r="G316" s="2" t="inlineStr">
        <is>
          <t>开票</t>
        </is>
      </c>
      <c r="H316" s="2" t="inlineStr">
        <is>
          <t>进项</t>
        </is>
      </c>
      <c r="I316" s="2" t="inlineStr">
        <is>
          <t>反向-闫东朋</t>
        </is>
      </c>
      <c r="J316" s="2" t="inlineStr">
        <is>
          <t>闫东朋车队</t>
        </is>
      </c>
      <c r="K316" s="10" t="n">
        <v>75852.2</v>
      </c>
      <c r="L316" s="10" t="n">
        <v>0</v>
      </c>
      <c r="M316" s="10">
        <f>IF(OR(N316="已登记",LEFT(N316,2)="按状"),0,K316-L316)</f>
        <v/>
      </c>
      <c r="N316" s="2" t="inlineStr">
        <is>
          <t>待登记</t>
        </is>
      </c>
      <c r="O316" s="2" t="n">
        <v>2</v>
      </c>
      <c r="P316" s="2" t="n"/>
    </row>
    <row r="317">
      <c r="A317" s="2" t="n">
        <v>94</v>
      </c>
      <c r="B317" s="8" t="n">
        <v>46284</v>
      </c>
      <c r="C317" s="2" t="inlineStr">
        <is>
          <t>皖AP7737</t>
        </is>
      </c>
      <c r="D317" s="2" t="inlineStr">
        <is>
          <t>配票/反向</t>
        </is>
      </c>
      <c r="E317" s="2" t="inlineStr">
        <is>
          <t>票商/反向 → 供货厂 → 欧冶</t>
        </is>
      </c>
      <c r="F317" s="2" t="inlineStr">
        <is>
          <t>闫东朋车队</t>
        </is>
      </c>
      <c r="G317" s="2" t="inlineStr">
        <is>
          <t>开票</t>
        </is>
      </c>
      <c r="H317" s="2" t="inlineStr">
        <is>
          <t>销项→欧冶</t>
        </is>
      </c>
      <c r="I317" s="2" t="inlineStr">
        <is>
          <t>闫东朋车队</t>
        </is>
      </c>
      <c r="J317" s="2" t="inlineStr">
        <is>
          <t>欧冶物宝</t>
        </is>
      </c>
      <c r="K317" s="10" t="n">
        <v>75852.2</v>
      </c>
      <c r="L317" s="10" t="n">
        <v>0</v>
      </c>
      <c r="M317" s="10">
        <f>IF(OR(N317="已登记",LEFT(N317,2)="按状"),0,K317-L317)</f>
        <v/>
      </c>
      <c r="N317" s="2" t="inlineStr">
        <is>
          <t>待登记</t>
        </is>
      </c>
      <c r="O317" s="2" t="n">
        <v>2</v>
      </c>
      <c r="P317" s="2" t="n"/>
    </row>
    <row r="318">
      <c r="A318" s="2" t="n">
        <v>94</v>
      </c>
      <c r="B318" s="8" t="n">
        <v>46284</v>
      </c>
      <c r="C318" s="2" t="inlineStr">
        <is>
          <t>皖AP7737</t>
        </is>
      </c>
      <c r="D318" s="2" t="inlineStr">
        <is>
          <t>配票/反向</t>
        </is>
      </c>
      <c r="E318" s="2" t="inlineStr">
        <is>
          <t>票商/反向 → 供货厂 → 欧冶</t>
        </is>
      </c>
      <c r="F318" s="2" t="inlineStr">
        <is>
          <t>闫东朋车队</t>
        </is>
      </c>
      <c r="G318" s="2" t="inlineStr">
        <is>
          <t>回款</t>
        </is>
      </c>
      <c r="H318" s="2" t="inlineStr">
        <is>
          <t>欧冶回款</t>
        </is>
      </c>
      <c r="I318" s="2" t="inlineStr">
        <is>
          <t>欧冶物宝</t>
        </is>
      </c>
      <c r="J318" s="2" t="inlineStr">
        <is>
          <t>闫东朋车队</t>
        </is>
      </c>
      <c r="K318" s="10" t="n">
        <v>75852.2</v>
      </c>
      <c r="L318" s="10" t="n">
        <v>0</v>
      </c>
      <c r="M318" s="10">
        <f>IF(OR(N318="已登记",LEFT(N318,2)="按状"),0,K318-L318)</f>
        <v/>
      </c>
      <c r="N318" s="2" t="inlineStr">
        <is>
          <t>未开始(前一环节未完成)</t>
        </is>
      </c>
      <c r="O318" s="2" t="n"/>
      <c r="P318" s="2" t="n"/>
    </row>
    <row r="319">
      <c r="A319" s="2" t="n">
        <v>94</v>
      </c>
      <c r="B319" s="8" t="n">
        <v>46284</v>
      </c>
      <c r="C319" s="2" t="inlineStr">
        <is>
          <t>皖AP7737</t>
        </is>
      </c>
      <c r="D319" s="2" t="inlineStr">
        <is>
          <t>配票/反向</t>
        </is>
      </c>
      <c r="E319" s="2" t="inlineStr">
        <is>
          <t>票商/反向 → 供货厂 → 欧冶</t>
        </is>
      </c>
      <c r="F319" s="2" t="inlineStr">
        <is>
          <t>闫东朋车队</t>
        </is>
      </c>
      <c r="G319" s="2" t="inlineStr">
        <is>
          <t>回款</t>
        </is>
      </c>
      <c r="H319" s="2" t="inlineStr">
        <is>
          <t>付票源</t>
        </is>
      </c>
      <c r="I319" s="2" t="inlineStr">
        <is>
          <t>闫东朋车队</t>
        </is>
      </c>
      <c r="J319" s="2" t="inlineStr">
        <is>
          <t>反向-闫东朋</t>
        </is>
      </c>
      <c r="K319" s="10" t="n">
        <v>75852.2</v>
      </c>
      <c r="L319" s="10" t="n">
        <v>0</v>
      </c>
      <c r="M319" s="10">
        <f>IF(OR(N319="已登记",LEFT(N319,2)="按状"),0,K319-L319)</f>
        <v/>
      </c>
      <c r="N319" s="2" t="inlineStr">
        <is>
          <t>未开始(前一环节未完成)</t>
        </is>
      </c>
      <c r="O319" s="2" t="n"/>
      <c r="P319" s="2" t="n"/>
    </row>
    <row r="320">
      <c r="A320" s="2" t="n">
        <v>95</v>
      </c>
      <c r="B320" s="8" t="n">
        <v>46284</v>
      </c>
      <c r="C320" s="2" t="inlineStr">
        <is>
          <t>苏GE2356</t>
        </is>
      </c>
      <c r="D320" s="2" t="inlineStr">
        <is>
          <t>配票/反向</t>
        </is>
      </c>
      <c r="E320" s="2" t="inlineStr">
        <is>
          <t>我们配票（经俊兴）</t>
        </is>
      </c>
      <c r="F320" s="2" t="inlineStr">
        <is>
          <t>林凯车队</t>
        </is>
      </c>
      <c r="G320" s="2" t="inlineStr">
        <is>
          <t>开票</t>
        </is>
      </c>
      <c r="H320" s="2" t="inlineStr">
        <is>
          <t>进项</t>
        </is>
      </c>
      <c r="I320" s="2" t="inlineStr">
        <is>
          <t>煌烽</t>
        </is>
      </c>
      <c r="J320" s="2" t="inlineStr">
        <is>
          <t>俊兴</t>
        </is>
      </c>
      <c r="K320" s="10" t="n">
        <v>78015.02</v>
      </c>
      <c r="L320" s="10" t="n">
        <v>0</v>
      </c>
      <c r="M320" s="10">
        <f>IF(OR(N320="已登记",LEFT(N320,2)="按状"),0,K320-L320)</f>
        <v/>
      </c>
      <c r="N320" s="2" t="inlineStr">
        <is>
          <t>待登记</t>
        </is>
      </c>
      <c r="O320" s="2" t="n">
        <v>2</v>
      </c>
      <c r="P320" s="2" t="n"/>
    </row>
    <row r="321">
      <c r="A321" s="2" t="n">
        <v>95</v>
      </c>
      <c r="B321" s="8" t="n">
        <v>46284</v>
      </c>
      <c r="C321" s="2" t="inlineStr">
        <is>
          <t>苏GE2356</t>
        </is>
      </c>
      <c r="D321" s="2" t="inlineStr">
        <is>
          <t>配票/反向</t>
        </is>
      </c>
      <c r="E321" s="2" t="inlineStr">
        <is>
          <t>我们配票（经俊兴）</t>
        </is>
      </c>
      <c r="F321" s="2" t="inlineStr">
        <is>
          <t>林凯车队</t>
        </is>
      </c>
      <c r="G321" s="2" t="inlineStr">
        <is>
          <t>开票</t>
        </is>
      </c>
      <c r="H321" s="2" t="inlineStr">
        <is>
          <t>销项→欧冶</t>
        </is>
      </c>
      <c r="I321" s="2" t="inlineStr">
        <is>
          <t>俊兴</t>
        </is>
      </c>
      <c r="J321" s="2" t="inlineStr">
        <is>
          <t>欧冶物宝</t>
        </is>
      </c>
      <c r="K321" s="10" t="n">
        <v>78015.02</v>
      </c>
      <c r="L321" s="10" t="n">
        <v>0</v>
      </c>
      <c r="M321" s="10">
        <f>IF(OR(N321="已登记",LEFT(N321,2)="按状"),0,K321-L321)</f>
        <v/>
      </c>
      <c r="N321" s="2" t="inlineStr">
        <is>
          <t>待登记</t>
        </is>
      </c>
      <c r="O321" s="2" t="n">
        <v>2</v>
      </c>
      <c r="P321" s="2" t="n"/>
    </row>
    <row r="322">
      <c r="A322" s="2" t="n">
        <v>95</v>
      </c>
      <c r="B322" s="8" t="n">
        <v>46284</v>
      </c>
      <c r="C322" s="2" t="inlineStr">
        <is>
          <t>苏GE2356</t>
        </is>
      </c>
      <c r="D322" s="2" t="inlineStr">
        <is>
          <t>配票/反向</t>
        </is>
      </c>
      <c r="E322" s="2" t="inlineStr">
        <is>
          <t>我们配票（经俊兴）</t>
        </is>
      </c>
      <c r="F322" s="2" t="inlineStr">
        <is>
          <t>林凯车队</t>
        </is>
      </c>
      <c r="G322" s="2" t="inlineStr">
        <is>
          <t>回款</t>
        </is>
      </c>
      <c r="H322" s="2" t="inlineStr">
        <is>
          <t>欧冶回款</t>
        </is>
      </c>
      <c r="I322" s="2" t="inlineStr">
        <is>
          <t>欧冶物宝</t>
        </is>
      </c>
      <c r="J322" s="2" t="inlineStr">
        <is>
          <t>俊兴</t>
        </is>
      </c>
      <c r="K322" s="10" t="n">
        <v>78015.02</v>
      </c>
      <c r="L322" s="10" t="n">
        <v>0</v>
      </c>
      <c r="M322" s="10">
        <f>IF(OR(N322="已登记",LEFT(N322,2)="按状"),0,K322-L322)</f>
        <v/>
      </c>
      <c r="N322" s="2" t="inlineStr">
        <is>
          <t>未开始(前一环节未完成)</t>
        </is>
      </c>
      <c r="O322" s="2" t="n"/>
      <c r="P322" s="2" t="n"/>
    </row>
    <row r="323">
      <c r="A323" s="2" t="n">
        <v>95</v>
      </c>
      <c r="B323" s="8" t="n">
        <v>46284</v>
      </c>
      <c r="C323" s="2" t="inlineStr">
        <is>
          <t>苏GE2356</t>
        </is>
      </c>
      <c r="D323" s="2" t="inlineStr">
        <is>
          <t>配票/反向</t>
        </is>
      </c>
      <c r="E323" s="2" t="inlineStr">
        <is>
          <t>我们配票（经俊兴）</t>
        </is>
      </c>
      <c r="F323" s="2" t="inlineStr">
        <is>
          <t>林凯车队</t>
        </is>
      </c>
      <c r="G323" s="2" t="inlineStr">
        <is>
          <t>回款</t>
        </is>
      </c>
      <c r="H323" s="2" t="inlineStr">
        <is>
          <t>付票源</t>
        </is>
      </c>
      <c r="I323" s="2" t="inlineStr">
        <is>
          <t>俊兴</t>
        </is>
      </c>
      <c r="J323" s="2" t="inlineStr">
        <is>
          <t>煌烽</t>
        </is>
      </c>
      <c r="K323" s="10" t="n">
        <v>78015.02</v>
      </c>
      <c r="L323" s="10" t="n">
        <v>0</v>
      </c>
      <c r="M323" s="10">
        <f>IF(OR(N323="已登记",LEFT(N323,2)="按状"),0,K323-L323)</f>
        <v/>
      </c>
      <c r="N323" s="2" t="inlineStr">
        <is>
          <t>未开始(前一环节未完成)</t>
        </is>
      </c>
      <c r="O323" s="2" t="n"/>
      <c r="P323" s="2" t="n"/>
    </row>
    <row r="324">
      <c r="A324" s="2" t="n">
        <v>95</v>
      </c>
      <c r="B324" s="8" t="n">
        <v>46284</v>
      </c>
      <c r="C324" s="2" t="inlineStr">
        <is>
          <t>苏GE2356</t>
        </is>
      </c>
      <c r="D324" s="2" t="inlineStr">
        <is>
          <t>配票/反向</t>
        </is>
      </c>
      <c r="E324" s="2" t="inlineStr">
        <is>
          <t>我们配票（经俊兴）</t>
        </is>
      </c>
      <c r="F324" s="2" t="inlineStr">
        <is>
          <t>林凯车队</t>
        </is>
      </c>
      <c r="G324" s="2" t="inlineStr">
        <is>
          <t>回款</t>
        </is>
      </c>
      <c r="H324" s="2" t="inlineStr">
        <is>
          <t>到客户账户</t>
        </is>
      </c>
      <c r="I324" s="2" t="inlineStr">
        <is>
          <t>煌烽</t>
        </is>
      </c>
      <c r="J324" s="2" t="inlineStr">
        <is>
          <t>林凯车队·客户账户</t>
        </is>
      </c>
      <c r="K324" s="10" t="n">
        <v>78015.02</v>
      </c>
      <c r="L324" s="10" t="n">
        <v>0</v>
      </c>
      <c r="M324" s="10">
        <f>IF(OR(N324="已登记",LEFT(N324,2)="按状"),0,K324-L324)</f>
        <v/>
      </c>
      <c r="N324" s="2" t="inlineStr">
        <is>
          <t>未开始(前一环节未完成)</t>
        </is>
      </c>
      <c r="O324" s="2" t="n"/>
      <c r="P324" s="2" t="n"/>
    </row>
    <row r="325">
      <c r="A325" s="2" t="n">
        <v>96</v>
      </c>
      <c r="B325" s="8" t="n">
        <v>46284</v>
      </c>
      <c r="C325" s="2" t="inlineStr">
        <is>
          <t>苏NHY179</t>
        </is>
      </c>
      <c r="D325" s="2" t="inlineStr">
        <is>
          <t>配票/反向</t>
        </is>
      </c>
      <c r="E325" s="2" t="inlineStr">
        <is>
          <t>我们配票（经俊兴）</t>
        </is>
      </c>
      <c r="F325" s="2" t="inlineStr">
        <is>
          <t>林凯车队</t>
        </is>
      </c>
      <c r="G325" s="2" t="inlineStr">
        <is>
          <t>开票</t>
        </is>
      </c>
      <c r="H325" s="2" t="inlineStr">
        <is>
          <t>进项</t>
        </is>
      </c>
      <c r="I325" s="2" t="inlineStr">
        <is>
          <t>煌烽</t>
        </is>
      </c>
      <c r="J325" s="2" t="inlineStr">
        <is>
          <t>俊兴</t>
        </is>
      </c>
      <c r="K325" s="10" t="n">
        <v>77838.2</v>
      </c>
      <c r="L325" s="10" t="n">
        <v>0</v>
      </c>
      <c r="M325" s="10">
        <f>IF(OR(N325="已登记",LEFT(N325,2)="按状"),0,K325-L325)</f>
        <v/>
      </c>
      <c r="N325" s="2" t="inlineStr">
        <is>
          <t>待登记</t>
        </is>
      </c>
      <c r="O325" s="2" t="n">
        <v>2</v>
      </c>
      <c r="P325" s="2" t="n"/>
    </row>
    <row r="326">
      <c r="A326" s="2" t="n">
        <v>96</v>
      </c>
      <c r="B326" s="8" t="n">
        <v>46284</v>
      </c>
      <c r="C326" s="2" t="inlineStr">
        <is>
          <t>苏NHY179</t>
        </is>
      </c>
      <c r="D326" s="2" t="inlineStr">
        <is>
          <t>配票/反向</t>
        </is>
      </c>
      <c r="E326" s="2" t="inlineStr">
        <is>
          <t>我们配票（经俊兴）</t>
        </is>
      </c>
      <c r="F326" s="2" t="inlineStr">
        <is>
          <t>林凯车队</t>
        </is>
      </c>
      <c r="G326" s="2" t="inlineStr">
        <is>
          <t>开票</t>
        </is>
      </c>
      <c r="H326" s="2" t="inlineStr">
        <is>
          <t>销项→欧冶</t>
        </is>
      </c>
      <c r="I326" s="2" t="inlineStr">
        <is>
          <t>俊兴</t>
        </is>
      </c>
      <c r="J326" s="2" t="inlineStr">
        <is>
          <t>欧冶物宝</t>
        </is>
      </c>
      <c r="K326" s="10" t="n">
        <v>77838.2</v>
      </c>
      <c r="L326" s="10" t="n">
        <v>0</v>
      </c>
      <c r="M326" s="10">
        <f>IF(OR(N326="已登记",LEFT(N326,2)="按状"),0,K326-L326)</f>
        <v/>
      </c>
      <c r="N326" s="2" t="inlineStr">
        <is>
          <t>待登记</t>
        </is>
      </c>
      <c r="O326" s="2" t="n">
        <v>2</v>
      </c>
      <c r="P326" s="2" t="n"/>
    </row>
    <row r="327">
      <c r="A327" s="2" t="n">
        <v>96</v>
      </c>
      <c r="B327" s="8" t="n">
        <v>46284</v>
      </c>
      <c r="C327" s="2" t="inlineStr">
        <is>
          <t>苏NHY179</t>
        </is>
      </c>
      <c r="D327" s="2" t="inlineStr">
        <is>
          <t>配票/反向</t>
        </is>
      </c>
      <c r="E327" s="2" t="inlineStr">
        <is>
          <t>我们配票（经俊兴）</t>
        </is>
      </c>
      <c r="F327" s="2" t="inlineStr">
        <is>
          <t>林凯车队</t>
        </is>
      </c>
      <c r="G327" s="2" t="inlineStr">
        <is>
          <t>回款</t>
        </is>
      </c>
      <c r="H327" s="2" t="inlineStr">
        <is>
          <t>欧冶回款</t>
        </is>
      </c>
      <c r="I327" s="2" t="inlineStr">
        <is>
          <t>欧冶物宝</t>
        </is>
      </c>
      <c r="J327" s="2" t="inlineStr">
        <is>
          <t>俊兴</t>
        </is>
      </c>
      <c r="K327" s="10" t="n">
        <v>77838.2</v>
      </c>
      <c r="L327" s="10" t="n">
        <v>0</v>
      </c>
      <c r="M327" s="10">
        <f>IF(OR(N327="已登记",LEFT(N327,2)="按状"),0,K327-L327)</f>
        <v/>
      </c>
      <c r="N327" s="2" t="inlineStr">
        <is>
          <t>未开始(前一环节未完成)</t>
        </is>
      </c>
      <c r="O327" s="2" t="n"/>
      <c r="P327" s="2" t="n"/>
    </row>
    <row r="328">
      <c r="A328" s="2" t="n">
        <v>96</v>
      </c>
      <c r="B328" s="8" t="n">
        <v>46284</v>
      </c>
      <c r="C328" s="2" t="inlineStr">
        <is>
          <t>苏NHY179</t>
        </is>
      </c>
      <c r="D328" s="2" t="inlineStr">
        <is>
          <t>配票/反向</t>
        </is>
      </c>
      <c r="E328" s="2" t="inlineStr">
        <is>
          <t>我们配票（经俊兴）</t>
        </is>
      </c>
      <c r="F328" s="2" t="inlineStr">
        <is>
          <t>林凯车队</t>
        </is>
      </c>
      <c r="G328" s="2" t="inlineStr">
        <is>
          <t>回款</t>
        </is>
      </c>
      <c r="H328" s="2" t="inlineStr">
        <is>
          <t>付票源</t>
        </is>
      </c>
      <c r="I328" s="2" t="inlineStr">
        <is>
          <t>俊兴</t>
        </is>
      </c>
      <c r="J328" s="2" t="inlineStr">
        <is>
          <t>煌烽</t>
        </is>
      </c>
      <c r="K328" s="10" t="n">
        <v>77838.2</v>
      </c>
      <c r="L328" s="10" t="n">
        <v>0</v>
      </c>
      <c r="M328" s="10">
        <f>IF(OR(N328="已登记",LEFT(N328,2)="按状"),0,K328-L328)</f>
        <v/>
      </c>
      <c r="N328" s="2" t="inlineStr">
        <is>
          <t>未开始(前一环节未完成)</t>
        </is>
      </c>
      <c r="O328" s="2" t="n"/>
      <c r="P328" s="2" t="n"/>
    </row>
    <row r="329">
      <c r="A329" s="2" t="n">
        <v>96</v>
      </c>
      <c r="B329" s="8" t="n">
        <v>46284</v>
      </c>
      <c r="C329" s="2" t="inlineStr">
        <is>
          <t>苏NHY179</t>
        </is>
      </c>
      <c r="D329" s="2" t="inlineStr">
        <is>
          <t>配票/反向</t>
        </is>
      </c>
      <c r="E329" s="2" t="inlineStr">
        <is>
          <t>我们配票（经俊兴）</t>
        </is>
      </c>
      <c r="F329" s="2" t="inlineStr">
        <is>
          <t>林凯车队</t>
        </is>
      </c>
      <c r="G329" s="2" t="inlineStr">
        <is>
          <t>回款</t>
        </is>
      </c>
      <c r="H329" s="2" t="inlineStr">
        <is>
          <t>到客户账户</t>
        </is>
      </c>
      <c r="I329" s="2" t="inlineStr">
        <is>
          <t>煌烽</t>
        </is>
      </c>
      <c r="J329" s="2" t="inlineStr">
        <is>
          <t>林凯车队·客户账户</t>
        </is>
      </c>
      <c r="K329" s="10" t="n">
        <v>77838.2</v>
      </c>
      <c r="L329" s="10" t="n">
        <v>0</v>
      </c>
      <c r="M329" s="10">
        <f>IF(OR(N329="已登记",LEFT(N329,2)="按状"),0,K329-L329)</f>
        <v/>
      </c>
      <c r="N329" s="2" t="inlineStr">
        <is>
          <t>未开始(前一环节未完成)</t>
        </is>
      </c>
      <c r="O329" s="2" t="n"/>
      <c r="P329" s="2" t="n"/>
    </row>
    <row r="330">
      <c r="A330" s="2" t="n">
        <v>97</v>
      </c>
      <c r="B330" s="8" t="n">
        <v>46284</v>
      </c>
      <c r="C330" s="2" t="inlineStr">
        <is>
          <t>皖SG1498</t>
        </is>
      </c>
      <c r="D330" s="2" t="inlineStr">
        <is>
          <t>带票带货</t>
        </is>
      </c>
      <c r="E330" s="2" t="inlineStr">
        <is>
          <t>供货厂自带票（带票带货）</t>
        </is>
      </c>
      <c r="F330" s="2" t="inlineStr">
        <is>
          <t>兴德</t>
        </is>
      </c>
      <c r="G330" s="2" t="inlineStr">
        <is>
          <t>开票</t>
        </is>
      </c>
      <c r="H330" s="2" t="inlineStr">
        <is>
          <t>销项→欧冶</t>
        </is>
      </c>
      <c r="I330" s="2" t="inlineStr">
        <is>
          <t>兴德</t>
        </is>
      </c>
      <c r="J330" s="2" t="inlineStr">
        <is>
          <t>欧冶物宝</t>
        </is>
      </c>
      <c r="K330" s="10" t="n">
        <v>74759.22</v>
      </c>
      <c r="L330" s="10" t="n">
        <v>0</v>
      </c>
      <c r="M330" s="10">
        <f>IF(OR(N330="已登记",LEFT(N330,2)="按状"),0,K330-L330)</f>
        <v/>
      </c>
      <c r="N330" s="2" t="inlineStr">
        <is>
          <t>待登记</t>
        </is>
      </c>
      <c r="O330" s="2" t="n">
        <v>2</v>
      </c>
      <c r="P330" s="2" t="n"/>
    </row>
    <row r="331">
      <c r="A331" s="2" t="n">
        <v>97</v>
      </c>
      <c r="B331" s="8" t="n">
        <v>46284</v>
      </c>
      <c r="C331" s="2" t="inlineStr">
        <is>
          <t>皖SG1498</t>
        </is>
      </c>
      <c r="D331" s="2" t="inlineStr">
        <is>
          <t>带票带货</t>
        </is>
      </c>
      <c r="E331" s="2" t="inlineStr">
        <is>
          <t>供货厂自带票（带票带货）</t>
        </is>
      </c>
      <c r="F331" s="2" t="inlineStr">
        <is>
          <t>兴德</t>
        </is>
      </c>
      <c r="G331" s="2" t="inlineStr">
        <is>
          <t>回款</t>
        </is>
      </c>
      <c r="H331" s="2" t="inlineStr">
        <is>
          <t>欧冶回款</t>
        </is>
      </c>
      <c r="I331" s="2" t="inlineStr">
        <is>
          <t>欧冶物宝</t>
        </is>
      </c>
      <c r="J331" s="2" t="inlineStr">
        <is>
          <t>兴德</t>
        </is>
      </c>
      <c r="K331" s="10" t="n">
        <v>74759.22</v>
      </c>
      <c r="L331" s="10" t="n">
        <v>0</v>
      </c>
      <c r="M331" s="10">
        <f>IF(OR(N331="已登记",LEFT(N331,2)="按状"),0,K331-L331)</f>
        <v/>
      </c>
      <c r="N331" s="2" t="inlineStr">
        <is>
          <t>未开始(前一环节未完成)</t>
        </is>
      </c>
      <c r="O331" s="2" t="n"/>
      <c r="P331" s="2" t="n"/>
    </row>
    <row r="332">
      <c r="A332" s="2" t="n">
        <v>98</v>
      </c>
      <c r="B332" s="8" t="n">
        <v>46285</v>
      </c>
      <c r="C332" s="2" t="inlineStr">
        <is>
          <t>苏DBB772</t>
        </is>
      </c>
      <c r="D332" s="2" t="inlineStr">
        <is>
          <t>带票带货</t>
        </is>
      </c>
      <c r="E332" s="2" t="inlineStr">
        <is>
          <t>供货厂自带票（带票带货）</t>
        </is>
      </c>
      <c r="F332" s="2" t="inlineStr">
        <is>
          <t>君盛</t>
        </is>
      </c>
      <c r="G332" s="2" t="inlineStr">
        <is>
          <t>开票</t>
        </is>
      </c>
      <c r="H332" s="2" t="inlineStr">
        <is>
          <t>销项→欧冶</t>
        </is>
      </c>
      <c r="I332" s="2" t="inlineStr">
        <is>
          <t>君盛</t>
        </is>
      </c>
      <c r="J332" s="2" t="inlineStr">
        <is>
          <t>欧冶物宝</t>
        </is>
      </c>
      <c r="K332" s="10" t="n">
        <v>73201.48</v>
      </c>
      <c r="L332" s="10" t="n">
        <v>0</v>
      </c>
      <c r="M332" s="10">
        <f>IF(OR(N332="已登记",LEFT(N332,2)="按状"),0,K332-L332)</f>
        <v/>
      </c>
      <c r="N332" s="2" t="inlineStr">
        <is>
          <t>待登记</t>
        </is>
      </c>
      <c r="O332" s="2" t="n">
        <v>1</v>
      </c>
      <c r="P332" s="2" t="n"/>
    </row>
    <row r="333">
      <c r="A333" s="2" t="n">
        <v>98</v>
      </c>
      <c r="B333" s="8" t="n">
        <v>46285</v>
      </c>
      <c r="C333" s="2" t="inlineStr">
        <is>
          <t>苏DBB772</t>
        </is>
      </c>
      <c r="D333" s="2" t="inlineStr">
        <is>
          <t>带票带货</t>
        </is>
      </c>
      <c r="E333" s="2" t="inlineStr">
        <is>
          <t>供货厂自带票（带票带货）</t>
        </is>
      </c>
      <c r="F333" s="2" t="inlineStr">
        <is>
          <t>君盛</t>
        </is>
      </c>
      <c r="G333" s="2" t="inlineStr">
        <is>
          <t>回款</t>
        </is>
      </c>
      <c r="H333" s="2" t="inlineStr">
        <is>
          <t>欧冶回款</t>
        </is>
      </c>
      <c r="I333" s="2" t="inlineStr">
        <is>
          <t>欧冶物宝</t>
        </is>
      </c>
      <c r="J333" s="2" t="inlineStr">
        <is>
          <t>君盛</t>
        </is>
      </c>
      <c r="K333" s="10" t="n">
        <v>73201.48</v>
      </c>
      <c r="L333" s="10" t="n">
        <v>0</v>
      </c>
      <c r="M333" s="10">
        <f>IF(OR(N333="已登记",LEFT(N333,2)="按状"),0,K333-L333)</f>
        <v/>
      </c>
      <c r="N333" s="2" t="inlineStr">
        <is>
          <t>未开始(前一环节未完成)</t>
        </is>
      </c>
      <c r="O333" s="2" t="n"/>
      <c r="P333" s="2" t="n"/>
    </row>
    <row r="334">
      <c r="A334" s="2" t="n">
        <v>99</v>
      </c>
      <c r="B334" s="8" t="n">
        <v>46285</v>
      </c>
      <c r="C334" s="2" t="inlineStr">
        <is>
          <t>苏DBE075</t>
        </is>
      </c>
      <c r="D334" s="2" t="inlineStr">
        <is>
          <t>带票带货</t>
        </is>
      </c>
      <c r="E334" s="2" t="inlineStr">
        <is>
          <t>供货厂自带票（带票带货）</t>
        </is>
      </c>
      <c r="F334" s="2" t="inlineStr">
        <is>
          <t>君盛</t>
        </is>
      </c>
      <c r="G334" s="2" t="inlineStr">
        <is>
          <t>开票</t>
        </is>
      </c>
      <c r="H334" s="2" t="inlineStr">
        <is>
          <t>销项→欧冶</t>
        </is>
      </c>
      <c r="I334" s="2" t="inlineStr">
        <is>
          <t>君盛</t>
        </is>
      </c>
      <c r="J334" s="2" t="inlineStr">
        <is>
          <t>欧冶物宝</t>
        </is>
      </c>
      <c r="K334" s="10" t="n">
        <v>74568.88</v>
      </c>
      <c r="L334" s="10" t="n">
        <v>0</v>
      </c>
      <c r="M334" s="10">
        <f>IF(OR(N334="已登记",LEFT(N334,2)="按状"),0,K334-L334)</f>
        <v/>
      </c>
      <c r="N334" s="2" t="inlineStr">
        <is>
          <t>待登记</t>
        </is>
      </c>
      <c r="O334" s="2" t="n">
        <v>1</v>
      </c>
      <c r="P334" s="2" t="n"/>
    </row>
    <row r="335">
      <c r="A335" s="2" t="n">
        <v>99</v>
      </c>
      <c r="B335" s="8" t="n">
        <v>46285</v>
      </c>
      <c r="C335" s="2" t="inlineStr">
        <is>
          <t>苏DBE075</t>
        </is>
      </c>
      <c r="D335" s="2" t="inlineStr">
        <is>
          <t>带票带货</t>
        </is>
      </c>
      <c r="E335" s="2" t="inlineStr">
        <is>
          <t>供货厂自带票（带票带货）</t>
        </is>
      </c>
      <c r="F335" s="2" t="inlineStr">
        <is>
          <t>君盛</t>
        </is>
      </c>
      <c r="G335" s="2" t="inlineStr">
        <is>
          <t>回款</t>
        </is>
      </c>
      <c r="H335" s="2" t="inlineStr">
        <is>
          <t>欧冶回款</t>
        </is>
      </c>
      <c r="I335" s="2" t="inlineStr">
        <is>
          <t>欧冶物宝</t>
        </is>
      </c>
      <c r="J335" s="2" t="inlineStr">
        <is>
          <t>君盛</t>
        </is>
      </c>
      <c r="K335" s="10" t="n">
        <v>74568.88</v>
      </c>
      <c r="L335" s="10" t="n">
        <v>0</v>
      </c>
      <c r="M335" s="10">
        <f>IF(OR(N335="已登记",LEFT(N335,2)="按状"),0,K335-L335)</f>
        <v/>
      </c>
      <c r="N335" s="2" t="inlineStr">
        <is>
          <t>未开始(前一环节未完成)</t>
        </is>
      </c>
      <c r="O335" s="2" t="n"/>
      <c r="P335" s="2" t="n"/>
    </row>
    <row r="336">
      <c r="A336" s="2" t="n">
        <v>100</v>
      </c>
      <c r="B336" s="8" t="n">
        <v>46285</v>
      </c>
      <c r="C336" s="2" t="inlineStr">
        <is>
          <t>苏BYR535</t>
        </is>
      </c>
      <c r="D336" s="2" t="inlineStr">
        <is>
          <t>带票带货</t>
        </is>
      </c>
      <c r="E336" s="2" t="inlineStr">
        <is>
          <t>供货厂自带票（带票带货）</t>
        </is>
      </c>
      <c r="F336" s="2" t="inlineStr">
        <is>
          <t>兴德</t>
        </is>
      </c>
      <c r="G336" s="2" t="inlineStr">
        <is>
          <t>开票</t>
        </is>
      </c>
      <c r="H336" s="2" t="inlineStr">
        <is>
          <t>销项→欧冶</t>
        </is>
      </c>
      <c r="I336" s="2" t="inlineStr">
        <is>
          <t>兴德</t>
        </is>
      </c>
      <c r="J336" s="2" t="inlineStr">
        <is>
          <t>欧冶物宝</t>
        </is>
      </c>
      <c r="K336" s="10" t="n">
        <v>146212.22</v>
      </c>
      <c r="L336" s="10" t="n">
        <v>0</v>
      </c>
      <c r="M336" s="10">
        <f>IF(OR(N336="已登记",LEFT(N336,2)="按状"),0,K336-L336)</f>
        <v/>
      </c>
      <c r="N336" s="2" t="inlineStr">
        <is>
          <t>待登记</t>
        </is>
      </c>
      <c r="O336" s="2" t="n">
        <v>1</v>
      </c>
      <c r="P336" s="2" t="n"/>
    </row>
    <row r="337">
      <c r="A337" s="2" t="n">
        <v>100</v>
      </c>
      <c r="B337" s="8" t="n">
        <v>46285</v>
      </c>
      <c r="C337" s="2" t="inlineStr">
        <is>
          <t>苏BYR535</t>
        </is>
      </c>
      <c r="D337" s="2" t="inlineStr">
        <is>
          <t>带票带货</t>
        </is>
      </c>
      <c r="E337" s="2" t="inlineStr">
        <is>
          <t>供货厂自带票（带票带货）</t>
        </is>
      </c>
      <c r="F337" s="2" t="inlineStr">
        <is>
          <t>兴德</t>
        </is>
      </c>
      <c r="G337" s="2" t="inlineStr">
        <is>
          <t>回款</t>
        </is>
      </c>
      <c r="H337" s="2" t="inlineStr">
        <is>
          <t>欧冶回款</t>
        </is>
      </c>
      <c r="I337" s="2" t="inlineStr">
        <is>
          <t>欧冶物宝</t>
        </is>
      </c>
      <c r="J337" s="2" t="inlineStr">
        <is>
          <t>兴德</t>
        </is>
      </c>
      <c r="K337" s="10" t="n">
        <v>146212.22</v>
      </c>
      <c r="L337" s="10" t="n">
        <v>0</v>
      </c>
      <c r="M337" s="10">
        <f>IF(OR(N337="已登记",LEFT(N337,2)="按状"),0,K337-L337)</f>
        <v/>
      </c>
      <c r="N337" s="2" t="inlineStr">
        <is>
          <t>未开始(前一环节未完成)</t>
        </is>
      </c>
      <c r="O337" s="2" t="n"/>
      <c r="P337" s="2" t="n"/>
    </row>
    <row r="338">
      <c r="A338" s="2" t="n">
        <v>101</v>
      </c>
      <c r="B338" s="8" t="n">
        <v>46285</v>
      </c>
      <c r="C338" s="2" t="inlineStr">
        <is>
          <t>冀A224E6</t>
        </is>
      </c>
      <c r="D338" s="2" t="inlineStr">
        <is>
          <t>带票带货</t>
        </is>
      </c>
      <c r="E338" s="2" t="inlineStr">
        <is>
          <t>供货厂自带票（带票带货）</t>
        </is>
      </c>
      <c r="F338" s="2" t="inlineStr">
        <is>
          <t>兴德</t>
        </is>
      </c>
      <c r="G338" s="2" t="inlineStr">
        <is>
          <t>开票</t>
        </is>
      </c>
      <c r="H338" s="2" t="inlineStr">
        <is>
          <t>销项→欧冶</t>
        </is>
      </c>
      <c r="I338" s="2" t="inlineStr">
        <is>
          <t>兴德</t>
        </is>
      </c>
      <c r="J338" s="2" t="inlineStr">
        <is>
          <t>欧冶物宝</t>
        </is>
      </c>
      <c r="K338" s="10" t="n">
        <v>108509.38</v>
      </c>
      <c r="L338" s="10" t="n">
        <v>0</v>
      </c>
      <c r="M338" s="10">
        <f>IF(OR(N338="已登记",LEFT(N338,2)="按状"),0,K338-L338)</f>
        <v/>
      </c>
      <c r="N338" s="2" t="inlineStr">
        <is>
          <t>待登记</t>
        </is>
      </c>
      <c r="O338" s="2" t="n">
        <v>1</v>
      </c>
      <c r="P338" s="2" t="n"/>
    </row>
    <row r="339">
      <c r="A339" s="2" t="n">
        <v>101</v>
      </c>
      <c r="B339" s="8" t="n">
        <v>46285</v>
      </c>
      <c r="C339" s="2" t="inlineStr">
        <is>
          <t>冀A224E6</t>
        </is>
      </c>
      <c r="D339" s="2" t="inlineStr">
        <is>
          <t>带票带货</t>
        </is>
      </c>
      <c r="E339" s="2" t="inlineStr">
        <is>
          <t>供货厂自带票（带票带货）</t>
        </is>
      </c>
      <c r="F339" s="2" t="inlineStr">
        <is>
          <t>兴德</t>
        </is>
      </c>
      <c r="G339" s="2" t="inlineStr">
        <is>
          <t>回款</t>
        </is>
      </c>
      <c r="H339" s="2" t="inlineStr">
        <is>
          <t>欧冶回款</t>
        </is>
      </c>
      <c r="I339" s="2" t="inlineStr">
        <is>
          <t>欧冶物宝</t>
        </is>
      </c>
      <c r="J339" s="2" t="inlineStr">
        <is>
          <t>兴德</t>
        </is>
      </c>
      <c r="K339" s="10" t="n">
        <v>108509.38</v>
      </c>
      <c r="L339" s="10" t="n">
        <v>0</v>
      </c>
      <c r="M339" s="10">
        <f>IF(OR(N339="已登记",LEFT(N339,2)="按状"),0,K339-L339)</f>
        <v/>
      </c>
      <c r="N339" s="2" t="inlineStr">
        <is>
          <t>未开始(前一环节未完成)</t>
        </is>
      </c>
      <c r="O339" s="2" t="n"/>
      <c r="P339" s="2" t="n"/>
    </row>
    <row r="340">
      <c r="A340" s="2" t="n">
        <v>102</v>
      </c>
      <c r="B340" s="8" t="n">
        <v>46285</v>
      </c>
      <c r="C340" s="2" t="inlineStr">
        <is>
          <t>苏DBB772</t>
        </is>
      </c>
      <c r="D340" s="2" t="inlineStr">
        <is>
          <t>带票带货</t>
        </is>
      </c>
      <c r="E340" s="2" t="inlineStr">
        <is>
          <t>供货厂自带票（带票带货）</t>
        </is>
      </c>
      <c r="F340" s="2" t="inlineStr">
        <is>
          <t>兴德</t>
        </is>
      </c>
      <c r="G340" s="2" t="inlineStr">
        <is>
          <t>开票</t>
        </is>
      </c>
      <c r="H340" s="2" t="inlineStr">
        <is>
          <t>销项→欧冶</t>
        </is>
      </c>
      <c r="I340" s="2" t="inlineStr">
        <is>
          <t>兴德</t>
        </is>
      </c>
      <c r="J340" s="2" t="inlineStr">
        <is>
          <t>欧冶物宝</t>
        </is>
      </c>
      <c r="K340" s="10" t="n">
        <v>195163.28</v>
      </c>
      <c r="L340" s="10" t="n">
        <v>0</v>
      </c>
      <c r="M340" s="10">
        <f>IF(OR(N340="已登记",LEFT(N340,2)="按状"),0,K340-L340)</f>
        <v/>
      </c>
      <c r="N340" s="2" t="inlineStr">
        <is>
          <t>待登记</t>
        </is>
      </c>
      <c r="O340" s="2" t="n">
        <v>1</v>
      </c>
      <c r="P340" s="2" t="n"/>
    </row>
    <row r="341">
      <c r="A341" s="2" t="n">
        <v>102</v>
      </c>
      <c r="B341" s="8" t="n">
        <v>46285</v>
      </c>
      <c r="C341" s="2" t="inlineStr">
        <is>
          <t>苏DBB772</t>
        </is>
      </c>
      <c r="D341" s="2" t="inlineStr">
        <is>
          <t>带票带货</t>
        </is>
      </c>
      <c r="E341" s="2" t="inlineStr">
        <is>
          <t>供货厂自带票（带票带货）</t>
        </is>
      </c>
      <c r="F341" s="2" t="inlineStr">
        <is>
          <t>兴德</t>
        </is>
      </c>
      <c r="G341" s="2" t="inlineStr">
        <is>
          <t>回款</t>
        </is>
      </c>
      <c r="H341" s="2" t="inlineStr">
        <is>
          <t>欧冶回款</t>
        </is>
      </c>
      <c r="I341" s="2" t="inlineStr">
        <is>
          <t>欧冶物宝</t>
        </is>
      </c>
      <c r="J341" s="2" t="inlineStr">
        <is>
          <t>兴德</t>
        </is>
      </c>
      <c r="K341" s="10" t="n">
        <v>195163.28</v>
      </c>
      <c r="L341" s="10" t="n">
        <v>0</v>
      </c>
      <c r="M341" s="10">
        <f>IF(OR(N341="已登记",LEFT(N341,2)="按状"),0,K341-L341)</f>
        <v/>
      </c>
      <c r="N341" s="2" t="inlineStr">
        <is>
          <t>未开始(前一环节未完成)</t>
        </is>
      </c>
      <c r="O341" s="2" t="n"/>
      <c r="P341" s="2" t="n"/>
    </row>
  </sheetData>
  <autoFilter ref="A1:P3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0" customWidth="1" min="4" max="4"/>
    <col width="12" customWidth="1" min="5" max="5"/>
    <col width="16" customWidth="1" min="6" max="6"/>
    <col width="16" customWidth="1" min="7" max="7"/>
    <col width="18" customWidth="1" min="8" max="8"/>
    <col width="7" customWidth="1" min="9" max="9"/>
    <col width="13" customWidth="1" min="10" max="10"/>
    <col width="20" customWidth="1" min="11" max="11"/>
    <col width="2" customWidth="1" min="12" max="12"/>
    <col width="10" customWidth="1" min="13" max="13"/>
    <col width="8" customWidth="1" min="14" max="14"/>
    <col width="12" customWidth="1" min="15" max="15"/>
    <col width="13" customWidth="1" min="16" max="16"/>
  </cols>
  <sheetData>
    <row r="1">
      <c r="A1" s="3" t="inlineStr">
        <is>
          <t>批次ID</t>
        </is>
      </c>
      <c r="B1" s="3" t="inlineStr">
        <is>
          <t>日期</t>
        </is>
      </c>
      <c r="C1" s="3" t="inlineStr">
        <is>
          <t>类型</t>
        </is>
      </c>
      <c r="D1" s="3" t="inlineStr">
        <is>
          <t>环节</t>
        </is>
      </c>
      <c r="E1" s="3" t="inlineStr">
        <is>
          <t>从</t>
        </is>
      </c>
      <c r="F1" s="3" t="inlineStr">
        <is>
          <t>到</t>
        </is>
      </c>
      <c r="G1" s="3" t="inlineStr">
        <is>
          <t>单号/流水号</t>
        </is>
      </c>
      <c r="H1" s="3" t="inlineStr">
        <is>
          <t>收款账户</t>
        </is>
      </c>
      <c r="I1" s="3" t="inlineStr">
        <is>
          <t>车次数</t>
        </is>
      </c>
      <c r="J1" s="3" t="inlineStr">
        <is>
          <t>批次金额(元)</t>
        </is>
      </c>
      <c r="K1" s="3" t="inlineStr">
        <is>
          <t>备注</t>
        </is>
      </c>
      <c r="L1" s="3" t="inlineStr"/>
      <c r="M1" s="3" t="inlineStr">
        <is>
          <t>明细：批次ID</t>
        </is>
      </c>
      <c r="N1" s="3" t="inlineStr">
        <is>
          <t>车次ID</t>
        </is>
      </c>
      <c r="O1" s="3" t="inlineStr">
        <is>
          <t>车号</t>
        </is>
      </c>
      <c r="P1" s="3" t="inlineStr">
        <is>
          <t>分摊金额(元)</t>
        </is>
      </c>
    </row>
    <row r="2">
      <c r="A2" s="2" t="inlineStr">
        <is>
          <t>还没有登记过批次（在系统「回款追踪」页勾选车次登记）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9" customWidth="1" min="8" max="8"/>
    <col width="14" customWidth="1" min="9" max="9"/>
    <col width="10" customWidth="1" min="10" max="10"/>
  </cols>
  <sheetData>
    <row r="1">
      <c r="A1" s="3" t="inlineStr">
        <is>
          <t>票源方</t>
        </is>
      </c>
      <c r="B1" s="3" t="inlineStr">
        <is>
          <t>类型</t>
        </is>
      </c>
      <c r="C1" s="3" t="inlineStr">
        <is>
          <t>额度周期</t>
        </is>
      </c>
      <c r="D1" s="3" t="inlineStr">
        <is>
          <t>周期起</t>
        </is>
      </c>
      <c r="E1" s="3" t="inlineStr">
        <is>
          <t>额度上限(元)</t>
        </is>
      </c>
      <c r="F1" s="3" t="inlineStr">
        <is>
          <t>预警线(元)</t>
        </is>
      </c>
      <c r="G1" s="3" t="inlineStr">
        <is>
          <t>已用(元)</t>
        </is>
      </c>
      <c r="H1" s="3" t="inlineStr">
        <is>
          <t>占用比例</t>
        </is>
      </c>
      <c r="I1" s="3" t="inlineStr">
        <is>
          <t>剩余额度(元)</t>
        </is>
      </c>
      <c r="J1" s="3" t="inlineStr">
        <is>
          <t>状态</t>
        </is>
      </c>
    </row>
    <row r="2">
      <c r="A2" s="2" t="inlineStr">
        <is>
          <t>反向-闫东朋</t>
        </is>
      </c>
      <c r="B2" s="2" t="inlineStr">
        <is>
          <t>反向自然人</t>
        </is>
      </c>
      <c r="C2" s="2" t="inlineStr">
        <is>
          <t>年度</t>
        </is>
      </c>
      <c r="D2" s="2" t="inlineStr">
        <is>
          <t>2026-01-01</t>
        </is>
      </c>
      <c r="E2" s="10" t="n">
        <v>3500000</v>
      </c>
      <c r="F2" s="10" t="n">
        <v>1800000</v>
      </c>
      <c r="G2" s="10" t="n">
        <v>1035736.6</v>
      </c>
      <c r="H2" s="16">
        <f>IF(N(E2)=0,0,G2/E2)</f>
        <v/>
      </c>
      <c r="I2" s="10">
        <f>IF(N(E2)=0,0,E2-G2)</f>
        <v/>
      </c>
      <c r="J2" s="2">
        <f>IF(N(E2)=0,"未设额度",IF(G2&gt;=E2,"已超额度",IF(AND(N(F2)&gt;0,G2&gt;=F2),"超预警线",IF(H2&gt;=0.9,"接近额度","正常"))))</f>
        <v/>
      </c>
    </row>
    <row r="3">
      <c r="A3" s="2" t="inlineStr">
        <is>
          <t>俊兴</t>
        </is>
      </c>
      <c r="B3" s="2" t="inlineStr">
        <is>
          <t>前端公司</t>
        </is>
      </c>
      <c r="C3" s="2" t="inlineStr">
        <is>
          <t>月度</t>
        </is>
      </c>
      <c r="D3" s="2" t="inlineStr">
        <is>
          <t>2026-09-01</t>
        </is>
      </c>
      <c r="E3" s="10" t="n">
        <v>5000000</v>
      </c>
      <c r="F3" s="10" t="n"/>
      <c r="G3" s="10" t="n">
        <v>2743286.88</v>
      </c>
      <c r="H3" s="16">
        <f>IF(N(E3)=0,0,G3/E3)</f>
        <v/>
      </c>
      <c r="I3" s="10">
        <f>IF(N(E3)=0,0,E3-G3)</f>
        <v/>
      </c>
      <c r="J3" s="2">
        <f>IF(N(E3)=0,"未设额度",IF(G3&gt;=E3,"已超额度",IF(AND(N(F3)&gt;0,G3&gt;=F3),"超预警线",IF(H3&gt;=0.9,"接近额度","正常"))))</f>
        <v/>
      </c>
    </row>
    <row r="4">
      <c r="A4" s="2" t="inlineStr">
        <is>
          <t>益周</t>
        </is>
      </c>
      <c r="B4" s="2" t="inlineStr">
        <is>
          <t>前端公司</t>
        </is>
      </c>
      <c r="C4" s="2" t="inlineStr">
        <is>
          <t>月度</t>
        </is>
      </c>
      <c r="D4" s="2" t="inlineStr">
        <is>
          <t>2026-09-01</t>
        </is>
      </c>
      <c r="E4" s="10" t="n">
        <v>5000000</v>
      </c>
      <c r="F4" s="10" t="n"/>
      <c r="G4" s="10" t="n">
        <v>2498501.4</v>
      </c>
      <c r="H4" s="16">
        <f>IF(N(E4)=0,0,G4/E4)</f>
        <v/>
      </c>
      <c r="I4" s="10">
        <f>IF(N(E4)=0,0,E4-G4)</f>
        <v/>
      </c>
      <c r="J4" s="2">
        <f>IF(N(E4)=0,"未设额度",IF(G4&gt;=E4,"已超额度",IF(AND(N(F4)&gt;0,G4&gt;=F4),"超预警线",IF(H4&gt;=0.9,"接近额度","正常"))))</f>
        <v/>
      </c>
    </row>
    <row r="5">
      <c r="A5" s="2" t="inlineStr">
        <is>
          <t>煌烽</t>
        </is>
      </c>
      <c r="B5" s="2" t="inlineStr">
        <is>
          <t>前端公司</t>
        </is>
      </c>
      <c r="C5" s="2" t="inlineStr">
        <is>
          <t>月度</t>
        </is>
      </c>
      <c r="D5" s="2" t="inlineStr">
        <is>
          <t>2026-09-01</t>
        </is>
      </c>
      <c r="E5" s="10" t="n">
        <v>5000000</v>
      </c>
      <c r="F5" s="10" t="n"/>
      <c r="G5" s="10" t="n">
        <v>4842789.199999999</v>
      </c>
      <c r="H5" s="16">
        <f>IF(N(E5)=0,0,G5/E5)</f>
        <v/>
      </c>
      <c r="I5" s="10">
        <f>IF(N(E5)=0,0,E5-G5)</f>
        <v/>
      </c>
      <c r="J5" s="2">
        <f>IF(N(E5)=0,"未设额度",IF(G5&gt;=E5,"已超额度",IF(AND(N(F5)&gt;0,G5&gt;=F5),"超预警线",IF(H5&gt;=0.9,"接近额度","正常"))))</f>
        <v/>
      </c>
    </row>
    <row r="6">
      <c r="A6" s="2" t="inlineStr">
        <is>
          <t>反向-尹鹏飞</t>
        </is>
      </c>
      <c r="B6" s="2" t="inlineStr">
        <is>
          <t>反向自然人</t>
        </is>
      </c>
      <c r="C6" s="2" t="inlineStr">
        <is>
          <t>年度</t>
        </is>
      </c>
      <c r="D6" s="2" t="inlineStr">
        <is>
          <t>2026-01-01</t>
        </is>
      </c>
      <c r="E6" s="10" t="n">
        <v>3500000</v>
      </c>
      <c r="F6" s="10" t="n">
        <v>1800000</v>
      </c>
      <c r="G6" s="10" t="n">
        <v>1563945.84</v>
      </c>
      <c r="H6" s="16">
        <f>IF(N(E6)=0,0,G6/E6)</f>
        <v/>
      </c>
      <c r="I6" s="10">
        <f>IF(N(E6)=0,0,E6-G6)</f>
        <v/>
      </c>
      <c r="J6" s="2">
        <f>IF(N(E6)=0,"未设额度",IF(G6&gt;=E6,"已超额度",IF(AND(N(F6)&gt;0,G6&gt;=F6),"超预警线",IF(H6&gt;=0.9,"接近额度","正常"))))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15" t="inlineStr">
        <is>
          <t>已用 = 本周期内该票源车次的票额(结算金额 − 吨位×垫资费单价)，与系统首页「票源额度水位」同口径。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