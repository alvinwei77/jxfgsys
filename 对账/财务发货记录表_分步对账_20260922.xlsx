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总览" sheetId="1" state="visible" r:id="rId3"/>
    <sheet name="①车次对账" sheetId="2" state="visible" r:id="rId4"/>
    <sheet name="②调货人供货厂" sheetId="3" state="visible" r:id="rId5"/>
    <sheet name="③票源" sheetId="4" state="visible" r:id="rId6"/>
    <sheet name="④计算路径" sheetId="5" state="visible" r:id="rId7"/>
    <sheet name="⑤参数差异" sheetId="6" state="visible" r:id="rId8"/>
    <sheet name="计算口径对照" sheetId="7" state="visible" r:id="rId9"/>
  </sheets>
  <definedNames>
    <definedName function="false" hidden="true" localSheetId="1" name="_xlnm._FilterDatabase" vbProcedure="false">①车次对账!$A$1:$M$102</definedName>
    <definedName function="false" hidden="true" localSheetId="2" name="_xlnm._FilterDatabase" vbProcedure="false">②调货人供货厂!$A$1:$M$102</definedName>
    <definedName function="false" hidden="true" localSheetId="3" name="_xlnm._FilterDatabase" vbProcedure="false">③票源!$A$1:$K$102</definedName>
    <definedName function="false" hidden="true" localSheetId="4" name="_xlnm._FilterDatabase" vbProcedure="false">④计算路径!$A$1:$L$102</definedName>
    <definedName function="false" hidden="true" localSheetId="5" name="_xlnm._FilterDatabase" vbProcedure="false">⑤参数差异!$A$2:$Z$97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<sst xmlns="http://schemas.openxmlformats.org/spreadsheetml/2006/main" count="3508" uniqueCount="379">
  <si>
    <r>
      <rPr>
        <b val="true"/>
        <sz val="14"/>
        <rFont val="Noto Sans CJK SC"/>
        <family val="2"/>
      </rPr>
      <t xml:space="preserve">财务「发货记录表」</t>
    </r>
    <r>
      <rPr>
        <b val="true"/>
        <sz val="14"/>
        <rFont val="Arial"/>
        <family val="0"/>
        <charset val="1"/>
      </rPr>
      <t xml:space="preserve">× </t>
    </r>
    <r>
      <rPr>
        <b val="true"/>
        <sz val="14"/>
        <rFont val="Noto Sans CJK SC"/>
        <family val="2"/>
      </rPr>
      <t xml:space="preserve">系统 对账（按步骤）</t>
    </r>
  </si>
  <si>
    <r>
      <rPr>
        <sz val="9"/>
        <color rgb="FF667085"/>
        <rFont val="Noto Sans CJK SC"/>
        <family val="2"/>
      </rPr>
      <t xml:space="preserve">顺序：①先对车次 → ②调货人</t>
    </r>
    <r>
      <rPr>
        <sz val="9"/>
        <color rgb="FF667085"/>
        <rFont val="Arial"/>
        <family val="0"/>
        <charset val="1"/>
      </rPr>
      <t xml:space="preserve">/</t>
    </r>
    <r>
      <rPr>
        <sz val="9"/>
        <color rgb="FF667085"/>
        <rFont val="Noto Sans CJK SC"/>
        <family val="2"/>
      </rPr>
      <t xml:space="preserve">供货厂 → ③票源 → ④计算路径（人工确认修正）→ ⑤最后看参数差异。各表淡黄色列是给你填确认结果的，填完发回给我，我按确认结果批量改系统。</t>
    </r>
  </si>
  <si>
    <t xml:space="preserve">步骤</t>
  </si>
  <si>
    <t xml:space="preserve">对象</t>
  </si>
  <si>
    <t xml:space="preserve">一致</t>
  </si>
  <si>
    <t xml:space="preserve">需确认</t>
  </si>
  <si>
    <t xml:space="preserve">说明</t>
  </si>
  <si>
    <t xml:space="preserve">①车次对账</t>
  </si>
  <si>
    <r>
      <rPr>
        <sz val="10"/>
        <rFont val="Noto Sans CJK SC"/>
        <family val="2"/>
      </rPr>
      <t xml:space="preserve">财务</t>
    </r>
    <r>
      <rPr>
        <sz val="10"/>
        <rFont val="Arial"/>
        <family val="0"/>
        <charset val="1"/>
      </rPr>
      <t xml:space="preserve">101</t>
    </r>
    <r>
      <rPr>
        <sz val="10"/>
        <rFont val="Noto Sans CJK SC"/>
        <family val="2"/>
      </rPr>
      <t xml:space="preserve">行</t>
    </r>
  </si>
  <si>
    <r>
      <rPr>
        <sz val="10"/>
        <rFont val="Arial"/>
        <family val="0"/>
        <charset val="1"/>
      </rPr>
      <t xml:space="preserve">99 </t>
    </r>
    <r>
      <rPr>
        <sz val="10"/>
        <rFont val="Noto Sans CJK SC"/>
        <family val="2"/>
      </rPr>
      <t xml:space="preserve">行一一对上；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行是财务把两车合成一行</t>
    </r>
    <r>
      <rPr>
        <sz val="10"/>
        <rFont val="Arial"/>
        <family val="0"/>
        <charset val="1"/>
      </rPr>
      <t xml:space="preserve">(8/29 99.68</t>
    </r>
    <r>
      <rPr>
        <sz val="10"/>
        <rFont val="Noto Sans CJK SC"/>
        <family val="2"/>
      </rPr>
      <t xml:space="preserve">吨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DBE075 + </t>
    </r>
    <r>
      <rPr>
        <sz val="10"/>
        <rFont val="Noto Sans CJK SC"/>
        <family val="2"/>
      </rPr>
      <t xml:space="preserve">冀</t>
    </r>
    <r>
      <rPr>
        <sz val="10"/>
        <rFont val="Arial"/>
        <family val="0"/>
        <charset val="1"/>
      </rPr>
      <t xml:space="preserve">A224E6)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行是 </t>
    </r>
    <r>
      <rPr>
        <sz val="10"/>
        <rFont val="Arial"/>
        <family val="0"/>
        <charset val="1"/>
      </rPr>
      <t xml:space="preserve">9/21 </t>
    </r>
    <r>
      <rPr>
        <sz val="10"/>
        <rFont val="Noto Sans CJK SC"/>
        <family val="2"/>
      </rPr>
      <t xml:space="preserve">闫东鹏你还没录。吨位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金额录错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处（力拓 </t>
    </r>
    <r>
      <rPr>
        <sz val="10"/>
        <rFont val="Arial"/>
        <family val="0"/>
        <charset val="1"/>
      </rPr>
      <t xml:space="preserve">9/17 </t>
    </r>
    <r>
      <rPr>
        <sz val="10"/>
        <rFont val="Noto Sans CJK SC"/>
        <family val="2"/>
      </rPr>
      <t xml:space="preserve">吨位、鑫景通 </t>
    </r>
    <r>
      <rPr>
        <sz val="10"/>
        <rFont val="Arial"/>
        <family val="0"/>
        <charset val="1"/>
      </rPr>
      <t xml:space="preserve">9/15 </t>
    </r>
    <r>
      <rPr>
        <sz val="10"/>
        <rFont val="Noto Sans CJK SC"/>
        <family val="2"/>
      </rPr>
      <t xml:space="preserve">财务应收）</t>
    </r>
  </si>
  <si>
    <r>
      <rPr>
        <sz val="10"/>
        <rFont val="Noto Sans CJK SC"/>
        <family val="2"/>
      </rPr>
      <t xml:space="preserve">②调货人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供货厂</t>
    </r>
  </si>
  <si>
    <t xml:space="preserve">系统车次</t>
  </si>
  <si>
    <r>
      <rPr>
        <sz val="10"/>
        <rFont val="Noto Sans CJK SC"/>
        <family val="2"/>
      </rPr>
      <t xml:space="preserve">主要是：财务记林凯、系统没填调货人的车（会影响林凯提成）；高栾凤、王荣胜系统里没有这个人；力拓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君盛几车记混；名字写法“闫东鹏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闫东朋”“鑫景通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𠓾景通”</t>
    </r>
  </si>
  <si>
    <t xml:space="preserve">③票源</t>
  </si>
  <si>
    <r>
      <rPr>
        <sz val="10"/>
        <rFont val="Noto Sans CJK SC"/>
        <family val="2"/>
      </rPr>
      <t xml:space="preserve">俊兴↔益周（影响票差留存和益周额度）、煌烽↔俊兴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益周（影响利润）、带票车系统挂了俊兴票源（户头通道那几车）</t>
    </r>
  </si>
  <si>
    <t xml:space="preserve">④计算路径</t>
  </si>
  <si>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车不一致：苏</t>
    </r>
    <r>
      <rPr>
        <sz val="10"/>
        <rFont val="Arial"/>
        <family val="0"/>
        <charset val="1"/>
      </rPr>
      <t xml:space="preserve">DBB772 8/27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9/14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9/18</t>
    </r>
    <r>
      <rPr>
        <sz val="10"/>
        <rFont val="Noto Sans CJK SC"/>
        <family val="2"/>
      </rPr>
      <t xml:space="preserve">，鲁</t>
    </r>
    <r>
      <rPr>
        <sz val="10"/>
        <rFont val="Arial"/>
        <family val="0"/>
        <charset val="1"/>
      </rPr>
      <t xml:space="preserve">DC6106 9/14</t>
    </r>
    <r>
      <rPr>
        <sz val="10"/>
        <rFont val="Noto Sans CJK SC"/>
        <family val="2"/>
      </rPr>
      <t xml:space="preserve">，苏</t>
    </r>
    <r>
      <rPr>
        <sz val="10"/>
        <rFont val="Arial"/>
        <family val="0"/>
        <charset val="1"/>
      </rPr>
      <t xml:space="preserve">J19371 9/14(</t>
    </r>
    <r>
      <rPr>
        <sz val="10"/>
        <rFont val="Noto Sans CJK SC"/>
        <family val="2"/>
      </rPr>
      <t xml:space="preserve">只是名字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；户头通道和直签带票算法相同，算一致</t>
    </r>
  </si>
  <si>
    <t xml:space="preserve">⑤参数差异</t>
  </si>
  <si>
    <t xml:space="preserve">路径一致的车</t>
  </si>
  <si>
    <r>
      <rPr>
        <sz val="10"/>
        <rFont val="Noto Sans CJK SC"/>
        <family val="2"/>
      </rPr>
      <t xml:space="preserve">量补 </t>
    </r>
    <r>
      <rPr>
        <sz val="10"/>
        <rFont val="Arial"/>
        <family val="0"/>
        <charset val="1"/>
      </rPr>
      <t xml:space="preserve">20/25</t>
    </r>
    <r>
      <rPr>
        <sz val="10"/>
        <rFont val="Noto Sans CJK SC"/>
        <family val="2"/>
      </rPr>
      <t xml:space="preserve">、林凯提成、煌烽票点 </t>
    </r>
    <r>
      <rPr>
        <sz val="10"/>
        <rFont val="Arial"/>
        <family val="0"/>
        <charset val="1"/>
      </rPr>
      <t xml:space="preserve">0.865/0.868</t>
    </r>
    <r>
      <rPr>
        <sz val="10"/>
        <rFont val="Noto Sans CJK SC"/>
        <family val="2"/>
      </rPr>
      <t xml:space="preserve">、王荣胜那条船给客户 </t>
    </r>
    <r>
      <rPr>
        <sz val="10"/>
        <rFont val="Arial"/>
        <family val="0"/>
        <charset val="1"/>
      </rPr>
      <t xml:space="preserve">13.8%</t>
    </r>
    <r>
      <rPr>
        <sz val="10"/>
        <rFont val="Noto Sans CJK SC"/>
        <family val="2"/>
      </rPr>
      <t xml:space="preserve">、切割费是否再扣。金额见下</t>
    </r>
  </si>
  <si>
    <t xml:space="preserve">⑤ 参数差异金额（系统−财务，路径一致的车）</t>
  </si>
  <si>
    <t xml:space="preserve">参数</t>
  </si>
  <si>
    <t xml:space="preserve">影响金额</t>
  </si>
  <si>
    <t xml:space="preserve">怎么定</t>
  </si>
  <si>
    <t xml:space="preserve">量补单价</t>
  </si>
  <si>
    <r>
      <rPr>
        <sz val="10"/>
        <rFont val="Arial"/>
        <family val="0"/>
        <charset val="1"/>
      </rPr>
      <t xml:space="preserve">8/26~9/05 </t>
    </r>
    <r>
      <rPr>
        <sz val="10"/>
        <rFont val="Noto Sans CJK SC"/>
        <family val="2"/>
      </rPr>
      <t xml:space="preserve">林凯、邓晶焱的车财务按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，系统按</t>
    </r>
    <r>
      <rPr>
        <sz val="10"/>
        <rFont val="Arial"/>
        <family val="0"/>
        <charset val="1"/>
      </rPr>
      <t xml:space="preserve">25</t>
    </r>
    <r>
      <rPr>
        <sz val="10"/>
        <rFont val="Noto Sans CJK SC"/>
        <family val="2"/>
      </rPr>
      <t xml:space="preserve">（财务自己给李涛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高栾凤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王荣胜同期又按</t>
    </r>
    <r>
      <rPr>
        <sz val="10"/>
        <rFont val="Arial"/>
        <family val="0"/>
        <charset val="1"/>
      </rPr>
      <t xml:space="preserve">25</t>
    </r>
    <r>
      <rPr>
        <sz val="10"/>
        <rFont val="Noto Sans CJK SC"/>
        <family val="2"/>
      </rPr>
      <t xml:space="preserve">）。确认这段量补到底多少</t>
    </r>
  </si>
  <si>
    <t xml:space="preserve">调货提成</t>
  </si>
  <si>
    <r>
      <rPr>
        <sz val="10"/>
        <rFont val="Noto Sans CJK SC"/>
        <family val="2"/>
      </rPr>
      <t xml:space="preserve">财务记林凯、扣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元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吨的车，系统没填调货人没扣——②确认调货人后这项会消失或保留</t>
    </r>
  </si>
  <si>
    <t xml:space="preserve">票点系数</t>
  </si>
  <si>
    <r>
      <rPr>
        <sz val="10"/>
        <rFont val="Noto Sans CJK SC"/>
        <family val="2"/>
      </rPr>
      <t xml:space="preserve">煌烽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车财务利润公式用了</t>
    </r>
    <r>
      <rPr>
        <sz val="10"/>
        <rFont val="Arial"/>
        <family val="0"/>
        <charset val="1"/>
      </rPr>
      <t xml:space="preserve">0.865</t>
    </r>
    <r>
      <rPr>
        <sz val="10"/>
        <rFont val="Noto Sans CJK SC"/>
        <family val="2"/>
      </rPr>
      <t xml:space="preserve">，应是</t>
    </r>
    <r>
      <rPr>
        <sz val="10"/>
        <rFont val="Arial"/>
        <family val="0"/>
        <charset val="1"/>
      </rPr>
      <t xml:space="preserve">0.868</t>
    </r>
    <r>
      <rPr>
        <sz val="10"/>
        <rFont val="Noto Sans CJK SC"/>
        <family val="2"/>
      </rPr>
      <t xml:space="preserve">（同表“带票公司付”列就是</t>
    </r>
    <r>
      <rPr>
        <sz val="10"/>
        <rFont val="Arial"/>
        <family val="0"/>
        <charset val="1"/>
      </rPr>
      <t xml:space="preserve">0.868</t>
    </r>
    <r>
      <rPr>
        <sz val="10"/>
        <rFont val="Noto Sans CJK SC"/>
        <family val="2"/>
      </rPr>
      <t xml:space="preserve">），大概率财务公式没改</t>
    </r>
  </si>
  <si>
    <t xml:space="preserve">给客户点位</t>
  </si>
  <si>
    <r>
      <rPr>
        <sz val="10"/>
        <rFont val="Noto Sans CJK SC"/>
        <family val="2"/>
      </rPr>
      <t xml:space="preserve">王荣胜 </t>
    </r>
    <r>
      <rPr>
        <sz val="10"/>
        <rFont val="Arial"/>
        <family val="0"/>
        <charset val="1"/>
      </rPr>
      <t xml:space="preserve">8/29 </t>
    </r>
    <r>
      <rPr>
        <sz val="10"/>
        <rFont val="Noto Sans CJK SC"/>
        <family val="2"/>
      </rPr>
      <t xml:space="preserve">鲁济宁货</t>
    </r>
    <r>
      <rPr>
        <sz val="10"/>
        <rFont val="Arial"/>
        <family val="0"/>
        <charset val="1"/>
      </rPr>
      <t xml:space="preserve">4095</t>
    </r>
    <r>
      <rPr>
        <sz val="10"/>
        <rFont val="Noto Sans CJK SC"/>
        <family val="2"/>
      </rPr>
      <t xml:space="preserve">：财务实际按</t>
    </r>
    <r>
      <rPr>
        <sz val="10"/>
        <rFont val="Arial"/>
        <family val="0"/>
        <charset val="1"/>
      </rPr>
      <t xml:space="preserve">13.8%</t>
    </r>
    <r>
      <rPr>
        <sz val="10"/>
        <rFont val="Noto Sans CJK SC"/>
        <family val="2"/>
      </rPr>
      <t xml:space="preserve">付客户，系统按</t>
    </r>
    <r>
      <rPr>
        <sz val="10"/>
        <rFont val="Arial"/>
        <family val="0"/>
        <charset val="1"/>
      </rPr>
      <t xml:space="preserve">14%</t>
    </r>
    <r>
      <rPr>
        <sz val="10"/>
        <rFont val="Noto Sans CJK SC"/>
        <family val="2"/>
      </rPr>
      <t xml:space="preserve">。若确实按</t>
    </r>
    <r>
      <rPr>
        <sz val="10"/>
        <rFont val="Arial"/>
        <family val="0"/>
        <charset val="1"/>
      </rPr>
      <t xml:space="preserve">13.8%</t>
    </r>
    <r>
      <rPr>
        <sz val="10"/>
        <rFont val="Noto Sans CJK SC"/>
        <family val="2"/>
      </rPr>
      <t xml:space="preserve">付的，系统改这一车的“给客户付”</t>
    </r>
  </si>
  <si>
    <t xml:space="preserve">切割费</t>
  </si>
  <si>
    <r>
      <rPr>
        <sz val="10"/>
        <rFont val="Noto Sans CJK SC"/>
        <family val="2"/>
      </rPr>
      <t xml:space="preserve">结算额里已扣切割费，系统又从利润扣一次（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车共</t>
    </r>
    <r>
      <rPr>
        <sz val="10"/>
        <rFont val="Arial"/>
        <family val="0"/>
        <charset val="1"/>
      </rPr>
      <t xml:space="preserve">800</t>
    </r>
    <r>
      <rPr>
        <sz val="10"/>
        <rFont val="Noto Sans CJK SC"/>
        <family val="2"/>
      </rPr>
      <t xml:space="preserve">元）。要定规则：切割费客户承担还是我们承担</t>
    </r>
  </si>
  <si>
    <r>
      <rPr>
        <sz val="10"/>
        <rFont val="Noto Sans CJK SC"/>
        <family val="2"/>
      </rPr>
      <t xml:space="preserve">取整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其它</t>
    </r>
  </si>
  <si>
    <r>
      <rPr>
        <sz val="10"/>
        <rFont val="Noto Sans CJK SC"/>
        <family val="2"/>
      </rPr>
      <t xml:space="preserve">财务 </t>
    </r>
    <r>
      <rPr>
        <sz val="10"/>
        <rFont val="Arial"/>
        <family val="0"/>
        <charset val="1"/>
      </rPr>
      <t xml:space="preserve">INT </t>
    </r>
    <r>
      <rPr>
        <sz val="10"/>
        <rFont val="Noto Sans CJK SC"/>
        <family val="2"/>
      </rPr>
      <t xml:space="preserve">取整，每车零点几元，不处理</t>
    </r>
  </si>
  <si>
    <t xml:space="preserve">合计</t>
  </si>
  <si>
    <r>
      <rPr>
        <sz val="9"/>
        <color rgb="FF667085"/>
        <rFont val="Noto Sans CJK SC"/>
        <family val="2"/>
      </rPr>
      <t xml:space="preserve">另：路径不一致</t>
    </r>
    <r>
      <rPr>
        <sz val="9"/>
        <color rgb="FF667085"/>
        <rFont val="Arial"/>
        <family val="0"/>
        <charset val="1"/>
      </rPr>
      <t xml:space="preserve">5</t>
    </r>
    <r>
      <rPr>
        <sz val="9"/>
        <color rgb="FF667085"/>
        <rFont val="Noto Sans CJK SC"/>
        <family val="2"/>
      </rPr>
      <t xml:space="preserve">车的利润差、</t>
    </r>
    <r>
      <rPr>
        <sz val="9"/>
        <color rgb="FF667085"/>
        <rFont val="Arial"/>
        <family val="0"/>
        <charset val="1"/>
      </rPr>
      <t xml:space="preserve">9/21</t>
    </r>
    <r>
      <rPr>
        <sz val="9"/>
        <color rgb="FF667085"/>
        <rFont val="Noto Sans CJK SC"/>
        <family val="2"/>
      </rPr>
      <t xml:space="preserve">未录一车，不在上面，见④、①</t>
    </r>
  </si>
  <si>
    <t xml:space="preserve">填写说明</t>
  </si>
  <si>
    <r>
      <rPr>
        <sz val="10"/>
        <rFont val="Noto Sans CJK SC"/>
        <family val="2"/>
      </rPr>
      <t xml:space="preserve">淡黄色列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请你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财务填写的确认结果；可以下拉选（以系统为准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以财务为准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正确的票源或链条），也可以直接写正确的名字。其它列是比对结果，不用改。</t>
    </r>
  </si>
  <si>
    <t xml:space="preserve">财务表</t>
  </si>
  <si>
    <t xml:space="preserve">行</t>
  </si>
  <si>
    <t xml:space="preserve">财务日期</t>
  </si>
  <si>
    <t xml:space="preserve">财务吨位</t>
  </si>
  <si>
    <t xml:space="preserve">财务应收金额</t>
  </si>
  <si>
    <t xml:space="preserve">车号</t>
  </si>
  <si>
    <t xml:space="preserve">系统结算日期</t>
  </si>
  <si>
    <t xml:space="preserve">系统吨位</t>
  </si>
  <si>
    <t xml:space="preserve">系统结算金额</t>
  </si>
  <si>
    <t xml:space="preserve">对账结果</t>
  </si>
  <si>
    <t xml:space="preserve">差异说明</t>
  </si>
  <si>
    <r>
      <rPr>
        <b val="true"/>
        <sz val="10"/>
        <color rgb="FFFFFFFF"/>
        <rFont val="Noto Sans CJK SC"/>
        <family val="2"/>
      </rPr>
      <t xml:space="preserve">确认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处理（请填）</t>
    </r>
  </si>
  <si>
    <t xml:space="preserve">林凯</t>
  </si>
  <si>
    <t xml:space="preserve">2026-08-19</t>
  </si>
  <si>
    <t xml:space="preserve">#1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</si>
  <si>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DBB772</t>
    </r>
  </si>
  <si>
    <t xml:space="preserve">2026-08-20</t>
  </si>
  <si>
    <t xml:space="preserve">#2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</si>
  <si>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DFM060</t>
    </r>
  </si>
  <si>
    <t xml:space="preserve">2026-08-21</t>
  </si>
  <si>
    <t xml:space="preserve">#3</t>
  </si>
  <si>
    <t xml:space="preserve">#4</t>
  </si>
  <si>
    <r>
      <rPr>
        <sz val="10"/>
        <rFont val="Noto Sans CJK SC"/>
        <family val="2"/>
      </rPr>
      <t xml:space="preserve">皖</t>
    </r>
    <r>
      <rPr>
        <sz val="10"/>
        <rFont val="Arial"/>
        <family val="0"/>
        <charset val="1"/>
      </rPr>
      <t xml:space="preserve">M2A505</t>
    </r>
  </si>
  <si>
    <t xml:space="preserve">#5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</si>
  <si>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EQB977</t>
    </r>
  </si>
  <si>
    <t xml:space="preserve">#6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</si>
  <si>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BUK952</t>
    </r>
  </si>
  <si>
    <t xml:space="preserve">2026-08-22</t>
  </si>
  <si>
    <t xml:space="preserve">#7</t>
  </si>
  <si>
    <t xml:space="preserve">#9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</si>
  <si>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MAK862</t>
    </r>
  </si>
  <si>
    <t xml:space="preserve">2026-08-25</t>
  </si>
  <si>
    <t xml:space="preserve">#10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</si>
  <si>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DBE075</t>
    </r>
  </si>
  <si>
    <t xml:space="preserve">2026-08-26</t>
  </si>
  <si>
    <t xml:space="preserve">#11</t>
  </si>
  <si>
    <r>
      <rPr>
        <sz val="10"/>
        <rFont val="Noto Sans CJK SC"/>
        <family val="2"/>
      </rPr>
      <t xml:space="preserve">苏淮货</t>
    </r>
    <r>
      <rPr>
        <sz val="10"/>
        <rFont val="Arial"/>
        <family val="0"/>
        <charset val="1"/>
      </rPr>
      <t xml:space="preserve">16776</t>
    </r>
  </si>
  <si>
    <t xml:space="preserve">2026-08-27</t>
  </si>
  <si>
    <r>
      <rPr>
        <sz val="10"/>
        <rFont val="Noto Sans CJK SC"/>
        <family val="2"/>
      </rPr>
      <t xml:space="preserve">一致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日期差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</si>
  <si>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日期差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天（船，财务像是结算单日期）</t>
    </r>
  </si>
  <si>
    <t xml:space="preserve">#12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</si>
  <si>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NEX375</t>
    </r>
  </si>
  <si>
    <t xml:space="preserve">#13</t>
  </si>
  <si>
    <t xml:space="preserve">#15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</si>
  <si>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BDK567</t>
    </r>
  </si>
  <si>
    <t xml:space="preserve">#16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</si>
  <si>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BZP839</t>
    </r>
  </si>
  <si>
    <t xml:space="preserve">#18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</si>
  <si>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ERS080</t>
    </r>
  </si>
  <si>
    <t xml:space="preserve">2026-08-28</t>
  </si>
  <si>
    <t xml:space="preserve">#22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</si>
  <si>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DFB287</t>
    </r>
  </si>
  <si>
    <t xml:space="preserve">#21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</si>
  <si>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DBX137</t>
    </r>
  </si>
  <si>
    <t xml:space="preserve">#20</t>
  </si>
  <si>
    <t xml:space="preserve">#23</t>
  </si>
  <si>
    <t xml:space="preserve">#24</t>
  </si>
  <si>
    <t xml:space="preserve">#26</t>
  </si>
  <si>
    <t xml:space="preserve">#25</t>
  </si>
  <si>
    <t xml:space="preserve">#28</t>
  </si>
  <si>
    <t xml:space="preserve">#30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</si>
  <si>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BWX568</t>
    </r>
  </si>
  <si>
    <t xml:space="preserve">#29</t>
  </si>
  <si>
    <r>
      <rPr>
        <sz val="10"/>
        <rFont val="Noto Sans CJK SC"/>
        <family val="2"/>
      </rPr>
      <t xml:space="preserve">冀</t>
    </r>
    <r>
      <rPr>
        <sz val="10"/>
        <rFont val="Arial"/>
        <family val="0"/>
        <charset val="1"/>
      </rPr>
      <t xml:space="preserve">A224E6</t>
    </r>
  </si>
  <si>
    <t xml:space="preserve">2026-08-29</t>
  </si>
  <si>
    <t xml:space="preserve">#31</t>
  </si>
  <si>
    <t xml:space="preserve">#32</t>
  </si>
  <si>
    <t xml:space="preserve">#33+#34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</si>
  <si>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DBE075 / </t>
    </r>
    <r>
      <rPr>
        <sz val="10"/>
        <rFont val="Noto Sans CJK SC"/>
        <family val="2"/>
      </rPr>
      <t xml:space="preserve">冀</t>
    </r>
    <r>
      <rPr>
        <sz val="10"/>
        <rFont val="Arial"/>
        <family val="0"/>
        <charset val="1"/>
      </rPr>
      <t xml:space="preserve">A224E6</t>
    </r>
  </si>
  <si>
    <t xml:space="preserve">合并</t>
  </si>
  <si>
    <r>
      <rPr>
        <sz val="10"/>
        <rFont val="Noto Sans CJK SC"/>
        <family val="2"/>
      </rPr>
      <t xml:space="preserve">财务一行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系统两车：苏</t>
    </r>
    <r>
      <rPr>
        <sz val="10"/>
        <rFont val="Arial"/>
        <family val="0"/>
        <charset val="1"/>
      </rPr>
      <t xml:space="preserve">DBE075 79.68</t>
    </r>
    <r>
      <rPr>
        <sz val="10"/>
        <rFont val="Noto Sans CJK SC"/>
        <family val="2"/>
      </rPr>
      <t xml:space="preserve">吨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冀</t>
    </r>
    <r>
      <rPr>
        <sz val="10"/>
        <rFont val="Arial"/>
        <family val="0"/>
        <charset val="1"/>
      </rPr>
      <t xml:space="preserve">A224E6 20.0</t>
    </r>
    <r>
      <rPr>
        <sz val="10"/>
        <rFont val="Noto Sans CJK SC"/>
        <family val="2"/>
      </rPr>
      <t xml:space="preserve">吨，吨位金额合计一致</t>
    </r>
  </si>
  <si>
    <t xml:space="preserve">#36</t>
  </si>
  <si>
    <t xml:space="preserve">2026-08-30</t>
  </si>
  <si>
    <t xml:space="preserve">#44</t>
  </si>
  <si>
    <t xml:space="preserve">#43</t>
  </si>
  <si>
    <t xml:space="preserve">#42</t>
  </si>
  <si>
    <t xml:space="preserve">#41</t>
  </si>
  <si>
    <r>
      <rPr>
        <sz val="10"/>
        <rFont val="Noto Sans CJK SC"/>
        <family val="2"/>
      </rPr>
      <t xml:space="preserve">皖</t>
    </r>
    <r>
      <rPr>
        <sz val="10"/>
        <rFont val="Arial"/>
        <family val="0"/>
        <charset val="1"/>
      </rPr>
      <t xml:space="preserve">SB2849</t>
    </r>
  </si>
  <si>
    <t xml:space="preserve">#38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</si>
  <si>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DBE961</t>
    </r>
  </si>
  <si>
    <t xml:space="preserve">#39</t>
  </si>
  <si>
    <t xml:space="preserve">#37</t>
  </si>
  <si>
    <t xml:space="preserve">2026-08-31</t>
  </si>
  <si>
    <t xml:space="preserve">#45</t>
  </si>
  <si>
    <t xml:space="preserve">#46</t>
  </si>
  <si>
    <t xml:space="preserve">#47</t>
  </si>
  <si>
    <t xml:space="preserve">#48</t>
  </si>
  <si>
    <t xml:space="preserve">#49</t>
  </si>
  <si>
    <t xml:space="preserve">2026-09-01</t>
  </si>
  <si>
    <t xml:space="preserve">#50</t>
  </si>
  <si>
    <t xml:space="preserve">#51</t>
  </si>
  <si>
    <t xml:space="preserve">#52</t>
  </si>
  <si>
    <t xml:space="preserve">#53</t>
  </si>
  <si>
    <t xml:space="preserve">2026-09-06</t>
  </si>
  <si>
    <t xml:space="preserve">#61</t>
  </si>
  <si>
    <r>
      <rPr>
        <sz val="10"/>
        <rFont val="Noto Sans CJK SC"/>
        <family val="2"/>
      </rPr>
      <t xml:space="preserve">皖城兴货</t>
    </r>
    <r>
      <rPr>
        <sz val="10"/>
        <rFont val="Arial"/>
        <family val="0"/>
        <charset val="1"/>
      </rPr>
      <t xml:space="preserve">688</t>
    </r>
  </si>
  <si>
    <t xml:space="preserve">2026-09-05</t>
  </si>
  <si>
    <t xml:space="preserve">2026-09-08</t>
  </si>
  <si>
    <t xml:space="preserve">#62</t>
  </si>
  <si>
    <r>
      <rPr>
        <sz val="10"/>
        <rFont val="Noto Sans CJK SC"/>
        <family val="2"/>
      </rPr>
      <t xml:space="preserve">鲁济宁货</t>
    </r>
    <r>
      <rPr>
        <sz val="10"/>
        <rFont val="Arial"/>
        <family val="0"/>
        <charset val="1"/>
      </rPr>
      <t xml:space="preserve">1567</t>
    </r>
  </si>
  <si>
    <t xml:space="preserve">2026-09-07</t>
  </si>
  <si>
    <t xml:space="preserve">2026-09-18</t>
  </si>
  <si>
    <t xml:space="preserve">#89</t>
  </si>
  <si>
    <t xml:space="preserve">#90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</si>
  <si>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NEN536</t>
    </r>
  </si>
  <si>
    <t xml:space="preserve">2026-09-19</t>
  </si>
  <si>
    <t xml:space="preserve">#95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</si>
  <si>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GE2356</t>
    </r>
  </si>
  <si>
    <t xml:space="preserve">#96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</si>
  <si>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NHY179</t>
    </r>
  </si>
  <si>
    <r>
      <rPr>
        <sz val="10"/>
        <rFont val="Noto Sans CJK SC"/>
        <family val="2"/>
      </rPr>
      <t xml:space="preserve">林凯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鑫景通</t>
    </r>
  </si>
  <si>
    <t xml:space="preserve">2026-09-12</t>
  </si>
  <si>
    <t xml:space="preserve">#66</t>
  </si>
  <si>
    <t xml:space="preserve">2026-09-15</t>
  </si>
  <si>
    <t xml:space="preserve">#78</t>
  </si>
  <si>
    <r>
      <rPr>
        <sz val="10"/>
        <rFont val="Noto Sans CJK SC"/>
        <family val="2"/>
      </rPr>
      <t xml:space="preserve">吨位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金额不同</t>
    </r>
  </si>
  <si>
    <r>
      <rPr>
        <sz val="10"/>
        <rFont val="Noto Sans CJK SC"/>
        <family val="2"/>
      </rPr>
      <t xml:space="preserve">金额不同：财务</t>
    </r>
    <r>
      <rPr>
        <sz val="10"/>
        <rFont val="Arial"/>
        <family val="0"/>
        <charset val="1"/>
      </rPr>
      <t xml:space="preserve">200,063.80</t>
    </r>
    <r>
      <rPr>
        <sz val="10"/>
        <rFont val="Noto Sans CJK SC"/>
        <family val="2"/>
      </rPr>
      <t xml:space="preserve">，系统</t>
    </r>
    <r>
      <rPr>
        <sz val="10"/>
        <rFont val="Arial"/>
        <family val="0"/>
        <charset val="1"/>
      </rPr>
      <t xml:space="preserve">169,455.00</t>
    </r>
    <r>
      <rPr>
        <sz val="10"/>
        <rFont val="Noto Sans CJK SC"/>
        <family val="2"/>
      </rPr>
      <t xml:space="preserve">（财务应收写死了，按</t>
    </r>
    <r>
      <rPr>
        <sz val="10"/>
        <rFont val="Arial"/>
        <family val="0"/>
        <charset val="1"/>
      </rPr>
      <t xml:space="preserve">71.5×2370</t>
    </r>
    <r>
      <rPr>
        <sz val="10"/>
        <rFont val="Noto Sans CJK SC"/>
        <family val="2"/>
      </rPr>
      <t xml:space="preserve">应为</t>
    </r>
    <r>
      <rPr>
        <sz val="10"/>
        <rFont val="Arial"/>
        <family val="0"/>
        <charset val="1"/>
      </rPr>
      <t xml:space="preserve">169,455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</si>
  <si>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林凯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君盛</t>
    </r>
  </si>
  <si>
    <t xml:space="preserve">#14</t>
  </si>
  <si>
    <t xml:space="preserve">#68</t>
  </si>
  <si>
    <t xml:space="preserve">2026-09-14</t>
  </si>
  <si>
    <t xml:space="preserve">#69</t>
  </si>
  <si>
    <t xml:space="preserve">#79</t>
  </si>
  <si>
    <t xml:space="preserve">#74</t>
  </si>
  <si>
    <t xml:space="preserve">2026-09-17</t>
  </si>
  <si>
    <t xml:space="preserve">#87</t>
  </si>
  <si>
    <t xml:space="preserve">#91</t>
  </si>
  <si>
    <t xml:space="preserve">#92</t>
  </si>
  <si>
    <t xml:space="preserve">2026-09-20</t>
  </si>
  <si>
    <t xml:space="preserve">#98</t>
  </si>
  <si>
    <t xml:space="preserve">#99</t>
  </si>
  <si>
    <r>
      <rPr>
        <sz val="10"/>
        <rFont val="Noto Sans CJK SC"/>
        <family val="2"/>
      </rPr>
      <t xml:space="preserve">林凯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力拓</t>
    </r>
  </si>
  <si>
    <t xml:space="preserve">2026-09-10</t>
  </si>
  <si>
    <t xml:space="preserve">#63</t>
  </si>
  <si>
    <t xml:space="preserve">2026-09-11</t>
  </si>
  <si>
    <t xml:space="preserve">#64</t>
  </si>
  <si>
    <t xml:space="preserve">#65</t>
  </si>
  <si>
    <r>
      <rPr>
        <sz val="10"/>
        <rFont val="Noto Sans CJK SC"/>
        <family val="2"/>
      </rPr>
      <t xml:space="preserve">日期差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天</t>
    </r>
  </si>
  <si>
    <t xml:space="preserve">#70</t>
  </si>
  <si>
    <t xml:space="preserve">#86</t>
  </si>
  <si>
    <r>
      <rPr>
        <sz val="10"/>
        <rFont val="Noto Sans CJK SC"/>
        <family val="2"/>
      </rPr>
      <t xml:space="preserve">吨位不同：财务</t>
    </r>
    <r>
      <rPr>
        <sz val="10"/>
        <rFont val="Arial"/>
        <family val="0"/>
        <charset val="1"/>
      </rPr>
      <t xml:space="preserve">29.97</t>
    </r>
    <r>
      <rPr>
        <sz val="10"/>
        <rFont val="Noto Sans CJK SC"/>
        <family val="2"/>
      </rPr>
      <t xml:space="preserve">，系统</t>
    </r>
    <r>
      <rPr>
        <sz val="10"/>
        <rFont val="Arial"/>
        <family val="0"/>
        <charset val="1"/>
      </rPr>
      <t xml:space="preserve">29.79</t>
    </r>
  </si>
  <si>
    <t xml:space="preserve">#83</t>
  </si>
  <si>
    <r>
      <rPr>
        <sz val="10"/>
        <rFont val="Noto Sans CJK SC"/>
        <family val="2"/>
      </rPr>
      <t xml:space="preserve">林凯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兴德</t>
    </r>
  </si>
  <si>
    <t xml:space="preserve">#97</t>
  </si>
  <si>
    <r>
      <rPr>
        <sz val="10"/>
        <rFont val="Noto Sans CJK SC"/>
        <family val="2"/>
      </rPr>
      <t xml:space="preserve">皖</t>
    </r>
    <r>
      <rPr>
        <sz val="10"/>
        <rFont val="Arial"/>
        <family val="0"/>
        <charset val="1"/>
      </rPr>
      <t xml:space="preserve">SG1498</t>
    </r>
  </si>
  <si>
    <t xml:space="preserve">#100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</si>
  <si>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BYR535</t>
    </r>
  </si>
  <si>
    <t xml:space="preserve">#101</t>
  </si>
  <si>
    <t xml:space="preserve">#102</t>
  </si>
  <si>
    <t xml:space="preserve">李涛</t>
  </si>
  <si>
    <t xml:space="preserve">#40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</si>
  <si>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BTQ938</t>
    </r>
  </si>
  <si>
    <t xml:space="preserve">2026-09-03</t>
  </si>
  <si>
    <t xml:space="preserve">#56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</si>
  <si>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NER821</t>
    </r>
  </si>
  <si>
    <t xml:space="preserve">2026-09-04</t>
  </si>
  <si>
    <t xml:space="preserve">#58</t>
  </si>
  <si>
    <r>
      <rPr>
        <sz val="10"/>
        <rFont val="Noto Sans CJK SC"/>
        <family val="2"/>
      </rPr>
      <t xml:space="preserve">皖</t>
    </r>
    <r>
      <rPr>
        <sz val="10"/>
        <rFont val="Arial"/>
        <family val="0"/>
        <charset val="1"/>
      </rPr>
      <t xml:space="preserve">SG1123</t>
    </r>
  </si>
  <si>
    <t xml:space="preserve">#59</t>
  </si>
  <si>
    <r>
      <rPr>
        <sz val="10"/>
        <rFont val="Noto Sans CJK SC"/>
        <family val="2"/>
      </rPr>
      <t xml:space="preserve">皖</t>
    </r>
    <r>
      <rPr>
        <sz val="10"/>
        <rFont val="Arial"/>
        <family val="0"/>
        <charset val="1"/>
      </rPr>
      <t xml:space="preserve">LE9644</t>
    </r>
  </si>
  <si>
    <t xml:space="preserve">邓晶焱</t>
  </si>
  <si>
    <t xml:space="preserve">#8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</si>
  <si>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E9W908</t>
    </r>
  </si>
  <si>
    <t xml:space="preserve">#17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</si>
  <si>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NEV615</t>
    </r>
  </si>
  <si>
    <t xml:space="preserve">#35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</si>
  <si>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AE8896</t>
    </r>
  </si>
  <si>
    <t xml:space="preserve">#67</t>
  </si>
  <si>
    <r>
      <rPr>
        <sz val="10"/>
        <rFont val="Noto Sans CJK SC"/>
        <family val="2"/>
      </rPr>
      <t xml:space="preserve">皖</t>
    </r>
    <r>
      <rPr>
        <sz val="10"/>
        <rFont val="Arial"/>
        <family val="0"/>
        <charset val="1"/>
      </rPr>
      <t xml:space="preserve">F30399</t>
    </r>
  </si>
  <si>
    <t xml:space="preserve">#73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</si>
  <si>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ELU629</t>
    </r>
  </si>
  <si>
    <t xml:space="preserve">2026-09-16</t>
  </si>
  <si>
    <t xml:space="preserve">#82</t>
  </si>
  <si>
    <r>
      <rPr>
        <sz val="10"/>
        <rFont val="Noto Sans CJK SC"/>
        <family val="2"/>
      </rPr>
      <t xml:space="preserve">皖</t>
    </r>
    <r>
      <rPr>
        <sz val="10"/>
        <rFont val="Arial"/>
        <family val="0"/>
        <charset val="1"/>
      </rPr>
      <t xml:space="preserve">AK6033</t>
    </r>
  </si>
  <si>
    <t xml:space="preserve">高栾凤</t>
  </si>
  <si>
    <t xml:space="preserve">#27</t>
  </si>
  <si>
    <r>
      <rPr>
        <sz val="10"/>
        <rFont val="Noto Sans CJK SC"/>
        <family val="2"/>
      </rPr>
      <t xml:space="preserve">皖</t>
    </r>
    <r>
      <rPr>
        <sz val="10"/>
        <rFont val="Arial"/>
        <family val="0"/>
        <charset val="1"/>
      </rPr>
      <t xml:space="preserve">KQ1052</t>
    </r>
  </si>
  <si>
    <t xml:space="preserve">#71</t>
  </si>
  <si>
    <r>
      <rPr>
        <sz val="10"/>
        <rFont val="Noto Sans CJK SC"/>
        <family val="2"/>
      </rPr>
      <t xml:space="preserve">鲁</t>
    </r>
    <r>
      <rPr>
        <sz val="10"/>
        <rFont val="Arial"/>
        <family val="0"/>
        <charset val="1"/>
      </rPr>
      <t xml:space="preserve">DC6106</t>
    </r>
  </si>
  <si>
    <t xml:space="preserve">#77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</si>
  <si>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CLK667</t>
    </r>
  </si>
  <si>
    <t xml:space="preserve">闫东鹏</t>
  </si>
  <si>
    <t xml:space="preserve">2026-09-02</t>
  </si>
  <si>
    <t xml:space="preserve">#55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</si>
  <si>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BXT103</t>
    </r>
  </si>
  <si>
    <t xml:space="preserve">#72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</si>
  <si>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J19371</t>
    </r>
  </si>
  <si>
    <t xml:space="preserve">#76</t>
  </si>
  <si>
    <t xml:space="preserve">#75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</si>
  <si>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L80153</t>
    </r>
  </si>
  <si>
    <t xml:space="preserve">#81</t>
  </si>
  <si>
    <r>
      <rPr>
        <sz val="10"/>
        <rFont val="Noto Sans CJK SC"/>
        <family val="2"/>
      </rPr>
      <t xml:space="preserve">皖</t>
    </r>
    <r>
      <rPr>
        <sz val="10"/>
        <rFont val="Arial"/>
        <family val="0"/>
        <charset val="1"/>
      </rPr>
      <t xml:space="preserve">SC6167</t>
    </r>
  </si>
  <si>
    <t xml:space="preserve">#85</t>
  </si>
  <si>
    <t xml:space="preserve">#84</t>
  </si>
  <si>
    <r>
      <rPr>
        <sz val="10"/>
        <rFont val="Noto Sans CJK SC"/>
        <family val="2"/>
      </rPr>
      <t xml:space="preserve">皖</t>
    </r>
    <r>
      <rPr>
        <sz val="10"/>
        <rFont val="Arial"/>
        <family val="0"/>
        <charset val="1"/>
      </rPr>
      <t xml:space="preserve">AP1626</t>
    </r>
  </si>
  <si>
    <t xml:space="preserve">#94</t>
  </si>
  <si>
    <r>
      <rPr>
        <sz val="10"/>
        <rFont val="Noto Sans CJK SC"/>
        <family val="2"/>
      </rPr>
      <t xml:space="preserve">皖</t>
    </r>
    <r>
      <rPr>
        <sz val="10"/>
        <rFont val="Arial"/>
        <family val="0"/>
        <charset val="1"/>
      </rPr>
      <t xml:space="preserve">AP7737</t>
    </r>
  </si>
  <si>
    <t xml:space="preserve">2026-09-21</t>
  </si>
  <si>
    <t xml:space="preserve">系统未录</t>
  </si>
  <si>
    <r>
      <rPr>
        <sz val="10"/>
        <rFont val="Arial"/>
        <family val="0"/>
        <charset val="1"/>
      </rPr>
      <t xml:space="preserve">9/21 </t>
    </r>
    <r>
      <rPr>
        <sz val="10"/>
        <rFont val="Noto Sans CJK SC"/>
        <family val="2"/>
      </rPr>
      <t xml:space="preserve">闫东鹏反向这车你还没录入（财务表自己的合计公式也没算这一行）</t>
    </r>
  </si>
  <si>
    <t xml:space="preserve">待录入</t>
  </si>
  <si>
    <t xml:space="preserve">尹鹏飞</t>
  </si>
  <si>
    <t xml:space="preserve">#54</t>
  </si>
  <si>
    <r>
      <rPr>
        <sz val="10"/>
        <rFont val="Noto Sans CJK SC"/>
        <family val="2"/>
      </rPr>
      <t xml:space="preserve">通海机</t>
    </r>
    <r>
      <rPr>
        <sz val="10"/>
        <rFont val="Arial"/>
        <family val="0"/>
        <charset val="1"/>
      </rPr>
      <t xml:space="preserve">9998</t>
    </r>
  </si>
  <si>
    <r>
      <rPr>
        <sz val="10"/>
        <rFont val="Noto Sans CJK SC"/>
        <family val="2"/>
      </rPr>
      <t xml:space="preserve">日期差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天（船，财务像是结算单日期）</t>
    </r>
  </si>
  <si>
    <t xml:space="preserve">#57</t>
  </si>
  <si>
    <r>
      <rPr>
        <sz val="10"/>
        <rFont val="Noto Sans CJK SC"/>
        <family val="2"/>
      </rPr>
      <t xml:space="preserve">苏兴达货</t>
    </r>
    <r>
      <rPr>
        <sz val="10"/>
        <rFont val="Arial"/>
        <family val="0"/>
        <charset val="1"/>
      </rPr>
      <t xml:space="preserve">8566</t>
    </r>
  </si>
  <si>
    <t xml:space="preserve">#80</t>
  </si>
  <si>
    <r>
      <rPr>
        <sz val="10"/>
        <rFont val="Noto Sans CJK SC"/>
        <family val="2"/>
      </rPr>
      <t xml:space="preserve">皖四航</t>
    </r>
    <r>
      <rPr>
        <sz val="10"/>
        <rFont val="Arial"/>
        <family val="0"/>
        <charset val="1"/>
      </rPr>
      <t xml:space="preserve">6058</t>
    </r>
  </si>
  <si>
    <t xml:space="preserve">#93</t>
  </si>
  <si>
    <r>
      <rPr>
        <sz val="10"/>
        <rFont val="Noto Sans CJK SC"/>
        <family val="2"/>
      </rPr>
      <t xml:space="preserve">苏通源货</t>
    </r>
    <r>
      <rPr>
        <sz val="10"/>
        <rFont val="Arial"/>
        <family val="0"/>
        <charset val="1"/>
      </rPr>
      <t xml:space="preserve">6666</t>
    </r>
  </si>
  <si>
    <t xml:space="preserve">王荣胜</t>
  </si>
  <si>
    <t xml:space="preserve">#19</t>
  </si>
  <si>
    <r>
      <rPr>
        <sz val="10"/>
        <rFont val="Noto Sans CJK SC"/>
        <family val="2"/>
      </rPr>
      <t xml:space="preserve">鲁济宁货</t>
    </r>
    <r>
      <rPr>
        <sz val="10"/>
        <rFont val="Arial"/>
        <family val="0"/>
        <charset val="1"/>
      </rPr>
      <t xml:space="preserve">4095</t>
    </r>
  </si>
  <si>
    <t xml:space="preserve">陈杰</t>
  </si>
  <si>
    <t xml:space="preserve">#60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</si>
  <si>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K66529</t>
    </r>
  </si>
  <si>
    <t xml:space="preserve">财务归属：调货人</t>
  </si>
  <si>
    <t xml:space="preserve">财务归属：供货厂</t>
  </si>
  <si>
    <t xml:space="preserve">系统调货人</t>
  </si>
  <si>
    <t xml:space="preserve">系统供货厂</t>
  </si>
  <si>
    <t xml:space="preserve">对比结果</t>
  </si>
  <si>
    <t xml:space="preserve">确认：正确调货人（请填）</t>
  </si>
  <si>
    <t xml:space="preserve">确认：正确供货厂（请填）</t>
  </si>
  <si>
    <t xml:space="preserve">—</t>
  </si>
  <si>
    <t xml:space="preserve">（未填）</t>
  </si>
  <si>
    <t xml:space="preserve">俊兴</t>
  </si>
  <si>
    <t xml:space="preserve">系统未填调货人</t>
  </si>
  <si>
    <t xml:space="preserve">财务记林凯（并扣了林凯提成）</t>
  </si>
  <si>
    <t xml:space="preserve">#33</t>
  </si>
  <si>
    <t xml:space="preserve">；（财务这一行是两车合并）</t>
  </si>
  <si>
    <t xml:space="preserve">#34</t>
  </si>
  <si>
    <t xml:space="preserve">财务记林凯（并扣了林凯提成）；（财务这一行是两车合并）</t>
  </si>
  <si>
    <t xml:space="preserve">君盛</t>
  </si>
  <si>
    <t xml:space="preserve">鑫景通</t>
  </si>
  <si>
    <t xml:space="preserve">𠓾景通</t>
  </si>
  <si>
    <t xml:space="preserve">名字写法不同：财务“鑫景通”，系统“𠓾景通”（系统这个字像是录错了）</t>
  </si>
  <si>
    <t xml:space="preserve">供货厂不同</t>
  </si>
  <si>
    <t xml:space="preserve">供货厂：财务君盛，系统林凯</t>
  </si>
  <si>
    <t xml:space="preserve">力拓</t>
  </si>
  <si>
    <t xml:space="preserve">供货厂：财务力拓，系统君盛</t>
  </si>
  <si>
    <t xml:space="preserve">兴德</t>
  </si>
  <si>
    <t xml:space="preserve">李涛（按人分表）</t>
  </si>
  <si>
    <t xml:space="preserve">邓晶焱（按人分表）</t>
  </si>
  <si>
    <t xml:space="preserve">财务记在“邓晶焱”名下，系统没填调货人、供货厂是“俊兴”</t>
  </si>
  <si>
    <t xml:space="preserve">高栾凤（按人分表）</t>
  </si>
  <si>
    <t xml:space="preserve">系统没有此人</t>
  </si>
  <si>
    <t xml:space="preserve">财务按“高栾凤”记，系统档案里没有这个人；系统记的是 无调货人：俊兴</t>
  </si>
  <si>
    <t xml:space="preserve">财务按“高栾凤”记，系统档案里没有这个人；系统记的是 邓晶焱：邓晶焱</t>
  </si>
  <si>
    <t xml:space="preserve">财务按“高栾凤”记，系统档案里没有这个人；系统记的是 无调货人：邓晶焱</t>
  </si>
  <si>
    <t xml:space="preserve">闫东鹏（按人分表）</t>
  </si>
  <si>
    <t xml:space="preserve">闫东朋</t>
  </si>
  <si>
    <t xml:space="preserve">名字写法不同：财务“闫东鹏”，系统“闫东朋”</t>
  </si>
  <si>
    <t xml:space="preserve">尹鹏飞（按人分表）</t>
  </si>
  <si>
    <t xml:space="preserve">财务记在“尹鹏飞”名下，系统没填调货人、供货厂是“俊兴”</t>
  </si>
  <si>
    <t xml:space="preserve">王荣胜（按人分表）</t>
  </si>
  <si>
    <t xml:space="preserve">财务按“王荣胜”记，系统档案里没有这个人；系统记的是 无调货人：俊兴</t>
  </si>
  <si>
    <t xml:space="preserve">陈杰（按人分表）</t>
  </si>
  <si>
    <r>
      <rPr>
        <sz val="9"/>
        <color rgb="FF667085"/>
        <rFont val="Noto Sans CJK SC"/>
        <family val="2"/>
      </rPr>
      <t xml:space="preserve">“按人分表”：财务的李涛</t>
    </r>
    <r>
      <rPr>
        <sz val="9"/>
        <color rgb="FF667085"/>
        <rFont val="Arial"/>
        <family val="0"/>
        <charset val="1"/>
      </rPr>
      <t xml:space="preserve">/</t>
    </r>
    <r>
      <rPr>
        <sz val="9"/>
        <color rgb="FF667085"/>
        <rFont val="Noto Sans CJK SC"/>
        <family val="2"/>
      </rPr>
      <t xml:space="preserve">邓晶焱</t>
    </r>
    <r>
      <rPr>
        <sz val="9"/>
        <color rgb="FF667085"/>
        <rFont val="Arial"/>
        <family val="0"/>
        <charset val="1"/>
      </rPr>
      <t xml:space="preserve">/</t>
    </r>
    <r>
      <rPr>
        <sz val="9"/>
        <color rgb="FF667085"/>
        <rFont val="Noto Sans CJK SC"/>
        <family val="2"/>
      </rPr>
      <t xml:space="preserve">高栾凤</t>
    </r>
    <r>
      <rPr>
        <sz val="9"/>
        <color rgb="FF667085"/>
        <rFont val="Arial"/>
        <family val="0"/>
        <charset val="1"/>
      </rPr>
      <t xml:space="preserve">/</t>
    </r>
    <r>
      <rPr>
        <sz val="9"/>
        <color rgb="FF667085"/>
        <rFont val="Noto Sans CJK SC"/>
        <family val="2"/>
      </rPr>
      <t xml:space="preserve">闫东鹏</t>
    </r>
    <r>
      <rPr>
        <sz val="9"/>
        <color rgb="FF667085"/>
        <rFont val="Arial"/>
        <family val="0"/>
        <charset val="1"/>
      </rPr>
      <t xml:space="preserve">/</t>
    </r>
    <r>
      <rPr>
        <sz val="9"/>
        <color rgb="FF667085"/>
        <rFont val="Noto Sans CJK SC"/>
        <family val="2"/>
      </rPr>
      <t xml:space="preserve">尹鹏飞</t>
    </r>
    <r>
      <rPr>
        <sz val="9"/>
        <color rgb="FF667085"/>
        <rFont val="Arial"/>
        <family val="0"/>
        <charset val="1"/>
      </rPr>
      <t xml:space="preserve">/</t>
    </r>
    <r>
      <rPr>
        <sz val="9"/>
        <color rgb="FF667085"/>
        <rFont val="Noto Sans CJK SC"/>
        <family val="2"/>
      </rPr>
      <t xml:space="preserve">王荣胜</t>
    </r>
    <r>
      <rPr>
        <sz val="9"/>
        <color rgb="FF667085"/>
        <rFont val="Arial"/>
        <family val="0"/>
        <charset val="1"/>
      </rPr>
      <t xml:space="preserve">/</t>
    </r>
    <r>
      <rPr>
        <sz val="9"/>
        <color rgb="FF667085"/>
        <rFont val="Noto Sans CJK SC"/>
        <family val="2"/>
      </rPr>
      <t xml:space="preserve">陈杰表是按人记的，可能是调货人，也可能是货主（供货厂），所以系统里调货人或供货厂任一是这个人就算一致。“林凯”表没写供货厂。</t>
    </r>
  </si>
  <si>
    <t xml:space="preserve">财务票源</t>
  </si>
  <si>
    <t xml:space="preserve">系统票源</t>
  </si>
  <si>
    <t xml:space="preserve">对利润的影响（参考）</t>
  </si>
  <si>
    <t xml:space="preserve">确认：正确票源（请填）</t>
  </si>
  <si>
    <t xml:space="preserve">益周</t>
  </si>
  <si>
    <t xml:space="preserve">不一致</t>
  </si>
  <si>
    <r>
      <rPr>
        <sz val="10"/>
        <rFont val="Noto Sans CJK SC"/>
        <family val="2"/>
      </rPr>
      <t xml:space="preserve">俊兴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益周主营利润口径一样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都是</t>
    </r>
    <r>
      <rPr>
        <sz val="10"/>
        <rFont val="Arial"/>
        <family val="0"/>
        <charset val="1"/>
      </rPr>
      <t xml:space="preserve">13.5%)</t>
    </r>
    <r>
      <rPr>
        <sz val="10"/>
        <rFont val="Noto Sans CJK SC"/>
        <family val="2"/>
      </rPr>
      <t xml:space="preserve">；但益周是“经过我们”的票，系统会另算票差留存，且占益周额度</t>
    </r>
  </si>
  <si>
    <t xml:space="preserve">煌烽</t>
  </si>
  <si>
    <t xml:space="preserve">自带票</t>
  </si>
  <si>
    <t xml:space="preserve">财务是煌烽票源，系统没挂票源（按带票算）</t>
  </si>
  <si>
    <t xml:space="preserve">财务是带票（供货厂自带票），系统挂了俊兴票源</t>
  </si>
  <si>
    <r>
      <rPr>
        <sz val="10"/>
        <rFont val="Noto Sans CJK SC"/>
        <family val="2"/>
      </rPr>
      <t xml:space="preserve">按财务改成煌烽的话，系统利润约</t>
    </r>
    <r>
      <rPr>
        <sz val="10"/>
        <rFont val="Arial"/>
        <family val="0"/>
        <charset val="1"/>
      </rPr>
      <t xml:space="preserve">+279</t>
    </r>
    <r>
      <rPr>
        <sz val="10"/>
        <rFont val="Noto Sans CJK SC"/>
        <family val="2"/>
      </rPr>
      <t xml:space="preserve">元（煌烽</t>
    </r>
    <r>
      <rPr>
        <sz val="10"/>
        <rFont val="Arial"/>
        <family val="0"/>
        <charset val="1"/>
      </rPr>
      <t xml:space="preserve">13.2%</t>
    </r>
    <r>
      <rPr>
        <sz val="10"/>
        <rFont val="Noto Sans CJK SC"/>
        <family val="2"/>
      </rPr>
      <t xml:space="preserve">，俊兴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益周</t>
    </r>
    <r>
      <rPr>
        <sz val="10"/>
        <rFont val="Arial"/>
        <family val="0"/>
        <charset val="1"/>
      </rPr>
      <t xml:space="preserve">13.5%</t>
    </r>
    <r>
      <rPr>
        <sz val="10"/>
        <rFont val="Noto Sans CJK SC"/>
        <family val="2"/>
      </rPr>
      <t xml:space="preserve">）；财务这一行“带票公司付”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欧冶</t>
    </r>
    <r>
      <rPr>
        <sz val="10"/>
        <rFont val="Arial"/>
        <family val="0"/>
        <charset val="1"/>
      </rPr>
      <t xml:space="preserve">×0.868</t>
    </r>
    <r>
      <rPr>
        <sz val="10"/>
        <rFont val="Noto Sans CJK SC"/>
        <family val="2"/>
      </rPr>
      <t xml:space="preserve">，说明实际是煌烽，但利润公式用了</t>
    </r>
    <r>
      <rPr>
        <sz val="10"/>
        <rFont val="Arial"/>
        <family val="0"/>
        <charset val="1"/>
      </rPr>
      <t xml:space="preserve">0.865</t>
    </r>
  </si>
  <si>
    <t xml:space="preserve">（财务没写）</t>
  </si>
  <si>
    <t xml:space="preserve">财务没写</t>
  </si>
  <si>
    <t xml:space="preserve">财务这一行没写票源，系统是俊兴</t>
  </si>
  <si>
    <t xml:space="preserve">反向</t>
  </si>
  <si>
    <r>
      <rPr>
        <sz val="10"/>
        <rFont val="Noto Sans CJK SC"/>
        <family val="2"/>
      </rPr>
      <t xml:space="preserve">反向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闫东朋</t>
    </r>
  </si>
  <si>
    <r>
      <rPr>
        <sz val="10"/>
        <rFont val="Noto Sans CJK SC"/>
        <family val="2"/>
      </rPr>
      <t xml:space="preserve">反向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尹鹏飞</t>
    </r>
  </si>
  <si>
    <r>
      <rPr>
        <sz val="10"/>
        <rFont val="Noto Sans CJK SC"/>
        <family val="2"/>
      </rPr>
      <t xml:space="preserve">按财务改成煌烽的话，系统利润约</t>
    </r>
    <r>
      <rPr>
        <sz val="10"/>
        <rFont val="Arial"/>
        <family val="0"/>
        <charset val="1"/>
      </rPr>
      <t xml:space="preserve">+266</t>
    </r>
    <r>
      <rPr>
        <sz val="10"/>
        <rFont val="Noto Sans CJK SC"/>
        <family val="2"/>
      </rPr>
      <t xml:space="preserve">元（煌烽</t>
    </r>
    <r>
      <rPr>
        <sz val="10"/>
        <rFont val="Arial"/>
        <family val="0"/>
        <charset val="1"/>
      </rPr>
      <t xml:space="preserve">13.2%</t>
    </r>
    <r>
      <rPr>
        <sz val="10"/>
        <rFont val="Noto Sans CJK SC"/>
        <family val="2"/>
      </rPr>
      <t xml:space="preserve">，俊兴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益周</t>
    </r>
    <r>
      <rPr>
        <sz val="10"/>
        <rFont val="Arial"/>
        <family val="0"/>
        <charset val="1"/>
      </rPr>
      <t xml:space="preserve">13.5%</t>
    </r>
    <r>
      <rPr>
        <sz val="10"/>
        <rFont val="Noto Sans CJK SC"/>
        <family val="2"/>
      </rPr>
      <t xml:space="preserve">）；注意财务写煌烽，但“带票公司付”和利润公式都按俊兴口径</t>
    </r>
    <r>
      <rPr>
        <sz val="10"/>
        <rFont val="Arial"/>
        <family val="0"/>
        <charset val="1"/>
      </rPr>
      <t xml:space="preserve">(0.865)</t>
    </r>
    <r>
      <rPr>
        <sz val="10"/>
        <rFont val="Noto Sans CJK SC"/>
        <family val="2"/>
      </rPr>
      <t xml:space="preserve">算，财务自己也不一致</t>
    </r>
  </si>
  <si>
    <t xml:space="preserve">财务路径</t>
  </si>
  <si>
    <t xml:space="preserve">系统链条规则</t>
  </si>
  <si>
    <t xml:space="preserve">财务利润</t>
  </si>
  <si>
    <t xml:space="preserve">系统利润</t>
  </si>
  <si>
    <t xml:space="preserve">确认：正确路径（请填）</t>
  </si>
  <si>
    <t xml:space="preserve">配票</t>
  </si>
  <si>
    <t xml:space="preserve">直签带票</t>
  </si>
  <si>
    <r>
      <rPr>
        <sz val="10"/>
        <rFont val="Noto Sans CJK SC"/>
        <family val="2"/>
      </rPr>
      <t xml:space="preserve">财务记在“林凯”配票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煌烽票源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，系统是君盛直签带票</t>
    </r>
  </si>
  <si>
    <t xml:space="preserve">带票</t>
  </si>
  <si>
    <t xml:space="preserve">户头通道</t>
  </si>
  <si>
    <t xml:space="preserve">系统叫“户头通道”，和“直签带票”都是服务费算法，数值一样；名字按实际情况选</t>
  </si>
  <si>
    <r>
      <rPr>
        <sz val="10"/>
        <rFont val="Noto Sans CJK SC"/>
        <family val="2"/>
      </rPr>
      <t xml:space="preserve">财务记在“林凯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君盛”带票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服务费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，系统是配票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俊兴票源</t>
    </r>
  </si>
  <si>
    <r>
      <rPr>
        <sz val="10"/>
        <rFont val="Noto Sans CJK SC"/>
        <family val="2"/>
      </rPr>
      <t xml:space="preserve">财务记在“林凯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君盛”带票，系统是配票、供货厂写的林凯</t>
    </r>
  </si>
  <si>
    <r>
      <rPr>
        <sz val="10"/>
        <rFont val="Noto Sans CJK SC"/>
        <family val="2"/>
      </rPr>
      <t xml:space="preserve">财务记在“高栾凤”配票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煌烽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，系统是户头通道；且系统固化快照里服务费是</t>
    </r>
    <r>
      <rPr>
        <sz val="10"/>
        <rFont val="Arial"/>
        <family val="0"/>
        <charset val="1"/>
      </rPr>
      <t xml:space="preserve">18.56</t>
    </r>
    <r>
      <rPr>
        <sz val="10"/>
        <rFont val="Noto Sans CJK SC"/>
        <family val="2"/>
      </rPr>
      <t xml:space="preserve">元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吨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历史导入异常值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，建议解除固化重算</t>
    </r>
  </si>
  <si>
    <t xml:space="preserve">系统标“户头通道”，财务是反向；利润算出来一样，建议系统改成“反向”</t>
  </si>
  <si>
    <r>
      <rPr>
        <sz val="9"/>
        <color rgb="FF667085"/>
        <rFont val="Noto Sans CJK SC"/>
        <family val="2"/>
      </rPr>
      <t xml:space="preserve">只比“计算路径一致”的车；路径不一致的 </t>
    </r>
    <r>
      <rPr>
        <sz val="9"/>
        <color rgb="FF667085"/>
        <rFont val="Arial"/>
        <family val="0"/>
        <charset val="1"/>
      </rPr>
      <t xml:space="preserve">5 </t>
    </r>
    <r>
      <rPr>
        <sz val="9"/>
        <color rgb="FF667085"/>
        <rFont val="Noto Sans CJK SC"/>
        <family val="2"/>
      </rPr>
      <t xml:space="preserve">车等你在④改完后再比。调货人按系统当前记录算——②里改了调货人，提成那列会跟着变。财务 </t>
    </r>
    <r>
      <rPr>
        <sz val="9"/>
        <color rgb="FF667085"/>
        <rFont val="Arial"/>
        <family val="0"/>
        <charset val="1"/>
      </rPr>
      <t xml:space="preserve">INT </t>
    </r>
    <r>
      <rPr>
        <sz val="9"/>
        <color rgb="FF667085"/>
        <rFont val="Noto Sans CJK SC"/>
        <family val="2"/>
      </rPr>
      <t xml:space="preserve">取整造成的零点几元不单列（在最后一列“取整”里）。</t>
    </r>
  </si>
  <si>
    <t xml:space="preserve">路径</t>
  </si>
  <si>
    <t xml:space="preserve">吨位</t>
  </si>
  <si>
    <t xml:space="preserve">结算金额</t>
  </si>
  <si>
    <r>
      <rPr>
        <b val="true"/>
        <sz val="10"/>
        <color rgb="FFFFFFFF"/>
        <rFont val="Noto Sans CJK SC"/>
        <family val="2"/>
      </rPr>
      <t xml:space="preserve">差额
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系统−财务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</si>
  <si>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量补
财务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元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吨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</si>
  <si>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量补
系统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元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吨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</si>
  <si>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量补影响</t>
  </si>
  <si>
    <r>
      <rPr>
        <b val="true"/>
        <sz val="10"/>
        <color rgb="FFFFFFFF"/>
        <rFont val="Noto Sans CJK SC"/>
        <family val="2"/>
      </rPr>
      <t xml:space="preserve">提成
财务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元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吨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</si>
  <si>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提成
系统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元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吨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</si>
  <si>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提成影响</t>
  </si>
  <si>
    <t xml:space="preserve">票点系数
财务</t>
  </si>
  <si>
    <t xml:space="preserve">票点系数
系统</t>
  </si>
  <si>
    <t xml:space="preserve">票点影响</t>
  </si>
  <si>
    <t xml:space="preserve">给客户付
财务</t>
  </si>
  <si>
    <t xml:space="preserve">给客户付
系统</t>
  </si>
  <si>
    <t xml:space="preserve">给客户影响</t>
  </si>
  <si>
    <t xml:space="preserve">切割费
系统另扣</t>
  </si>
  <si>
    <t xml:space="preserve">切割费影响</t>
  </si>
  <si>
    <r>
      <rPr>
        <b val="true"/>
        <sz val="10"/>
        <color rgb="FFFFFFFF"/>
        <rFont val="Noto Sans CJK SC"/>
        <family val="2"/>
      </rPr>
      <t xml:space="preserve">取整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其它</t>
    </r>
  </si>
  <si>
    <t xml:space="preserve">有参数差异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</si>
  <si>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DBE075/</t>
    </r>
    <r>
      <rPr>
        <sz val="10"/>
        <rFont val="Noto Sans CJK SC"/>
        <family val="2"/>
      </rPr>
      <t xml:space="preserve">冀</t>
    </r>
    <r>
      <rPr>
        <sz val="10"/>
        <rFont val="Arial"/>
        <family val="0"/>
        <charset val="1"/>
      </rPr>
      <t xml:space="preserve">A224E6</t>
    </r>
  </si>
  <si>
    <t xml:space="preserve">财务表公式</t>
  </si>
  <si>
    <t xml:space="preserve">系统公式</t>
  </si>
  <si>
    <t xml:space="preserve">是否一致</t>
  </si>
  <si>
    <r>
      <rPr>
        <sz val="10"/>
        <rFont val="Noto Sans CJK SC"/>
        <family val="2"/>
      </rPr>
      <t xml:space="preserve">配票（俊兴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益周）</t>
    </r>
  </si>
  <si>
    <r>
      <rPr>
        <sz val="10"/>
        <rFont val="Noto Sans CJK SC"/>
        <family val="2"/>
      </rPr>
      <t xml:space="preserve">欧冶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结算额−</t>
    </r>
    <r>
      <rPr>
        <sz val="10"/>
        <rFont val="Arial"/>
        <family val="0"/>
        <charset val="1"/>
      </rPr>
      <t xml:space="preserve">23×</t>
    </r>
    <r>
      <rPr>
        <sz val="10"/>
        <rFont val="Noto Sans CJK SC"/>
        <family val="2"/>
      </rPr>
      <t xml:space="preserve">吨；实际付款</t>
    </r>
    <r>
      <rPr>
        <sz val="10"/>
        <rFont val="Arial"/>
        <family val="0"/>
        <charset val="1"/>
      </rPr>
      <t xml:space="preserve">=INT(</t>
    </r>
    <r>
      <rPr>
        <sz val="10"/>
        <rFont val="Noto Sans CJK SC"/>
        <family val="2"/>
      </rPr>
      <t xml:space="preserve">结算额</t>
    </r>
    <r>
      <rPr>
        <sz val="10"/>
        <rFont val="Arial"/>
        <family val="0"/>
        <charset val="1"/>
      </rPr>
      <t xml:space="preserve">×0.86)</t>
    </r>
    <r>
      <rPr>
        <sz val="10"/>
        <rFont val="Noto Sans CJK SC"/>
        <family val="2"/>
      </rPr>
      <t xml:space="preserve">；利润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欧冶</t>
    </r>
    <r>
      <rPr>
        <sz val="10"/>
        <rFont val="Arial"/>
        <family val="0"/>
        <charset val="1"/>
      </rPr>
      <t xml:space="preserve">×0.865−</t>
    </r>
    <r>
      <rPr>
        <sz val="10"/>
        <rFont val="Noto Sans CJK SC"/>
        <family val="2"/>
      </rPr>
      <t xml:space="preserve">实际付款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量补−提成</t>
    </r>
  </si>
  <si>
    <r>
      <rPr>
        <sz val="10"/>
        <rFont val="Noto Sans CJK SC"/>
        <family val="2"/>
      </rPr>
      <t xml:space="preserve">给客户付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结算额</t>
    </r>
    <r>
      <rPr>
        <sz val="10"/>
        <rFont val="Arial"/>
        <family val="0"/>
        <charset val="1"/>
      </rPr>
      <t xml:space="preserve">×(1−14%)</t>
    </r>
    <r>
      <rPr>
        <sz val="10"/>
        <rFont val="Noto Sans CJK SC"/>
        <family val="2"/>
      </rPr>
      <t xml:space="preserve">；前端实付</t>
    </r>
    <r>
      <rPr>
        <sz val="10"/>
        <rFont val="Arial"/>
        <family val="0"/>
        <charset val="1"/>
      </rPr>
      <t xml:space="preserve">=(</t>
    </r>
    <r>
      <rPr>
        <sz val="10"/>
        <rFont val="Noto Sans CJK SC"/>
        <family val="2"/>
      </rPr>
      <t xml:space="preserve">结算额−</t>
    </r>
    <r>
      <rPr>
        <sz val="10"/>
        <rFont val="Arial"/>
        <family val="0"/>
        <charset val="1"/>
      </rPr>
      <t xml:space="preserve">23×</t>
    </r>
    <r>
      <rPr>
        <sz val="10"/>
        <rFont val="Noto Sans CJK SC"/>
        <family val="2"/>
      </rPr>
      <t xml:space="preserve">吨</t>
    </r>
    <r>
      <rPr>
        <sz val="10"/>
        <rFont val="Arial"/>
        <family val="0"/>
        <charset val="1"/>
      </rPr>
      <t xml:space="preserve">)×(1−13.5%)</t>
    </r>
    <r>
      <rPr>
        <sz val="10"/>
        <rFont val="Noto Sans CJK SC"/>
        <family val="2"/>
      </rPr>
      <t xml:space="preserve">；利润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量补−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给客户付−前端实付</t>
    </r>
    <r>
      <rPr>
        <sz val="10"/>
        <rFont val="Arial"/>
        <family val="0"/>
        <charset val="1"/>
      </rPr>
      <t xml:space="preserve">)−</t>
    </r>
    <r>
      <rPr>
        <sz val="10"/>
        <rFont val="Noto Sans CJK SC"/>
        <family val="2"/>
      </rPr>
      <t xml:space="preserve">提成−切割费</t>
    </r>
  </si>
  <si>
    <r>
      <rPr>
        <sz val="10"/>
        <rFont val="Noto Sans CJK SC"/>
        <family val="2"/>
      </rPr>
      <t xml:space="preserve">一致（差 </t>
    </r>
    <r>
      <rPr>
        <sz val="10"/>
        <rFont val="Arial"/>
        <family val="0"/>
        <charset val="1"/>
      </rPr>
      <t xml:space="preserve">INT </t>
    </r>
    <r>
      <rPr>
        <sz val="10"/>
        <rFont val="Noto Sans CJK SC"/>
        <family val="2"/>
      </rPr>
      <t xml:space="preserve">取整、切割费）</t>
    </r>
  </si>
  <si>
    <t xml:space="preserve">配票（煌烽）</t>
  </si>
  <si>
    <r>
      <rPr>
        <sz val="10"/>
        <rFont val="Noto Sans CJK SC"/>
        <family val="2"/>
      </rPr>
      <t xml:space="preserve">「林凯」表：利润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欧冶</t>
    </r>
    <r>
      <rPr>
        <sz val="10"/>
        <rFont val="Arial"/>
        <family val="0"/>
        <charset val="1"/>
      </rPr>
      <t xml:space="preserve">×0.868−</t>
    </r>
    <r>
      <rPr>
        <sz val="10"/>
        <rFont val="Noto Sans CJK SC"/>
        <family val="2"/>
      </rPr>
      <t xml:space="preserve">实际付款</t>
    </r>
    <r>
      <rPr>
        <sz val="10"/>
        <rFont val="Arial"/>
        <family val="0"/>
        <charset val="1"/>
      </rPr>
      <t xml:space="preserve">+25×</t>
    </r>
    <r>
      <rPr>
        <sz val="10"/>
        <rFont val="Noto Sans CJK SC"/>
        <family val="2"/>
      </rPr>
      <t xml:space="preserve">吨；「邓晶焱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高栾凤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尹鹏飞」表仍用</t>
    </r>
    <r>
      <rPr>
        <sz val="10"/>
        <rFont val="Arial"/>
        <family val="0"/>
        <charset val="1"/>
      </rPr>
      <t xml:space="preserve">×0.865</t>
    </r>
  </si>
  <si>
    <r>
      <rPr>
        <sz val="10"/>
        <rFont val="Noto Sans CJK SC"/>
        <family val="2"/>
      </rPr>
      <t xml:space="preserve">前端实付按煌烽 </t>
    </r>
    <r>
      <rPr>
        <sz val="10"/>
        <rFont val="Arial"/>
        <family val="0"/>
        <charset val="1"/>
      </rPr>
      <t xml:space="preserve">13.2%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×0.868</t>
    </r>
    <r>
      <rPr>
        <sz val="10"/>
        <rFont val="Noto Sans CJK SC"/>
        <family val="2"/>
      </rPr>
      <t xml:space="preserve">）</t>
    </r>
  </si>
  <si>
    <t xml:space="preserve">「林凯」表一致；另三张表财务公式疑似没改</t>
  </si>
  <si>
    <r>
      <rPr>
        <sz val="10"/>
        <rFont val="Noto Sans CJK SC"/>
        <family val="2"/>
      </rPr>
      <t xml:space="preserve">实际付款</t>
    </r>
    <r>
      <rPr>
        <sz val="10"/>
        <rFont val="Arial"/>
        <family val="0"/>
        <charset val="1"/>
      </rPr>
      <t xml:space="preserve">=INT(</t>
    </r>
    <r>
      <rPr>
        <sz val="10"/>
        <rFont val="Noto Sans CJK SC"/>
        <family val="2"/>
      </rPr>
      <t xml:space="preserve">结算额</t>
    </r>
    <r>
      <rPr>
        <sz val="10"/>
        <rFont val="Arial"/>
        <family val="0"/>
        <charset val="1"/>
      </rPr>
      <t xml:space="preserve">×0.86)</t>
    </r>
    <r>
      <rPr>
        <sz val="10"/>
        <rFont val="Noto Sans CJK SC"/>
        <family val="2"/>
      </rPr>
      <t xml:space="preserve">；带票公司付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结算额</t>
    </r>
    <r>
      <rPr>
        <sz val="10"/>
        <rFont val="Arial"/>
        <family val="0"/>
        <charset val="1"/>
      </rPr>
      <t xml:space="preserve">×0.862</t>
    </r>
    <r>
      <rPr>
        <sz val="10"/>
        <rFont val="Noto Sans CJK SC"/>
        <family val="2"/>
      </rPr>
      <t xml:space="preserve">；利润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结算额</t>
    </r>
    <r>
      <rPr>
        <sz val="10"/>
        <rFont val="Arial"/>
        <family val="0"/>
        <charset val="1"/>
      </rPr>
      <t xml:space="preserve">×0.862−</t>
    </r>
    <r>
      <rPr>
        <sz val="10"/>
        <rFont val="Noto Sans CJK SC"/>
        <family val="2"/>
      </rPr>
      <t xml:space="preserve">实际付款</t>
    </r>
    <r>
      <rPr>
        <sz val="10"/>
        <rFont val="Arial"/>
        <family val="0"/>
        <charset val="1"/>
      </rPr>
      <t xml:space="preserve">+25×</t>
    </r>
    <r>
      <rPr>
        <sz val="10"/>
        <rFont val="Noto Sans CJK SC"/>
        <family val="2"/>
      </rPr>
      <t xml:space="preserve">吨（不扣垫资）</t>
    </r>
  </si>
  <si>
    <r>
      <rPr>
        <sz val="10"/>
        <rFont val="Noto Sans CJK SC"/>
        <family val="2"/>
      </rPr>
      <t xml:space="preserve">反向票点 </t>
    </r>
    <r>
      <rPr>
        <sz val="10"/>
        <rFont val="Arial"/>
        <family val="0"/>
        <charset val="1"/>
      </rPr>
      <t xml:space="preserve">13.8%</t>
    </r>
    <r>
      <rPr>
        <sz val="10"/>
        <rFont val="Noto Sans CJK SC"/>
        <family val="2"/>
      </rPr>
      <t xml:space="preserve">，本期垫资费 </t>
    </r>
    <r>
      <rPr>
        <sz val="10"/>
        <rFont val="Arial"/>
        <family val="0"/>
        <charset val="1"/>
      </rPr>
      <t xml:space="preserve">0</t>
    </r>
  </si>
  <si>
    <r>
      <rPr>
        <sz val="10"/>
        <rFont val="Noto Sans CJK SC"/>
        <family val="2"/>
      </rPr>
      <t xml:space="preserve">欧冶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结算额−</t>
    </r>
    <r>
      <rPr>
        <sz val="10"/>
        <rFont val="Arial"/>
        <family val="0"/>
        <charset val="1"/>
      </rPr>
      <t xml:space="preserve">23×</t>
    </r>
    <r>
      <rPr>
        <sz val="10"/>
        <rFont val="Noto Sans CJK SC"/>
        <family val="2"/>
      </rPr>
      <t xml:space="preserve">吨；付供货厂</t>
    </r>
    <r>
      <rPr>
        <sz val="10"/>
        <rFont val="Arial"/>
        <family val="0"/>
        <charset val="1"/>
      </rPr>
      <t xml:space="preserve">=INT(</t>
    </r>
    <r>
      <rPr>
        <sz val="10"/>
        <rFont val="Noto Sans CJK SC"/>
        <family val="2"/>
      </rPr>
      <t xml:space="preserve">结算额−</t>
    </r>
    <r>
      <rPr>
        <sz val="10"/>
        <rFont val="Arial"/>
        <family val="0"/>
        <charset val="1"/>
      </rPr>
      <t xml:space="preserve">40×</t>
    </r>
    <r>
      <rPr>
        <sz val="10"/>
        <rFont val="Noto Sans CJK SC"/>
        <family val="2"/>
      </rPr>
      <t xml:space="preserve">吨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；利润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欧冶−付款</t>
    </r>
    <r>
      <rPr>
        <sz val="10"/>
        <rFont val="Arial"/>
        <family val="0"/>
        <charset val="1"/>
      </rPr>
      <t xml:space="preserve">+25×</t>
    </r>
    <r>
      <rPr>
        <sz val="10"/>
        <rFont val="Noto Sans CJK SC"/>
        <family val="2"/>
      </rPr>
      <t xml:space="preserve">吨−</t>
    </r>
    <r>
      <rPr>
        <sz val="10"/>
        <rFont val="Arial"/>
        <family val="0"/>
        <charset val="1"/>
      </rPr>
      <t xml:space="preserve">15×</t>
    </r>
    <r>
      <rPr>
        <sz val="10"/>
        <rFont val="Noto Sans CJK SC"/>
        <family val="2"/>
      </rPr>
      <t xml:space="preserve">吨（</t>
    </r>
    <r>
      <rPr>
        <sz val="10"/>
        <rFont val="Arial"/>
        <family val="0"/>
        <charset val="1"/>
      </rPr>
      <t xml:space="preserve">=27</t>
    </r>
    <r>
      <rPr>
        <sz val="10"/>
        <rFont val="Noto Sans CJK SC"/>
        <family val="2"/>
      </rPr>
      <t xml:space="preserve">元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吨）</t>
    </r>
  </si>
  <si>
    <r>
      <rPr>
        <sz val="10"/>
        <rFont val="Noto Sans CJK SC"/>
        <family val="2"/>
      </rPr>
      <t xml:space="preserve">毛服务费</t>
    </r>
    <r>
      <rPr>
        <sz val="10"/>
        <rFont val="Arial"/>
        <family val="0"/>
        <charset val="1"/>
      </rPr>
      <t xml:space="preserve">40−</t>
    </r>
    <r>
      <rPr>
        <sz val="10"/>
        <rFont val="Noto Sans CJK SC"/>
        <family val="2"/>
      </rPr>
      <t xml:space="preserve">垫资</t>
    </r>
    <r>
      <rPr>
        <sz val="10"/>
        <rFont val="Arial"/>
        <family val="0"/>
        <charset val="1"/>
      </rPr>
      <t xml:space="preserve">23−</t>
    </r>
    <r>
      <rPr>
        <sz val="10"/>
        <rFont val="Noto Sans CJK SC"/>
        <family val="2"/>
      </rPr>
      <t xml:space="preserve">提成</t>
    </r>
    <r>
      <rPr>
        <sz val="10"/>
        <rFont val="Arial"/>
        <family val="0"/>
        <charset val="1"/>
      </rPr>
      <t xml:space="preserve">15+</t>
    </r>
    <r>
      <rPr>
        <sz val="10"/>
        <rFont val="Noto Sans CJK SC"/>
        <family val="2"/>
      </rPr>
      <t xml:space="preserve">量补</t>
    </r>
    <r>
      <rPr>
        <sz val="10"/>
        <rFont val="Arial"/>
        <family val="0"/>
        <charset val="1"/>
      </rPr>
      <t xml:space="preserve">25=27</t>
    </r>
    <r>
      <rPr>
        <sz val="10"/>
        <rFont val="Noto Sans CJK SC"/>
        <family val="2"/>
      </rPr>
      <t xml:space="preserve">元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吨，再减切割费</t>
    </r>
  </si>
  <si>
    <t xml:space="preserve">一致（差切割费）</t>
  </si>
  <si>
    <t xml:space="preserve">量补</t>
  </si>
  <si>
    <r>
      <rPr>
        <sz val="10"/>
        <rFont val="Noto Sans CJK SC"/>
        <family val="2"/>
      </rPr>
      <t xml:space="preserve">每行手写 </t>
    </r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或 </t>
    </r>
    <r>
      <rPr>
        <sz val="10"/>
        <rFont val="Arial"/>
        <family val="0"/>
        <charset val="1"/>
      </rPr>
      <t xml:space="preserve">25</t>
    </r>
  </si>
  <si>
    <r>
      <rPr>
        <sz val="10"/>
        <rFont val="Noto Sans CJK SC"/>
        <family val="2"/>
      </rPr>
      <t xml:space="preserve">按钢厂结算周期累计吨位查阶梯：</t>
    </r>
    <r>
      <rPr>
        <sz val="10"/>
        <rFont val="Arial"/>
        <family val="0"/>
        <charset val="1"/>
      </rPr>
      <t xml:space="preserve">7/26~8/25 </t>
    </r>
    <r>
      <rPr>
        <sz val="10"/>
        <rFont val="Noto Sans CJK SC"/>
        <family val="2"/>
      </rPr>
      <t xml:space="preserve">周期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8/26~9/25 </t>
    </r>
    <r>
      <rPr>
        <sz val="10"/>
        <rFont val="Noto Sans CJK SC"/>
        <family val="2"/>
      </rPr>
      <t xml:space="preserve">周期 </t>
    </r>
    <r>
      <rPr>
        <sz val="10"/>
        <rFont val="Arial"/>
        <family val="0"/>
        <charset val="1"/>
      </rPr>
      <t xml:space="preserve">25</t>
    </r>
  </si>
  <si>
    <r>
      <rPr>
        <sz val="10"/>
        <rFont val="Arial"/>
        <family val="0"/>
        <charset val="1"/>
      </rPr>
      <t xml:space="preserve">8/26~9/05 </t>
    </r>
    <r>
      <rPr>
        <sz val="10"/>
        <rFont val="Noto Sans CJK SC"/>
        <family val="2"/>
      </rPr>
      <t xml:space="preserve">林凯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邓晶焱的车不一致</t>
    </r>
  </si>
  <si>
    <t xml:space="preserve">林凯提成</t>
  </si>
  <si>
    <r>
      <rPr>
        <sz val="10"/>
        <rFont val="Noto Sans CJK SC"/>
        <family val="2"/>
      </rPr>
      <t xml:space="preserve">配票 </t>
    </r>
    <r>
      <rPr>
        <sz val="10"/>
        <rFont val="Arial"/>
        <family val="0"/>
        <charset val="1"/>
      </rPr>
      <t xml:space="preserve">9/05 </t>
    </r>
    <r>
      <rPr>
        <sz val="10"/>
        <rFont val="Noto Sans CJK SC"/>
        <family val="2"/>
      </rPr>
      <t xml:space="preserve">前 −</t>
    </r>
    <r>
      <rPr>
        <sz val="10"/>
        <rFont val="Arial"/>
        <family val="0"/>
        <charset val="1"/>
      </rPr>
      <t xml:space="preserve">5×</t>
    </r>
    <r>
      <rPr>
        <sz val="10"/>
        <rFont val="Noto Sans CJK SC"/>
        <family val="2"/>
      </rPr>
      <t xml:space="preserve">吨；带票 −</t>
    </r>
    <r>
      <rPr>
        <sz val="10"/>
        <rFont val="Arial"/>
        <family val="0"/>
        <charset val="1"/>
      </rPr>
      <t xml:space="preserve">15×</t>
    </r>
    <r>
      <rPr>
        <sz val="10"/>
        <rFont val="Noto Sans CJK SC"/>
        <family val="2"/>
      </rPr>
      <t xml:space="preserve">吨</t>
    </r>
  </si>
  <si>
    <r>
      <rPr>
        <sz val="10"/>
        <rFont val="Noto Sans CJK SC"/>
        <family val="2"/>
      </rPr>
      <t xml:space="preserve">配票 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元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吨到 </t>
    </r>
    <r>
      <rPr>
        <sz val="10"/>
        <rFont val="Arial"/>
        <family val="0"/>
        <charset val="1"/>
      </rPr>
      <t xml:space="preserve">9/04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9/05 </t>
    </r>
    <r>
      <rPr>
        <sz val="10"/>
        <rFont val="Noto Sans CJK SC"/>
        <family val="2"/>
      </rPr>
      <t xml:space="preserve">起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；带票 </t>
    </r>
    <r>
      <rPr>
        <sz val="10"/>
        <rFont val="Arial"/>
        <family val="0"/>
        <charset val="1"/>
      </rPr>
      <t xml:space="preserve">15 </t>
    </r>
    <r>
      <rPr>
        <sz val="10"/>
        <rFont val="Noto Sans CJK SC"/>
        <family val="2"/>
      </rPr>
      <t xml:space="preserve">元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吨</t>
    </r>
  </si>
  <si>
    <t xml:space="preserve">规则一致；差在哪些车算林凯的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</si>
</sst>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#,##0.00;[RED]\-#,##0.00;\-"/>
    <numFmt numFmtId="167" formatCode="0.00"/>
    <numFmt numFmtId="168" formatCode="0.000"/>
    <numFmt numFmtId="169" formatCode="#,##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b val="true"/>
      <sz val="14"/>
      <name val="Arial"/>
      <family val="0"/>
      <charset val="1"/>
    </font>
    <font>
      <sz val="9"/>
      <color rgb="FF667085"/>
      <name val="Noto Sans CJK SC"/>
      <family val="2"/>
    </font>
    <font>
      <sz val="9"/>
      <color rgb="FF667085"/>
      <name val="Arial"/>
      <family val="0"/>
      <charset val="1"/>
    </font>
    <font>
      <b val="true"/>
      <sz val="10"/>
      <color rgb="FFFFFFFF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A68"/>
        <bgColor rgb="FF333399"/>
      </patternFill>
    </fill>
    <fill>
      <patternFill patternType="solid">
        <fgColor rgb="FFFFF4CC"/>
        <bgColor rgb="FFFFFBEA"/>
      </patternFill>
    </fill>
    <fill>
      <patternFill patternType="solid">
        <fgColor rgb="FFE7F6EC"/>
        <bgColor rgb="FFF2F4F7"/>
      </patternFill>
    </fill>
    <fill>
      <patternFill patternType="solid">
        <fgColor rgb="FFFFFBEA"/>
        <bgColor rgb="FFFFFFFF"/>
      </patternFill>
    </fill>
    <fill>
      <patternFill patternType="solid">
        <fgColor rgb="FFFDE2E2"/>
        <bgColor rgb="FFFFF4CC"/>
      </patternFill>
    </fill>
    <fill>
      <patternFill patternType="solid">
        <fgColor rgb="FFF2F4F7"/>
        <bgColor rgb="FFE7F6E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12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A6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7F6EC"/>
          <bgColor rgb="FF000000"/>
        </patternFill>
      </fill>
    </dxf>
    <dxf>
      <fill>
        <patternFill patternType="solid">
          <fgColor rgb="FFFDE2E2"/>
          <bgColor rgb="FF000000"/>
        </patternFill>
      </fill>
    </dxf>
    <dxf>
      <fill>
        <patternFill patternType="solid">
          <fgColor rgb="FFFFF4CC"/>
          <bgColor rgb="FF000000"/>
        </patternFill>
      </fill>
    </dxf>
    <dxf>
      <fill>
        <patternFill patternType="solid">
          <fgColor rgb="FFFFFBEA"/>
          <bgColor rgb="FF000000"/>
        </patternFill>
      </fill>
    </dxf>
    <dxf>
      <fill>
        <patternFill>
          <bgColor rgb="FFFFF4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C"/>
      <rgbColor rgb="FFE7F6EC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4F7"/>
      <rgbColor rgb="FFCCFFCC"/>
      <rgbColor rgb="FFFFFBEA"/>
      <rgbColor rgb="FF99CCFF"/>
      <rgbColor rgb="FFFF99CC"/>
      <rgbColor rgb="FFCC99FF"/>
      <rgbColor rgb="FFFDE2E2"/>
      <rgbColor rgb="FF3366FF"/>
      <rgbColor rgb="FF33CCCC"/>
      <rgbColor rgb="FF99CC00"/>
      <rgbColor rgb="FFFFCC00"/>
      <rgbColor rgb="FFFF9900"/>
      <rgbColor rgb="FFFF6600"/>
      <rgbColor rgb="FF667085"/>
      <rgbColor rgb="FF969696"/>
      <rgbColor rgb="FF1F3A68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4" min="3" style="0" width="10"/>
    <col collapsed="false" customWidth="true" hidden="false" outlineLevel="0" max="5" min="5" style="0" width="80"/>
  </cols>
  <sheetData>
    <row r="1" customFormat="false" ht="21.6" hidden="false" customHeight="fals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</row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43.5" hidden="false" customHeight="true" outlineLevel="0" collapsed="false">
      <c r="A5" s="4" t="s">
        <v>7</v>
      </c>
      <c r="B5" s="4" t="s">
        <v>8</v>
      </c>
      <c r="C5" s="4" t="n">
        <f aca="false">COUNTIF(①车次对账!K2:K102,"一致*")</f>
        <v>97</v>
      </c>
      <c r="D5" s="5" t="n">
        <f aca="false">COUNTA(①车次对账!K2:K102)-C5</f>
        <v>4</v>
      </c>
      <c r="E5" s="6" t="s">
        <v>9</v>
      </c>
    </row>
    <row r="6" customFormat="false" ht="43.5" hidden="false" customHeight="true" outlineLevel="0" collapsed="false">
      <c r="A6" s="4" t="s">
        <v>10</v>
      </c>
      <c r="B6" s="4" t="s">
        <v>11</v>
      </c>
      <c r="C6" s="4" t="n">
        <f aca="false">COUNTIF(②调货人供货厂!J2:J102,"一致")</f>
        <v>81</v>
      </c>
      <c r="D6" s="5" t="n">
        <f aca="false">COUNTA(②调货人供货厂!J2:J102)-C6</f>
        <v>20</v>
      </c>
      <c r="E6" s="4" t="s">
        <v>12</v>
      </c>
    </row>
    <row r="7" customFormat="false" ht="43.5" hidden="false" customHeight="true" outlineLevel="0" collapsed="false">
      <c r="A7" s="4" t="s">
        <v>13</v>
      </c>
      <c r="B7" s="4" t="s">
        <v>11</v>
      </c>
      <c r="C7" s="4" t="n">
        <f aca="false">COUNTIF(③票源!H2:H102,"一致")</f>
        <v>76</v>
      </c>
      <c r="D7" s="5" t="n">
        <f aca="false">COUNTA(③票源!H2:H102)-C7</f>
        <v>25</v>
      </c>
      <c r="E7" s="4" t="s">
        <v>14</v>
      </c>
    </row>
    <row r="8" customFormat="false" ht="43.5" hidden="false" customHeight="true" outlineLevel="0" collapsed="false">
      <c r="A8" s="4" t="s">
        <v>15</v>
      </c>
      <c r="B8" s="4" t="s">
        <v>11</v>
      </c>
      <c r="C8" s="4" t="n">
        <f aca="false">COUNTIF(④计算路径!H2:H102,"一致")</f>
        <v>96</v>
      </c>
      <c r="D8" s="5" t="n">
        <f aca="false">COUNTA(④计算路径!H2:H102)-C8</f>
        <v>5</v>
      </c>
      <c r="E8" s="6" t="s">
        <v>16</v>
      </c>
    </row>
    <row r="9" customFormat="false" ht="43.5" hidden="false" customHeight="true" outlineLevel="0" collapsed="false">
      <c r="A9" s="4" t="s">
        <v>17</v>
      </c>
      <c r="B9" s="4" t="s">
        <v>18</v>
      </c>
      <c r="C9" s="4" t="n">
        <f aca="false">COUNTA(⑤参数差异!A3:A97)-D9</f>
        <v>45</v>
      </c>
      <c r="D9" s="5" t="n">
        <f aca="false">⑤参数差异!Z98</f>
        <v>50</v>
      </c>
      <c r="E9" s="4" t="s">
        <v>19</v>
      </c>
    </row>
    <row r="11" customFormat="false" ht="15" hidden="false" customHeight="false" outlineLevel="0" collapsed="false">
      <c r="A11" s="7" t="s">
        <v>20</v>
      </c>
    </row>
    <row r="12" customFormat="false" ht="21.75" hidden="false" customHeight="true" outlineLevel="0" collapsed="false">
      <c r="A12" s="3" t="s">
        <v>21</v>
      </c>
      <c r="B12" s="3" t="s">
        <v>22</v>
      </c>
      <c r="C12" s="3"/>
      <c r="D12" s="3"/>
      <c r="E12" s="3" t="s">
        <v>23</v>
      </c>
    </row>
    <row r="13" customFormat="false" ht="29.85" hidden="false" customHeight="false" outlineLevel="0" collapsed="false">
      <c r="A13" s="4" t="s">
        <v>24</v>
      </c>
      <c r="B13" s="8" t="n">
        <f aca="false">⑤参数差异!M98</f>
        <v>12531.4</v>
      </c>
      <c r="C13" s="4"/>
      <c r="D13" s="4"/>
      <c r="E13" s="6" t="s">
        <v>25</v>
      </c>
    </row>
    <row r="14" customFormat="false" ht="15" hidden="false" customHeight="false" outlineLevel="0" collapsed="false">
      <c r="A14" s="4" t="s">
        <v>26</v>
      </c>
      <c r="B14" s="8" t="n">
        <f aca="false">⑤参数差异!P98</f>
        <v>4460.52904</v>
      </c>
      <c r="C14" s="4"/>
      <c r="D14" s="4"/>
      <c r="E14" s="4" t="s">
        <v>27</v>
      </c>
    </row>
    <row r="15" customFormat="false" ht="29.85" hidden="false" customHeight="false" outlineLevel="0" collapsed="false">
      <c r="A15" s="4" t="s">
        <v>28</v>
      </c>
      <c r="B15" s="8" t="n">
        <f aca="false">⑤参数差异!S98</f>
        <v>9157.45110000001</v>
      </c>
      <c r="C15" s="4"/>
      <c r="D15" s="4"/>
      <c r="E15" s="4" t="s">
        <v>29</v>
      </c>
    </row>
    <row r="16" customFormat="false" ht="29.85" hidden="false" customHeight="false" outlineLevel="0" collapsed="false">
      <c r="A16" s="4" t="s">
        <v>30</v>
      </c>
      <c r="B16" s="8" t="n">
        <f aca="false">⑤参数差异!V98</f>
        <v>2542.51792</v>
      </c>
      <c r="C16" s="4"/>
      <c r="D16" s="4"/>
      <c r="E16" s="4" t="s">
        <v>31</v>
      </c>
    </row>
    <row r="17" customFormat="false" ht="29.85" hidden="false" customHeight="false" outlineLevel="0" collapsed="false">
      <c r="A17" s="4" t="s">
        <v>32</v>
      </c>
      <c r="B17" s="8" t="n">
        <f aca="false">⑤参数差异!X98</f>
        <v>-800</v>
      </c>
      <c r="C17" s="4"/>
      <c r="D17" s="4"/>
      <c r="E17" s="4" t="s">
        <v>33</v>
      </c>
    </row>
    <row r="18" customFormat="false" ht="15" hidden="false" customHeight="false" outlineLevel="0" collapsed="false">
      <c r="A18" s="4" t="s">
        <v>34</v>
      </c>
      <c r="B18" s="8" t="n">
        <f aca="false">⑤参数差异!Y98</f>
        <v>-48.2267599996949</v>
      </c>
      <c r="C18" s="4"/>
      <c r="D18" s="4"/>
      <c r="E18" s="4" t="s">
        <v>35</v>
      </c>
    </row>
    <row r="19" customFormat="false" ht="15" hidden="false" customHeight="false" outlineLevel="0" collapsed="false">
      <c r="A19" s="7" t="s">
        <v>36</v>
      </c>
      <c r="B19" s="9" t="n">
        <f aca="false">SUM(B13:B18)</f>
        <v>27843.6713000003</v>
      </c>
    </row>
    <row r="20" customFormat="false" ht="15" hidden="false" customHeight="false" outlineLevel="0" collapsed="false">
      <c r="A20" s="10" t="s">
        <v>37</v>
      </c>
    </row>
    <row r="22" customFormat="false" ht="15" hidden="false" customHeight="false" outlineLevel="0" collapsed="false">
      <c r="A22" s="7" t="s">
        <v>38</v>
      </c>
    </row>
    <row r="23" customFormat="false" ht="15" hidden="false" customHeight="false" outlineLevel="0" collapsed="false">
      <c r="A23" s="11" t="s">
        <v>39</v>
      </c>
      <c r="B23" s="11"/>
      <c r="C23" s="11"/>
      <c r="D23" s="11"/>
      <c r="E23" s="11"/>
    </row>
  </sheetData>
  <mergeCells count="2">
    <mergeCell ref="A2:E2"/>
    <mergeCell ref="A23:E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5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3"/>
    <col collapsed="false" customWidth="true" hidden="false" outlineLevel="0" max="6" min="6" style="0" width="9"/>
    <col collapsed="false" customWidth="true" hidden="false" outlineLevel="0" max="7" min="7" style="0" width="20"/>
    <col collapsed="false" customWidth="true" hidden="false" outlineLevel="0" max="8" min="8" style="0" width="11"/>
    <col collapsed="false" customWidth="true" hidden="false" outlineLevel="0" max="9" min="9" style="0" width="9"/>
    <col collapsed="false" customWidth="true" hidden="false" outlineLevel="0" max="10" min="10" style="0" width="13"/>
    <col collapsed="false" customWidth="true" hidden="false" outlineLevel="0" max="11" min="11" style="0" width="14"/>
    <col collapsed="false" customWidth="true" hidden="false" outlineLevel="0" max="12" min="12" style="0" width="58"/>
    <col collapsed="false" customWidth="true" hidden="false" outlineLevel="0" max="13" min="13" style="0" width="24"/>
  </cols>
  <sheetData>
    <row r="1" customFormat="false" ht="31.5" hidden="false" customHeight="true" outlineLevel="0" collapsed="false">
      <c r="A1" s="3" t="s">
        <v>40</v>
      </c>
      <c r="B1" s="3" t="s">
        <v>41</v>
      </c>
      <c r="C1" s="3" t="s">
        <v>42</v>
      </c>
      <c r="D1" s="3" t="s">
        <v>43</v>
      </c>
      <c r="E1" s="3" t="s">
        <v>44</v>
      </c>
      <c r="F1" s="3" t="s">
        <v>11</v>
      </c>
      <c r="G1" s="3" t="s">
        <v>45</v>
      </c>
      <c r="H1" s="3" t="s">
        <v>46</v>
      </c>
      <c r="I1" s="3" t="s">
        <v>47</v>
      </c>
      <c r="J1" s="3" t="s">
        <v>48</v>
      </c>
      <c r="K1" s="3" t="s">
        <v>49</v>
      </c>
      <c r="L1" s="3" t="s">
        <v>50</v>
      </c>
      <c r="M1" s="3" t="s">
        <v>51</v>
      </c>
    </row>
    <row r="2" customFormat="false" ht="15" hidden="false" customHeight="false" outlineLevel="0" collapsed="false">
      <c r="A2" s="12" t="s">
        <v>52</v>
      </c>
      <c r="B2" s="12" t="n">
        <v>2</v>
      </c>
      <c r="C2" s="13" t="s">
        <v>53</v>
      </c>
      <c r="D2" s="14" t="n">
        <v>73.58</v>
      </c>
      <c r="E2" s="15" t="n">
        <v>168498.2</v>
      </c>
      <c r="F2" s="13" t="s">
        <v>54</v>
      </c>
      <c r="G2" s="12" t="s">
        <v>55</v>
      </c>
      <c r="H2" s="13" t="s">
        <v>53</v>
      </c>
      <c r="I2" s="14" t="n">
        <v>73.58</v>
      </c>
      <c r="J2" s="15" t="n">
        <v>168498.2</v>
      </c>
      <c r="K2" s="16" t="s">
        <v>4</v>
      </c>
      <c r="L2" s="4"/>
      <c r="M2" s="17"/>
    </row>
    <row r="3" customFormat="false" ht="15" hidden="false" customHeight="false" outlineLevel="0" collapsed="false">
      <c r="A3" s="12" t="s">
        <v>52</v>
      </c>
      <c r="B3" s="12" t="n">
        <v>3</v>
      </c>
      <c r="C3" s="13" t="s">
        <v>56</v>
      </c>
      <c r="D3" s="14" t="n">
        <v>34.8</v>
      </c>
      <c r="E3" s="15" t="n">
        <v>84564</v>
      </c>
      <c r="F3" s="13" t="s">
        <v>57</v>
      </c>
      <c r="G3" s="12" t="s">
        <v>58</v>
      </c>
      <c r="H3" s="13" t="s">
        <v>56</v>
      </c>
      <c r="I3" s="14" t="n">
        <v>34.8</v>
      </c>
      <c r="J3" s="15" t="n">
        <v>84564</v>
      </c>
      <c r="K3" s="16" t="s">
        <v>4</v>
      </c>
      <c r="L3" s="4"/>
      <c r="M3" s="17"/>
    </row>
    <row r="4" customFormat="false" ht="15" hidden="false" customHeight="false" outlineLevel="0" collapsed="false">
      <c r="A4" s="12" t="s">
        <v>52</v>
      </c>
      <c r="B4" s="12" t="n">
        <v>4</v>
      </c>
      <c r="C4" s="13" t="s">
        <v>59</v>
      </c>
      <c r="D4" s="14" t="n">
        <v>81.16</v>
      </c>
      <c r="E4" s="15" t="n">
        <v>201276.8</v>
      </c>
      <c r="F4" s="13" t="s">
        <v>60</v>
      </c>
      <c r="G4" s="12" t="s">
        <v>55</v>
      </c>
      <c r="H4" s="13" t="s">
        <v>59</v>
      </c>
      <c r="I4" s="14" t="n">
        <v>81.16</v>
      </c>
      <c r="J4" s="15" t="n">
        <v>201276.8</v>
      </c>
      <c r="K4" s="16" t="s">
        <v>4</v>
      </c>
      <c r="L4" s="4"/>
      <c r="M4" s="17"/>
    </row>
    <row r="5" customFormat="false" ht="15" hidden="false" customHeight="false" outlineLevel="0" collapsed="false">
      <c r="A5" s="12" t="s">
        <v>52</v>
      </c>
      <c r="B5" s="12" t="n">
        <v>5</v>
      </c>
      <c r="C5" s="13" t="s">
        <v>59</v>
      </c>
      <c r="D5" s="14" t="n">
        <v>36.36</v>
      </c>
      <c r="E5" s="15" t="n">
        <v>83264.4</v>
      </c>
      <c r="F5" s="13" t="s">
        <v>61</v>
      </c>
      <c r="G5" s="12" t="s">
        <v>62</v>
      </c>
      <c r="H5" s="13" t="s">
        <v>59</v>
      </c>
      <c r="I5" s="14" t="n">
        <v>36.36</v>
      </c>
      <c r="J5" s="15" t="n">
        <v>83264.4</v>
      </c>
      <c r="K5" s="16" t="s">
        <v>4</v>
      </c>
      <c r="L5" s="4"/>
      <c r="M5" s="17"/>
    </row>
    <row r="6" customFormat="false" ht="15" hidden="false" customHeight="false" outlineLevel="0" collapsed="false">
      <c r="A6" s="12" t="s">
        <v>52</v>
      </c>
      <c r="B6" s="12" t="n">
        <v>6</v>
      </c>
      <c r="C6" s="13" t="s">
        <v>59</v>
      </c>
      <c r="D6" s="14" t="n">
        <v>32.94</v>
      </c>
      <c r="E6" s="15" t="n">
        <v>75432.6</v>
      </c>
      <c r="F6" s="13" t="s">
        <v>63</v>
      </c>
      <c r="G6" s="12" t="s">
        <v>64</v>
      </c>
      <c r="H6" s="13" t="s">
        <v>59</v>
      </c>
      <c r="I6" s="14" t="n">
        <v>32.94</v>
      </c>
      <c r="J6" s="15" t="n">
        <v>75432.6</v>
      </c>
      <c r="K6" s="16" t="s">
        <v>4</v>
      </c>
      <c r="L6" s="4"/>
      <c r="M6" s="17"/>
    </row>
    <row r="7" customFormat="false" ht="15" hidden="false" customHeight="false" outlineLevel="0" collapsed="false">
      <c r="A7" s="12" t="s">
        <v>52</v>
      </c>
      <c r="B7" s="12" t="n">
        <v>7</v>
      </c>
      <c r="C7" s="13" t="s">
        <v>59</v>
      </c>
      <c r="D7" s="14" t="n">
        <v>24.41</v>
      </c>
      <c r="E7" s="15" t="n">
        <v>59023.38</v>
      </c>
      <c r="F7" s="13" t="s">
        <v>65</v>
      </c>
      <c r="G7" s="12" t="s">
        <v>66</v>
      </c>
      <c r="H7" s="13" t="s">
        <v>59</v>
      </c>
      <c r="I7" s="14" t="n">
        <v>24.41</v>
      </c>
      <c r="J7" s="15" t="n">
        <v>59023.38</v>
      </c>
      <c r="K7" s="16" t="s">
        <v>4</v>
      </c>
      <c r="L7" s="4"/>
      <c r="M7" s="17"/>
    </row>
    <row r="8" customFormat="false" ht="15" hidden="false" customHeight="false" outlineLevel="0" collapsed="false">
      <c r="A8" s="12" t="s">
        <v>52</v>
      </c>
      <c r="B8" s="12" t="n">
        <v>8</v>
      </c>
      <c r="C8" s="13" t="s">
        <v>67</v>
      </c>
      <c r="D8" s="14" t="n">
        <v>69.5</v>
      </c>
      <c r="E8" s="15" t="n">
        <v>159155</v>
      </c>
      <c r="F8" s="13" t="s">
        <v>68</v>
      </c>
      <c r="G8" s="12" t="s">
        <v>55</v>
      </c>
      <c r="H8" s="13" t="s">
        <v>67</v>
      </c>
      <c r="I8" s="14" t="n">
        <v>69.5</v>
      </c>
      <c r="J8" s="15" t="n">
        <v>159155</v>
      </c>
      <c r="K8" s="16" t="s">
        <v>4</v>
      </c>
      <c r="L8" s="4"/>
      <c r="M8" s="17"/>
    </row>
    <row r="9" customFormat="false" ht="15" hidden="false" customHeight="false" outlineLevel="0" collapsed="false">
      <c r="A9" s="12" t="s">
        <v>52</v>
      </c>
      <c r="B9" s="12" t="n">
        <v>9</v>
      </c>
      <c r="C9" s="13" t="s">
        <v>67</v>
      </c>
      <c r="D9" s="14" t="n">
        <v>34.24</v>
      </c>
      <c r="E9" s="15" t="n">
        <v>78409.6</v>
      </c>
      <c r="F9" s="13" t="s">
        <v>69</v>
      </c>
      <c r="G9" s="12" t="s">
        <v>70</v>
      </c>
      <c r="H9" s="13" t="s">
        <v>67</v>
      </c>
      <c r="I9" s="14" t="n">
        <v>34.24</v>
      </c>
      <c r="J9" s="15" t="n">
        <v>78409.6</v>
      </c>
      <c r="K9" s="16" t="s">
        <v>4</v>
      </c>
      <c r="L9" s="4"/>
      <c r="M9" s="17"/>
    </row>
    <row r="10" customFormat="false" ht="15" hidden="false" customHeight="false" outlineLevel="0" collapsed="false">
      <c r="A10" s="12" t="s">
        <v>52</v>
      </c>
      <c r="B10" s="12" t="n">
        <v>10</v>
      </c>
      <c r="C10" s="13" t="s">
        <v>71</v>
      </c>
      <c r="D10" s="14" t="n">
        <v>81</v>
      </c>
      <c r="E10" s="15" t="n">
        <v>184032</v>
      </c>
      <c r="F10" s="13" t="s">
        <v>72</v>
      </c>
      <c r="G10" s="12" t="s">
        <v>73</v>
      </c>
      <c r="H10" s="13" t="s">
        <v>71</v>
      </c>
      <c r="I10" s="14" t="n">
        <v>81</v>
      </c>
      <c r="J10" s="15" t="n">
        <v>184032</v>
      </c>
      <c r="K10" s="16" t="s">
        <v>4</v>
      </c>
      <c r="L10" s="4"/>
      <c r="M10" s="17"/>
    </row>
    <row r="11" customFormat="false" ht="15" hidden="false" customHeight="false" outlineLevel="0" collapsed="false">
      <c r="A11" s="12" t="s">
        <v>52</v>
      </c>
      <c r="B11" s="12" t="n">
        <v>11</v>
      </c>
      <c r="C11" s="13" t="s">
        <v>74</v>
      </c>
      <c r="D11" s="14" t="n">
        <v>560.39</v>
      </c>
      <c r="E11" s="15" t="n">
        <v>1344115.89</v>
      </c>
      <c r="F11" s="13" t="s">
        <v>75</v>
      </c>
      <c r="G11" s="12" t="s">
        <v>76</v>
      </c>
      <c r="H11" s="13" t="s">
        <v>77</v>
      </c>
      <c r="I11" s="14" t="n">
        <v>560.39</v>
      </c>
      <c r="J11" s="15" t="n">
        <v>1344115.89</v>
      </c>
      <c r="K11" s="16" t="s">
        <v>78</v>
      </c>
      <c r="L11" s="4" t="s">
        <v>79</v>
      </c>
      <c r="M11" s="17"/>
    </row>
    <row r="12" customFormat="false" ht="15" hidden="false" customHeight="false" outlineLevel="0" collapsed="false">
      <c r="A12" s="12" t="s">
        <v>52</v>
      </c>
      <c r="B12" s="12" t="n">
        <v>12</v>
      </c>
      <c r="C12" s="13" t="s">
        <v>77</v>
      </c>
      <c r="D12" s="14" t="n">
        <v>40.27</v>
      </c>
      <c r="E12" s="15" t="n">
        <v>93426.4</v>
      </c>
      <c r="F12" s="13" t="s">
        <v>80</v>
      </c>
      <c r="G12" s="12" t="s">
        <v>81</v>
      </c>
      <c r="H12" s="13" t="s">
        <v>77</v>
      </c>
      <c r="I12" s="14" t="n">
        <v>40.27</v>
      </c>
      <c r="J12" s="15" t="n">
        <v>93426.4</v>
      </c>
      <c r="K12" s="16" t="s">
        <v>4</v>
      </c>
      <c r="L12" s="4"/>
      <c r="M12" s="17"/>
    </row>
    <row r="13" customFormat="false" ht="15" hidden="false" customHeight="false" outlineLevel="0" collapsed="false">
      <c r="A13" s="12" t="s">
        <v>52</v>
      </c>
      <c r="B13" s="12" t="n">
        <v>13</v>
      </c>
      <c r="C13" s="13" t="s">
        <v>77</v>
      </c>
      <c r="D13" s="14" t="n">
        <v>34.3</v>
      </c>
      <c r="E13" s="15" t="n">
        <v>84206.5</v>
      </c>
      <c r="F13" s="13" t="s">
        <v>82</v>
      </c>
      <c r="G13" s="12" t="s">
        <v>58</v>
      </c>
      <c r="H13" s="13" t="s">
        <v>77</v>
      </c>
      <c r="I13" s="14" t="n">
        <v>34.3</v>
      </c>
      <c r="J13" s="15" t="n">
        <v>84206.5</v>
      </c>
      <c r="K13" s="16" t="s">
        <v>4</v>
      </c>
      <c r="L13" s="4"/>
      <c r="M13" s="17"/>
    </row>
    <row r="14" customFormat="false" ht="15" hidden="false" customHeight="false" outlineLevel="0" collapsed="false">
      <c r="A14" s="12" t="s">
        <v>52</v>
      </c>
      <c r="B14" s="12" t="n">
        <v>14</v>
      </c>
      <c r="C14" s="13" t="s">
        <v>77</v>
      </c>
      <c r="D14" s="14" t="n">
        <v>32.05</v>
      </c>
      <c r="E14" s="15" t="n">
        <v>78682.75</v>
      </c>
      <c r="F14" s="13" t="s">
        <v>83</v>
      </c>
      <c r="G14" s="12" t="s">
        <v>84</v>
      </c>
      <c r="H14" s="13" t="s">
        <v>77</v>
      </c>
      <c r="I14" s="14" t="n">
        <v>32.05</v>
      </c>
      <c r="J14" s="15" t="n">
        <v>78682.75</v>
      </c>
      <c r="K14" s="16" t="s">
        <v>4</v>
      </c>
      <c r="L14" s="4"/>
      <c r="M14" s="17"/>
    </row>
    <row r="15" customFormat="false" ht="15" hidden="false" customHeight="false" outlineLevel="0" collapsed="false">
      <c r="A15" s="12" t="s">
        <v>52</v>
      </c>
      <c r="B15" s="12" t="n">
        <v>15</v>
      </c>
      <c r="C15" s="13" t="s">
        <v>77</v>
      </c>
      <c r="D15" s="14" t="n">
        <v>28.47</v>
      </c>
      <c r="E15" s="15" t="n">
        <v>68569.64</v>
      </c>
      <c r="F15" s="13" t="s">
        <v>85</v>
      </c>
      <c r="G15" s="12" t="s">
        <v>86</v>
      </c>
      <c r="H15" s="13" t="s">
        <v>77</v>
      </c>
      <c r="I15" s="14" t="n">
        <v>28.47</v>
      </c>
      <c r="J15" s="15" t="n">
        <v>68569.64</v>
      </c>
      <c r="K15" s="16" t="s">
        <v>4</v>
      </c>
      <c r="L15" s="4"/>
      <c r="M15" s="17"/>
    </row>
    <row r="16" customFormat="false" ht="15" hidden="false" customHeight="false" outlineLevel="0" collapsed="false">
      <c r="A16" s="12" t="s">
        <v>52</v>
      </c>
      <c r="B16" s="12" t="n">
        <v>16</v>
      </c>
      <c r="C16" s="13" t="s">
        <v>77</v>
      </c>
      <c r="D16" s="14" t="n">
        <v>48.38</v>
      </c>
      <c r="E16" s="15" t="n">
        <v>116112</v>
      </c>
      <c r="F16" s="13" t="s">
        <v>87</v>
      </c>
      <c r="G16" s="12" t="s">
        <v>88</v>
      </c>
      <c r="H16" s="13" t="s">
        <v>77</v>
      </c>
      <c r="I16" s="14" t="n">
        <v>48.38</v>
      </c>
      <c r="J16" s="15" t="n">
        <v>116112</v>
      </c>
      <c r="K16" s="16" t="s">
        <v>4</v>
      </c>
      <c r="L16" s="4"/>
      <c r="M16" s="17"/>
    </row>
    <row r="17" customFormat="false" ht="15" hidden="false" customHeight="false" outlineLevel="0" collapsed="false">
      <c r="A17" s="12" t="s">
        <v>52</v>
      </c>
      <c r="B17" s="12" t="n">
        <v>17</v>
      </c>
      <c r="C17" s="13" t="s">
        <v>89</v>
      </c>
      <c r="D17" s="14" t="n">
        <v>81.9</v>
      </c>
      <c r="E17" s="15" t="n">
        <v>191646</v>
      </c>
      <c r="F17" s="13" t="s">
        <v>90</v>
      </c>
      <c r="G17" s="12" t="s">
        <v>91</v>
      </c>
      <c r="H17" s="13" t="s">
        <v>89</v>
      </c>
      <c r="I17" s="14" t="n">
        <v>81.9</v>
      </c>
      <c r="J17" s="15" t="n">
        <v>191646</v>
      </c>
      <c r="K17" s="16" t="s">
        <v>4</v>
      </c>
      <c r="L17" s="4"/>
      <c r="M17" s="17"/>
    </row>
    <row r="18" customFormat="false" ht="15" hidden="false" customHeight="false" outlineLevel="0" collapsed="false">
      <c r="A18" s="12" t="s">
        <v>52</v>
      </c>
      <c r="B18" s="12" t="n">
        <v>18</v>
      </c>
      <c r="C18" s="13" t="s">
        <v>89</v>
      </c>
      <c r="D18" s="14" t="n">
        <v>18.52</v>
      </c>
      <c r="E18" s="15" t="n">
        <v>44448</v>
      </c>
      <c r="F18" s="13" t="s">
        <v>92</v>
      </c>
      <c r="G18" s="12" t="s">
        <v>93</v>
      </c>
      <c r="H18" s="13" t="s">
        <v>89</v>
      </c>
      <c r="I18" s="14" t="n">
        <v>18.52</v>
      </c>
      <c r="J18" s="15" t="n">
        <v>44448</v>
      </c>
      <c r="K18" s="16" t="s">
        <v>4</v>
      </c>
      <c r="L18" s="4"/>
      <c r="M18" s="17"/>
    </row>
    <row r="19" customFormat="false" ht="15" hidden="false" customHeight="false" outlineLevel="0" collapsed="false">
      <c r="A19" s="12" t="s">
        <v>52</v>
      </c>
      <c r="B19" s="12" t="n">
        <v>19</v>
      </c>
      <c r="C19" s="13" t="s">
        <v>89</v>
      </c>
      <c r="D19" s="14" t="n">
        <v>38.2</v>
      </c>
      <c r="E19" s="15" t="n">
        <v>88624</v>
      </c>
      <c r="F19" s="13" t="s">
        <v>94</v>
      </c>
      <c r="G19" s="12" t="s">
        <v>73</v>
      </c>
      <c r="H19" s="13" t="s">
        <v>89</v>
      </c>
      <c r="I19" s="14" t="n">
        <v>38.2</v>
      </c>
      <c r="J19" s="15" t="n">
        <v>88624</v>
      </c>
      <c r="K19" s="16" t="s">
        <v>4</v>
      </c>
      <c r="L19" s="4"/>
      <c r="M19" s="17"/>
    </row>
    <row r="20" customFormat="false" ht="15" hidden="false" customHeight="false" outlineLevel="0" collapsed="false">
      <c r="A20" s="12" t="s">
        <v>52</v>
      </c>
      <c r="B20" s="12" t="n">
        <v>20</v>
      </c>
      <c r="C20" s="13" t="s">
        <v>89</v>
      </c>
      <c r="D20" s="14" t="n">
        <v>55.18</v>
      </c>
      <c r="E20" s="15" t="n">
        <v>130224.8</v>
      </c>
      <c r="F20" s="13" t="s">
        <v>95</v>
      </c>
      <c r="G20" s="12" t="s">
        <v>58</v>
      </c>
      <c r="H20" s="13" t="s">
        <v>89</v>
      </c>
      <c r="I20" s="14" t="n">
        <v>55.18</v>
      </c>
      <c r="J20" s="15" t="n">
        <v>130224.8</v>
      </c>
      <c r="K20" s="16" t="s">
        <v>4</v>
      </c>
      <c r="L20" s="4"/>
      <c r="M20" s="17"/>
    </row>
    <row r="21" customFormat="false" ht="15" hidden="false" customHeight="false" outlineLevel="0" collapsed="false">
      <c r="A21" s="12" t="s">
        <v>52</v>
      </c>
      <c r="B21" s="12" t="n">
        <v>21</v>
      </c>
      <c r="C21" s="13" t="s">
        <v>89</v>
      </c>
      <c r="D21" s="14" t="n">
        <v>63.16</v>
      </c>
      <c r="E21" s="15" t="n">
        <v>153352.48</v>
      </c>
      <c r="F21" s="13" t="s">
        <v>96</v>
      </c>
      <c r="G21" s="12" t="s">
        <v>55</v>
      </c>
      <c r="H21" s="13" t="s">
        <v>89</v>
      </c>
      <c r="I21" s="14" t="n">
        <v>63.16</v>
      </c>
      <c r="J21" s="15" t="n">
        <v>153352.48</v>
      </c>
      <c r="K21" s="16" t="s">
        <v>4</v>
      </c>
      <c r="L21" s="4"/>
      <c r="M21" s="17"/>
    </row>
    <row r="22" customFormat="false" ht="15" hidden="false" customHeight="false" outlineLevel="0" collapsed="false">
      <c r="A22" s="12" t="s">
        <v>52</v>
      </c>
      <c r="B22" s="12" t="n">
        <v>22</v>
      </c>
      <c r="C22" s="13" t="s">
        <v>89</v>
      </c>
      <c r="D22" s="14" t="n">
        <v>27.22</v>
      </c>
      <c r="E22" s="15" t="n">
        <v>66416.8</v>
      </c>
      <c r="F22" s="13" t="s">
        <v>97</v>
      </c>
      <c r="G22" s="12" t="s">
        <v>66</v>
      </c>
      <c r="H22" s="13" t="s">
        <v>89</v>
      </c>
      <c r="I22" s="14" t="n">
        <v>27.22</v>
      </c>
      <c r="J22" s="15" t="n">
        <v>66416.8</v>
      </c>
      <c r="K22" s="16" t="s">
        <v>4</v>
      </c>
      <c r="L22" s="4"/>
      <c r="M22" s="17"/>
    </row>
    <row r="23" customFormat="false" ht="15" hidden="false" customHeight="false" outlineLevel="0" collapsed="false">
      <c r="A23" s="12" t="s">
        <v>52</v>
      </c>
      <c r="B23" s="12" t="n">
        <v>23</v>
      </c>
      <c r="C23" s="13" t="s">
        <v>89</v>
      </c>
      <c r="D23" s="14" t="n">
        <v>34.22</v>
      </c>
      <c r="E23" s="15" t="n">
        <v>83496.8</v>
      </c>
      <c r="F23" s="13" t="s">
        <v>98</v>
      </c>
      <c r="G23" s="12" t="s">
        <v>84</v>
      </c>
      <c r="H23" s="13" t="s">
        <v>89</v>
      </c>
      <c r="I23" s="14" t="n">
        <v>34.22</v>
      </c>
      <c r="J23" s="15" t="n">
        <v>83496.8</v>
      </c>
      <c r="K23" s="16" t="s">
        <v>4</v>
      </c>
      <c r="L23" s="4"/>
      <c r="M23" s="17"/>
    </row>
    <row r="24" customFormat="false" ht="15" hidden="false" customHeight="false" outlineLevel="0" collapsed="false">
      <c r="A24" s="12" t="s">
        <v>52</v>
      </c>
      <c r="B24" s="12" t="n">
        <v>24</v>
      </c>
      <c r="C24" s="13" t="s">
        <v>89</v>
      </c>
      <c r="D24" s="14" t="n">
        <v>67.8</v>
      </c>
      <c r="E24" s="15" t="n">
        <v>151872</v>
      </c>
      <c r="F24" s="13" t="s">
        <v>99</v>
      </c>
      <c r="G24" s="12" t="s">
        <v>73</v>
      </c>
      <c r="H24" s="13" t="s">
        <v>89</v>
      </c>
      <c r="I24" s="14" t="n">
        <v>67.8</v>
      </c>
      <c r="J24" s="15" t="n">
        <v>151872</v>
      </c>
      <c r="K24" s="16" t="s">
        <v>4</v>
      </c>
      <c r="L24" s="4"/>
      <c r="M24" s="17"/>
    </row>
    <row r="25" customFormat="false" ht="15" hidden="false" customHeight="false" outlineLevel="0" collapsed="false">
      <c r="A25" s="12" t="s">
        <v>52</v>
      </c>
      <c r="B25" s="12" t="n">
        <v>25</v>
      </c>
      <c r="C25" s="13" t="s">
        <v>89</v>
      </c>
      <c r="D25" s="14" t="n">
        <v>32.52</v>
      </c>
      <c r="E25" s="15" t="n">
        <v>78048</v>
      </c>
      <c r="F25" s="13" t="s">
        <v>100</v>
      </c>
      <c r="G25" s="12" t="s">
        <v>101</v>
      </c>
      <c r="H25" s="13" t="s">
        <v>89</v>
      </c>
      <c r="I25" s="14" t="n">
        <v>32.52</v>
      </c>
      <c r="J25" s="15" t="n">
        <v>78048</v>
      </c>
      <c r="K25" s="16" t="s">
        <v>4</v>
      </c>
      <c r="L25" s="4"/>
      <c r="M25" s="17"/>
    </row>
    <row r="26" customFormat="false" ht="15" hidden="false" customHeight="false" outlineLevel="0" collapsed="false">
      <c r="A26" s="12" t="s">
        <v>52</v>
      </c>
      <c r="B26" s="12" t="n">
        <v>26</v>
      </c>
      <c r="C26" s="13" t="s">
        <v>89</v>
      </c>
      <c r="D26" s="14" t="n">
        <v>29</v>
      </c>
      <c r="E26" s="15" t="n">
        <v>71369</v>
      </c>
      <c r="F26" s="13" t="s">
        <v>102</v>
      </c>
      <c r="G26" s="12" t="s">
        <v>103</v>
      </c>
      <c r="H26" s="13" t="s">
        <v>89</v>
      </c>
      <c r="I26" s="14" t="n">
        <v>29</v>
      </c>
      <c r="J26" s="15" t="n">
        <v>71369</v>
      </c>
      <c r="K26" s="16" t="s">
        <v>4</v>
      </c>
      <c r="L26" s="4"/>
      <c r="M26" s="17"/>
    </row>
    <row r="27" customFormat="false" ht="15" hidden="false" customHeight="false" outlineLevel="0" collapsed="false">
      <c r="A27" s="12" t="s">
        <v>52</v>
      </c>
      <c r="B27" s="12" t="n">
        <v>27</v>
      </c>
      <c r="C27" s="13" t="s">
        <v>104</v>
      </c>
      <c r="D27" s="14" t="n">
        <v>81.36</v>
      </c>
      <c r="E27" s="15" t="n">
        <v>204213.6</v>
      </c>
      <c r="F27" s="13" t="s">
        <v>105</v>
      </c>
      <c r="G27" s="12" t="s">
        <v>55</v>
      </c>
      <c r="H27" s="13" t="s">
        <v>104</v>
      </c>
      <c r="I27" s="14" t="n">
        <v>81.36</v>
      </c>
      <c r="J27" s="15" t="n">
        <v>204213.6</v>
      </c>
      <c r="K27" s="16" t="s">
        <v>4</v>
      </c>
      <c r="L27" s="4"/>
      <c r="M27" s="17"/>
    </row>
    <row r="28" customFormat="false" ht="15" hidden="false" customHeight="false" outlineLevel="0" collapsed="false">
      <c r="A28" s="12" t="s">
        <v>52</v>
      </c>
      <c r="B28" s="12" t="n">
        <v>28</v>
      </c>
      <c r="C28" s="13" t="s">
        <v>104</v>
      </c>
      <c r="D28" s="14" t="n">
        <v>48.75</v>
      </c>
      <c r="E28" s="15" t="n">
        <v>117000</v>
      </c>
      <c r="F28" s="13" t="s">
        <v>106</v>
      </c>
      <c r="G28" s="12" t="s">
        <v>88</v>
      </c>
      <c r="H28" s="13" t="s">
        <v>104</v>
      </c>
      <c r="I28" s="14" t="n">
        <v>48.75</v>
      </c>
      <c r="J28" s="15" t="n">
        <v>117000</v>
      </c>
      <c r="K28" s="16" t="s">
        <v>4</v>
      </c>
      <c r="L28" s="4"/>
      <c r="M28" s="17"/>
    </row>
    <row r="29" customFormat="false" ht="29.85" hidden="false" customHeight="false" outlineLevel="0" collapsed="false">
      <c r="A29" s="12" t="s">
        <v>52</v>
      </c>
      <c r="B29" s="12" t="n">
        <v>29</v>
      </c>
      <c r="C29" s="13" t="s">
        <v>104</v>
      </c>
      <c r="D29" s="14" t="n">
        <v>99.68</v>
      </c>
      <c r="E29" s="15" t="n">
        <v>248796.8</v>
      </c>
      <c r="F29" s="13" t="s">
        <v>107</v>
      </c>
      <c r="G29" s="12" t="s">
        <v>108</v>
      </c>
      <c r="H29" s="13" t="s">
        <v>104</v>
      </c>
      <c r="I29" s="14" t="n">
        <v>99.68</v>
      </c>
      <c r="J29" s="15" t="n">
        <v>248796.8</v>
      </c>
      <c r="K29" s="18" t="s">
        <v>109</v>
      </c>
      <c r="L29" s="4" t="s">
        <v>110</v>
      </c>
      <c r="M29" s="17"/>
    </row>
    <row r="30" customFormat="false" ht="15" hidden="false" customHeight="false" outlineLevel="0" collapsed="false">
      <c r="A30" s="12" t="s">
        <v>52</v>
      </c>
      <c r="B30" s="12" t="n">
        <v>30</v>
      </c>
      <c r="C30" s="13" t="s">
        <v>104</v>
      </c>
      <c r="D30" s="14" t="n">
        <v>66.06</v>
      </c>
      <c r="E30" s="15" t="n">
        <v>147974.4</v>
      </c>
      <c r="F30" s="13" t="s">
        <v>111</v>
      </c>
      <c r="G30" s="12" t="s">
        <v>55</v>
      </c>
      <c r="H30" s="13" t="s">
        <v>104</v>
      </c>
      <c r="I30" s="14" t="n">
        <v>66.06</v>
      </c>
      <c r="J30" s="15" t="n">
        <v>147974.4</v>
      </c>
      <c r="K30" s="16" t="s">
        <v>4</v>
      </c>
      <c r="L30" s="4"/>
      <c r="M30" s="17"/>
    </row>
    <row r="31" customFormat="false" ht="15" hidden="false" customHeight="false" outlineLevel="0" collapsed="false">
      <c r="A31" s="12" t="s">
        <v>52</v>
      </c>
      <c r="B31" s="12" t="n">
        <v>31</v>
      </c>
      <c r="C31" s="13" t="s">
        <v>112</v>
      </c>
      <c r="D31" s="14" t="n">
        <v>67.96</v>
      </c>
      <c r="E31" s="15" t="n">
        <v>152230.4</v>
      </c>
      <c r="F31" s="13" t="s">
        <v>113</v>
      </c>
      <c r="G31" s="12" t="s">
        <v>55</v>
      </c>
      <c r="H31" s="13" t="s">
        <v>112</v>
      </c>
      <c r="I31" s="14" t="n">
        <v>67.96</v>
      </c>
      <c r="J31" s="15" t="n">
        <v>152230.4</v>
      </c>
      <c r="K31" s="16" t="s">
        <v>4</v>
      </c>
      <c r="L31" s="4"/>
      <c r="M31" s="17"/>
    </row>
    <row r="32" customFormat="false" ht="15" hidden="false" customHeight="false" outlineLevel="0" collapsed="false">
      <c r="A32" s="12" t="s">
        <v>52</v>
      </c>
      <c r="B32" s="12" t="n">
        <v>32</v>
      </c>
      <c r="C32" s="13" t="s">
        <v>112</v>
      </c>
      <c r="D32" s="14" t="n">
        <v>46.28</v>
      </c>
      <c r="E32" s="15" t="n">
        <v>107924.96</v>
      </c>
      <c r="F32" s="13" t="s">
        <v>114</v>
      </c>
      <c r="G32" s="12" t="s">
        <v>103</v>
      </c>
      <c r="H32" s="13" t="s">
        <v>112</v>
      </c>
      <c r="I32" s="14" t="n">
        <v>46.28</v>
      </c>
      <c r="J32" s="15" t="n">
        <v>107924.96</v>
      </c>
      <c r="K32" s="16" t="s">
        <v>4</v>
      </c>
      <c r="L32" s="4"/>
      <c r="M32" s="17"/>
    </row>
    <row r="33" customFormat="false" ht="15" hidden="false" customHeight="false" outlineLevel="0" collapsed="false">
      <c r="A33" s="12" t="s">
        <v>52</v>
      </c>
      <c r="B33" s="12" t="n">
        <v>33</v>
      </c>
      <c r="C33" s="13" t="s">
        <v>112</v>
      </c>
      <c r="D33" s="14" t="n">
        <v>83.78</v>
      </c>
      <c r="E33" s="15" t="n">
        <v>211125.6</v>
      </c>
      <c r="F33" s="13" t="s">
        <v>115</v>
      </c>
      <c r="G33" s="12" t="s">
        <v>55</v>
      </c>
      <c r="H33" s="13" t="s">
        <v>112</v>
      </c>
      <c r="I33" s="14" t="n">
        <v>83.78</v>
      </c>
      <c r="J33" s="15" t="n">
        <v>211125.6</v>
      </c>
      <c r="K33" s="16" t="s">
        <v>4</v>
      </c>
      <c r="L33" s="4"/>
      <c r="M33" s="17"/>
    </row>
    <row r="34" customFormat="false" ht="15" hidden="false" customHeight="false" outlineLevel="0" collapsed="false">
      <c r="A34" s="12" t="s">
        <v>52</v>
      </c>
      <c r="B34" s="12" t="n">
        <v>34</v>
      </c>
      <c r="C34" s="13" t="s">
        <v>112</v>
      </c>
      <c r="D34" s="14" t="n">
        <v>43.34</v>
      </c>
      <c r="E34" s="15" t="n">
        <v>101068.88</v>
      </c>
      <c r="F34" s="13" t="s">
        <v>116</v>
      </c>
      <c r="G34" s="12" t="s">
        <v>117</v>
      </c>
      <c r="H34" s="13" t="s">
        <v>112</v>
      </c>
      <c r="I34" s="14" t="n">
        <v>43.34</v>
      </c>
      <c r="J34" s="15" t="n">
        <v>101068.88</v>
      </c>
      <c r="K34" s="16" t="s">
        <v>4</v>
      </c>
      <c r="L34" s="4"/>
      <c r="M34" s="17"/>
    </row>
    <row r="35" customFormat="false" ht="15" hidden="false" customHeight="false" outlineLevel="0" collapsed="false">
      <c r="A35" s="12" t="s">
        <v>52</v>
      </c>
      <c r="B35" s="12" t="n">
        <v>35</v>
      </c>
      <c r="C35" s="13" t="s">
        <v>112</v>
      </c>
      <c r="D35" s="14" t="n">
        <v>78.64</v>
      </c>
      <c r="E35" s="15" t="n">
        <v>181501.12</v>
      </c>
      <c r="F35" s="13" t="s">
        <v>118</v>
      </c>
      <c r="G35" s="12" t="s">
        <v>119</v>
      </c>
      <c r="H35" s="13" t="s">
        <v>112</v>
      </c>
      <c r="I35" s="14" t="n">
        <v>78.64</v>
      </c>
      <c r="J35" s="15" t="n">
        <v>181501.12</v>
      </c>
      <c r="K35" s="16" t="s">
        <v>4</v>
      </c>
      <c r="L35" s="4"/>
      <c r="M35" s="17"/>
    </row>
    <row r="36" customFormat="false" ht="15" hidden="false" customHeight="false" outlineLevel="0" collapsed="false">
      <c r="A36" s="12" t="s">
        <v>52</v>
      </c>
      <c r="B36" s="12" t="n">
        <v>36</v>
      </c>
      <c r="C36" s="13" t="s">
        <v>112</v>
      </c>
      <c r="D36" s="14" t="n">
        <v>83.26</v>
      </c>
      <c r="E36" s="15" t="n">
        <v>192164.08</v>
      </c>
      <c r="F36" s="13" t="s">
        <v>120</v>
      </c>
      <c r="G36" s="12" t="s">
        <v>91</v>
      </c>
      <c r="H36" s="13" t="s">
        <v>112</v>
      </c>
      <c r="I36" s="14" t="n">
        <v>83.26</v>
      </c>
      <c r="J36" s="15" t="n">
        <v>192164.08</v>
      </c>
      <c r="K36" s="16" t="s">
        <v>4</v>
      </c>
      <c r="L36" s="4"/>
      <c r="M36" s="17"/>
    </row>
    <row r="37" customFormat="false" ht="15" hidden="false" customHeight="false" outlineLevel="0" collapsed="false">
      <c r="A37" s="12" t="s">
        <v>52</v>
      </c>
      <c r="B37" s="12" t="n">
        <v>37</v>
      </c>
      <c r="C37" s="13" t="s">
        <v>112</v>
      </c>
      <c r="D37" s="14" t="n">
        <v>81.92</v>
      </c>
      <c r="E37" s="15" t="n">
        <v>205619.2</v>
      </c>
      <c r="F37" s="13" t="s">
        <v>121</v>
      </c>
      <c r="G37" s="12" t="s">
        <v>73</v>
      </c>
      <c r="H37" s="13" t="s">
        <v>112</v>
      </c>
      <c r="I37" s="14" t="n">
        <v>81.92</v>
      </c>
      <c r="J37" s="15" t="n">
        <v>205619.2</v>
      </c>
      <c r="K37" s="16" t="s">
        <v>4</v>
      </c>
      <c r="L37" s="4"/>
      <c r="M37" s="17"/>
    </row>
    <row r="38" customFormat="false" ht="15" hidden="false" customHeight="false" outlineLevel="0" collapsed="false">
      <c r="A38" s="12" t="s">
        <v>52</v>
      </c>
      <c r="B38" s="12" t="n">
        <v>38</v>
      </c>
      <c r="C38" s="13" t="s">
        <v>122</v>
      </c>
      <c r="D38" s="14" t="n">
        <v>25.12</v>
      </c>
      <c r="E38" s="15" t="n">
        <v>60288</v>
      </c>
      <c r="F38" s="13" t="s">
        <v>123</v>
      </c>
      <c r="G38" s="12" t="s">
        <v>58</v>
      </c>
      <c r="H38" s="13" t="s">
        <v>122</v>
      </c>
      <c r="I38" s="14" t="n">
        <v>25.12</v>
      </c>
      <c r="J38" s="15" t="n">
        <v>60288</v>
      </c>
      <c r="K38" s="16" t="s">
        <v>4</v>
      </c>
      <c r="L38" s="4"/>
      <c r="M38" s="17"/>
    </row>
    <row r="39" customFormat="false" ht="15" hidden="false" customHeight="false" outlineLevel="0" collapsed="false">
      <c r="A39" s="12" t="s">
        <v>52</v>
      </c>
      <c r="B39" s="12" t="n">
        <v>39</v>
      </c>
      <c r="C39" s="13" t="s">
        <v>122</v>
      </c>
      <c r="D39" s="14" t="n">
        <v>29.08</v>
      </c>
      <c r="E39" s="15" t="n">
        <v>71216.92</v>
      </c>
      <c r="F39" s="13" t="s">
        <v>124</v>
      </c>
      <c r="G39" s="12" t="s">
        <v>103</v>
      </c>
      <c r="H39" s="13" t="s">
        <v>122</v>
      </c>
      <c r="I39" s="14" t="n">
        <v>29.08</v>
      </c>
      <c r="J39" s="15" t="n">
        <v>71216.92</v>
      </c>
      <c r="K39" s="16" t="s">
        <v>4</v>
      </c>
      <c r="L39" s="4"/>
      <c r="M39" s="17"/>
    </row>
    <row r="40" customFormat="false" ht="15" hidden="false" customHeight="false" outlineLevel="0" collapsed="false">
      <c r="A40" s="12" t="s">
        <v>52</v>
      </c>
      <c r="B40" s="12" t="n">
        <v>40</v>
      </c>
      <c r="C40" s="13" t="s">
        <v>122</v>
      </c>
      <c r="D40" s="14" t="n">
        <v>56.78</v>
      </c>
      <c r="E40" s="15" t="n">
        <v>137407.6</v>
      </c>
      <c r="F40" s="13" t="s">
        <v>125</v>
      </c>
      <c r="G40" s="12" t="s">
        <v>58</v>
      </c>
      <c r="H40" s="13" t="s">
        <v>122</v>
      </c>
      <c r="I40" s="14" t="n">
        <v>56.78</v>
      </c>
      <c r="J40" s="15" t="n">
        <v>137407.6</v>
      </c>
      <c r="K40" s="16" t="s">
        <v>4</v>
      </c>
      <c r="L40" s="4"/>
      <c r="M40" s="17"/>
    </row>
    <row r="41" customFormat="false" ht="15" hidden="false" customHeight="false" outlineLevel="0" collapsed="false">
      <c r="A41" s="12" t="s">
        <v>52</v>
      </c>
      <c r="B41" s="12" t="n">
        <v>41</v>
      </c>
      <c r="C41" s="13" t="s">
        <v>122</v>
      </c>
      <c r="D41" s="14" t="n">
        <v>80.96</v>
      </c>
      <c r="E41" s="15" t="n">
        <v>203209.6</v>
      </c>
      <c r="F41" s="13" t="s">
        <v>126</v>
      </c>
      <c r="G41" s="12" t="s">
        <v>55</v>
      </c>
      <c r="H41" s="13" t="s">
        <v>122</v>
      </c>
      <c r="I41" s="14" t="n">
        <v>80.96</v>
      </c>
      <c r="J41" s="15" t="n">
        <v>203209.6</v>
      </c>
      <c r="K41" s="16" t="s">
        <v>4</v>
      </c>
      <c r="L41" s="4"/>
      <c r="M41" s="17"/>
    </row>
    <row r="42" customFormat="false" ht="15" hidden="false" customHeight="false" outlineLevel="0" collapsed="false">
      <c r="A42" s="12" t="s">
        <v>52</v>
      </c>
      <c r="B42" s="12" t="n">
        <v>42</v>
      </c>
      <c r="C42" s="13" t="s">
        <v>122</v>
      </c>
      <c r="D42" s="14" t="n">
        <v>69.66</v>
      </c>
      <c r="E42" s="15" t="n">
        <v>156038.4</v>
      </c>
      <c r="F42" s="13" t="s">
        <v>127</v>
      </c>
      <c r="G42" s="12" t="s">
        <v>55</v>
      </c>
      <c r="H42" s="13" t="s">
        <v>122</v>
      </c>
      <c r="I42" s="14" t="n">
        <v>69.66</v>
      </c>
      <c r="J42" s="15" t="n">
        <v>156038.4</v>
      </c>
      <c r="K42" s="16" t="s">
        <v>4</v>
      </c>
      <c r="L42" s="4"/>
      <c r="M42" s="17"/>
    </row>
    <row r="43" customFormat="false" ht="15" hidden="false" customHeight="false" outlineLevel="0" collapsed="false">
      <c r="A43" s="12" t="s">
        <v>52</v>
      </c>
      <c r="B43" s="12" t="n">
        <v>43</v>
      </c>
      <c r="C43" s="13" t="s">
        <v>128</v>
      </c>
      <c r="D43" s="14" t="n">
        <v>49.1</v>
      </c>
      <c r="E43" s="15" t="n">
        <v>117840</v>
      </c>
      <c r="F43" s="13" t="s">
        <v>129</v>
      </c>
      <c r="G43" s="12" t="s">
        <v>88</v>
      </c>
      <c r="H43" s="13" t="s">
        <v>128</v>
      </c>
      <c r="I43" s="14" t="n">
        <v>49.1</v>
      </c>
      <c r="J43" s="15" t="n">
        <v>117840</v>
      </c>
      <c r="K43" s="16" t="s">
        <v>4</v>
      </c>
      <c r="L43" s="4"/>
      <c r="M43" s="17"/>
    </row>
    <row r="44" customFormat="false" ht="15" hidden="false" customHeight="false" outlineLevel="0" collapsed="false">
      <c r="A44" s="12" t="s">
        <v>52</v>
      </c>
      <c r="B44" s="12" t="n">
        <v>44</v>
      </c>
      <c r="C44" s="13" t="s">
        <v>128</v>
      </c>
      <c r="D44" s="14" t="n">
        <v>25.96</v>
      </c>
      <c r="E44" s="15" t="n">
        <v>61265.6</v>
      </c>
      <c r="F44" s="13" t="s">
        <v>130</v>
      </c>
      <c r="G44" s="12" t="s">
        <v>58</v>
      </c>
      <c r="H44" s="13" t="s">
        <v>128</v>
      </c>
      <c r="I44" s="14" t="n">
        <v>25.96</v>
      </c>
      <c r="J44" s="15" t="n">
        <v>61265.6</v>
      </c>
      <c r="K44" s="16" t="s">
        <v>4</v>
      </c>
      <c r="L44" s="4"/>
      <c r="M44" s="17"/>
    </row>
    <row r="45" customFormat="false" ht="15" hidden="false" customHeight="false" outlineLevel="0" collapsed="false">
      <c r="A45" s="12" t="s">
        <v>52</v>
      </c>
      <c r="B45" s="12" t="n">
        <v>45</v>
      </c>
      <c r="C45" s="13" t="s">
        <v>128</v>
      </c>
      <c r="D45" s="14" t="n">
        <v>47.51</v>
      </c>
      <c r="E45" s="15" t="n">
        <v>110793.32</v>
      </c>
      <c r="F45" s="13" t="s">
        <v>131</v>
      </c>
      <c r="G45" s="12" t="s">
        <v>93</v>
      </c>
      <c r="H45" s="13" t="s">
        <v>128</v>
      </c>
      <c r="I45" s="14" t="n">
        <v>47.51</v>
      </c>
      <c r="J45" s="15" t="n">
        <v>110793.32</v>
      </c>
      <c r="K45" s="16" t="s">
        <v>4</v>
      </c>
      <c r="L45" s="4"/>
      <c r="M45" s="17"/>
    </row>
    <row r="46" customFormat="false" ht="15" hidden="false" customHeight="false" outlineLevel="0" collapsed="false">
      <c r="A46" s="12" t="s">
        <v>52</v>
      </c>
      <c r="B46" s="12" t="n">
        <v>46</v>
      </c>
      <c r="C46" s="13" t="s">
        <v>128</v>
      </c>
      <c r="D46" s="14" t="n">
        <v>70.76</v>
      </c>
      <c r="E46" s="15" t="n">
        <v>158502.4</v>
      </c>
      <c r="F46" s="13" t="s">
        <v>132</v>
      </c>
      <c r="G46" s="12" t="s">
        <v>55</v>
      </c>
      <c r="H46" s="13" t="s">
        <v>128</v>
      </c>
      <c r="I46" s="14" t="n">
        <v>70.76</v>
      </c>
      <c r="J46" s="15" t="n">
        <v>158502.4</v>
      </c>
      <c r="K46" s="16" t="s">
        <v>4</v>
      </c>
      <c r="L46" s="4"/>
      <c r="M46" s="17"/>
    </row>
    <row r="47" customFormat="false" ht="15" hidden="false" customHeight="false" outlineLevel="0" collapsed="false">
      <c r="A47" s="12" t="s">
        <v>52</v>
      </c>
      <c r="B47" s="12" t="n">
        <v>47</v>
      </c>
      <c r="C47" s="13" t="s">
        <v>133</v>
      </c>
      <c r="D47" s="14" t="n">
        <v>719.14</v>
      </c>
      <c r="E47" s="15" t="n">
        <v>1823625.4</v>
      </c>
      <c r="F47" s="13" t="s">
        <v>134</v>
      </c>
      <c r="G47" s="12" t="s">
        <v>135</v>
      </c>
      <c r="H47" s="13" t="s">
        <v>136</v>
      </c>
      <c r="I47" s="14" t="n">
        <v>719.14</v>
      </c>
      <c r="J47" s="15" t="n">
        <v>1823625.4</v>
      </c>
      <c r="K47" s="16" t="s">
        <v>78</v>
      </c>
      <c r="L47" s="4" t="s">
        <v>79</v>
      </c>
      <c r="M47" s="17"/>
    </row>
    <row r="48" customFormat="false" ht="15" hidden="false" customHeight="false" outlineLevel="0" collapsed="false">
      <c r="A48" s="12" t="s">
        <v>52</v>
      </c>
      <c r="B48" s="12" t="n">
        <v>48</v>
      </c>
      <c r="C48" s="13" t="s">
        <v>137</v>
      </c>
      <c r="D48" s="14" t="n">
        <v>613.8</v>
      </c>
      <c r="E48" s="15" t="n">
        <v>1467823.1</v>
      </c>
      <c r="F48" s="13" t="s">
        <v>138</v>
      </c>
      <c r="G48" s="12" t="s">
        <v>139</v>
      </c>
      <c r="H48" s="13" t="s">
        <v>140</v>
      </c>
      <c r="I48" s="14" t="n">
        <v>613.8</v>
      </c>
      <c r="J48" s="15" t="n">
        <v>1467823.1</v>
      </c>
      <c r="K48" s="16" t="s">
        <v>78</v>
      </c>
      <c r="L48" s="4" t="s">
        <v>79</v>
      </c>
      <c r="M48" s="17"/>
    </row>
    <row r="49" customFormat="false" ht="15" hidden="false" customHeight="false" outlineLevel="0" collapsed="false">
      <c r="A49" s="12" t="s">
        <v>52</v>
      </c>
      <c r="B49" s="12" t="n">
        <v>49</v>
      </c>
      <c r="C49" s="13" t="s">
        <v>141</v>
      </c>
      <c r="D49" s="14" t="n">
        <v>83.74</v>
      </c>
      <c r="E49" s="15" t="n">
        <v>202650.8</v>
      </c>
      <c r="F49" s="13" t="s">
        <v>142</v>
      </c>
      <c r="G49" s="12" t="s">
        <v>55</v>
      </c>
      <c r="H49" s="13" t="s">
        <v>141</v>
      </c>
      <c r="I49" s="14" t="n">
        <v>83.74</v>
      </c>
      <c r="J49" s="15" t="n">
        <v>202650.8</v>
      </c>
      <c r="K49" s="16" t="s">
        <v>4</v>
      </c>
      <c r="L49" s="4"/>
      <c r="M49" s="17"/>
    </row>
    <row r="50" customFormat="false" ht="15" hidden="false" customHeight="false" outlineLevel="0" collapsed="false">
      <c r="A50" s="12" t="s">
        <v>52</v>
      </c>
      <c r="B50" s="12" t="n">
        <v>50</v>
      </c>
      <c r="C50" s="13" t="s">
        <v>141</v>
      </c>
      <c r="D50" s="14" t="n">
        <v>34.02</v>
      </c>
      <c r="E50" s="15" t="n">
        <v>79266.6</v>
      </c>
      <c r="F50" s="13" t="s">
        <v>143</v>
      </c>
      <c r="G50" s="12" t="s">
        <v>144</v>
      </c>
      <c r="H50" s="13" t="s">
        <v>141</v>
      </c>
      <c r="I50" s="14" t="n">
        <v>34.02</v>
      </c>
      <c r="J50" s="15" t="n">
        <v>79266.6</v>
      </c>
      <c r="K50" s="16" t="s">
        <v>4</v>
      </c>
      <c r="L50" s="4"/>
      <c r="M50" s="17"/>
    </row>
    <row r="51" customFormat="false" ht="15" hidden="false" customHeight="false" outlineLevel="0" collapsed="false">
      <c r="A51" s="12" t="s">
        <v>52</v>
      </c>
      <c r="B51" s="12" t="n">
        <v>51</v>
      </c>
      <c r="C51" s="13" t="s">
        <v>145</v>
      </c>
      <c r="D51" s="14" t="n">
        <v>33.86</v>
      </c>
      <c r="E51" s="15" t="n">
        <v>78793.8</v>
      </c>
      <c r="F51" s="13" t="s">
        <v>146</v>
      </c>
      <c r="G51" s="12" t="s">
        <v>147</v>
      </c>
      <c r="H51" s="13" t="s">
        <v>145</v>
      </c>
      <c r="I51" s="14" t="n">
        <v>33.86</v>
      </c>
      <c r="J51" s="15" t="n">
        <v>78793.8</v>
      </c>
      <c r="K51" s="16" t="s">
        <v>4</v>
      </c>
      <c r="L51" s="4"/>
      <c r="M51" s="17"/>
    </row>
    <row r="52" customFormat="false" ht="15" hidden="false" customHeight="false" outlineLevel="0" collapsed="false">
      <c r="A52" s="12" t="s">
        <v>52</v>
      </c>
      <c r="B52" s="12" t="n">
        <v>52</v>
      </c>
      <c r="C52" s="13" t="s">
        <v>145</v>
      </c>
      <c r="D52" s="14" t="n">
        <v>33.96</v>
      </c>
      <c r="E52" s="15" t="n">
        <v>78619.28</v>
      </c>
      <c r="F52" s="13" t="s">
        <v>148</v>
      </c>
      <c r="G52" s="12" t="s">
        <v>149</v>
      </c>
      <c r="H52" s="13" t="s">
        <v>145</v>
      </c>
      <c r="I52" s="14" t="n">
        <v>33.96</v>
      </c>
      <c r="J52" s="15" t="n">
        <v>78619.28</v>
      </c>
      <c r="K52" s="16" t="s">
        <v>4</v>
      </c>
      <c r="L52" s="4"/>
      <c r="M52" s="17"/>
    </row>
    <row r="53" customFormat="false" ht="15" hidden="false" customHeight="false" outlineLevel="0" collapsed="false">
      <c r="A53" s="12" t="s">
        <v>150</v>
      </c>
      <c r="B53" s="12" t="n">
        <v>2</v>
      </c>
      <c r="C53" s="13" t="s">
        <v>151</v>
      </c>
      <c r="D53" s="14" t="n">
        <v>78.04</v>
      </c>
      <c r="E53" s="15" t="n">
        <v>200062.8</v>
      </c>
      <c r="F53" s="13" t="s">
        <v>152</v>
      </c>
      <c r="G53" s="12" t="s">
        <v>73</v>
      </c>
      <c r="H53" s="13" t="s">
        <v>151</v>
      </c>
      <c r="I53" s="14" t="n">
        <v>78.04</v>
      </c>
      <c r="J53" s="15" t="n">
        <v>200062.8</v>
      </c>
      <c r="K53" s="16" t="s">
        <v>4</v>
      </c>
      <c r="L53" s="4"/>
      <c r="M53" s="17"/>
    </row>
    <row r="54" customFormat="false" ht="29.85" hidden="false" customHeight="false" outlineLevel="0" collapsed="false">
      <c r="A54" s="12" t="s">
        <v>150</v>
      </c>
      <c r="B54" s="12" t="n">
        <v>3</v>
      </c>
      <c r="C54" s="13" t="s">
        <v>153</v>
      </c>
      <c r="D54" s="14" t="n">
        <v>71.5</v>
      </c>
      <c r="E54" s="15" t="n">
        <v>200063.8</v>
      </c>
      <c r="F54" s="13" t="s">
        <v>154</v>
      </c>
      <c r="G54" s="12" t="s">
        <v>55</v>
      </c>
      <c r="H54" s="13" t="s">
        <v>153</v>
      </c>
      <c r="I54" s="14" t="n">
        <v>71.5</v>
      </c>
      <c r="J54" s="15" t="n">
        <v>169455</v>
      </c>
      <c r="K54" s="19" t="s">
        <v>155</v>
      </c>
      <c r="L54" s="4" t="s">
        <v>156</v>
      </c>
      <c r="M54" s="17"/>
    </row>
    <row r="55" customFormat="false" ht="15" hidden="false" customHeight="false" outlineLevel="0" collapsed="false">
      <c r="A55" s="12" t="s">
        <v>157</v>
      </c>
      <c r="B55" s="12" t="n">
        <v>2</v>
      </c>
      <c r="C55" s="13" t="s">
        <v>77</v>
      </c>
      <c r="D55" s="14" t="n">
        <v>66.22</v>
      </c>
      <c r="E55" s="15" t="n">
        <v>148332.8</v>
      </c>
      <c r="F55" s="13" t="s">
        <v>158</v>
      </c>
      <c r="G55" s="12" t="s">
        <v>55</v>
      </c>
      <c r="H55" s="13" t="s">
        <v>77</v>
      </c>
      <c r="I55" s="14" t="n">
        <v>66.22</v>
      </c>
      <c r="J55" s="15" t="n">
        <v>148332.8</v>
      </c>
      <c r="K55" s="16" t="s">
        <v>4</v>
      </c>
      <c r="L55" s="4"/>
      <c r="M55" s="17"/>
    </row>
    <row r="56" customFormat="false" ht="15" hidden="false" customHeight="false" outlineLevel="0" collapsed="false">
      <c r="A56" s="12" t="s">
        <v>157</v>
      </c>
      <c r="B56" s="12" t="n">
        <v>3</v>
      </c>
      <c r="C56" s="13" t="s">
        <v>151</v>
      </c>
      <c r="D56" s="14" t="n">
        <v>65.44</v>
      </c>
      <c r="E56" s="15" t="n">
        <v>147240</v>
      </c>
      <c r="F56" s="13" t="s">
        <v>159</v>
      </c>
      <c r="G56" s="12" t="s">
        <v>73</v>
      </c>
      <c r="H56" s="13" t="s">
        <v>151</v>
      </c>
      <c r="I56" s="14" t="n">
        <v>65.44</v>
      </c>
      <c r="J56" s="15" t="n">
        <v>147240</v>
      </c>
      <c r="K56" s="16" t="s">
        <v>4</v>
      </c>
      <c r="L56" s="4"/>
      <c r="M56" s="17"/>
    </row>
    <row r="57" customFormat="false" ht="15" hidden="false" customHeight="false" outlineLevel="0" collapsed="false">
      <c r="A57" s="12" t="s">
        <v>157</v>
      </c>
      <c r="B57" s="12" t="n">
        <v>4</v>
      </c>
      <c r="C57" s="13" t="s">
        <v>160</v>
      </c>
      <c r="D57" s="14" t="n">
        <v>60.9</v>
      </c>
      <c r="E57" s="15" t="n">
        <v>137025</v>
      </c>
      <c r="F57" s="13" t="s">
        <v>161</v>
      </c>
      <c r="G57" s="12" t="s">
        <v>55</v>
      </c>
      <c r="H57" s="13" t="s">
        <v>160</v>
      </c>
      <c r="I57" s="14" t="n">
        <v>60.9</v>
      </c>
      <c r="J57" s="15" t="n">
        <v>137025</v>
      </c>
      <c r="K57" s="16" t="s">
        <v>4</v>
      </c>
      <c r="L57" s="4"/>
      <c r="M57" s="17"/>
    </row>
    <row r="58" customFormat="false" ht="15" hidden="false" customHeight="false" outlineLevel="0" collapsed="false">
      <c r="A58" s="12" t="s">
        <v>157</v>
      </c>
      <c r="B58" s="12" t="n">
        <v>5</v>
      </c>
      <c r="C58" s="13" t="s">
        <v>153</v>
      </c>
      <c r="D58" s="14" t="n">
        <v>31.38</v>
      </c>
      <c r="E58" s="15" t="n">
        <v>70605</v>
      </c>
      <c r="F58" s="13" t="s">
        <v>162</v>
      </c>
      <c r="G58" s="12" t="s">
        <v>119</v>
      </c>
      <c r="H58" s="13" t="s">
        <v>153</v>
      </c>
      <c r="I58" s="14" t="n">
        <v>31.38</v>
      </c>
      <c r="J58" s="15" t="n">
        <v>70605</v>
      </c>
      <c r="K58" s="16" t="s">
        <v>4</v>
      </c>
      <c r="L58" s="4"/>
      <c r="M58" s="17"/>
    </row>
    <row r="59" customFormat="false" ht="15" hidden="false" customHeight="false" outlineLevel="0" collapsed="false">
      <c r="A59" s="12" t="s">
        <v>157</v>
      </c>
      <c r="B59" s="12" t="n">
        <v>6</v>
      </c>
      <c r="C59" s="13" t="s">
        <v>153</v>
      </c>
      <c r="D59" s="14" t="n">
        <v>31.46</v>
      </c>
      <c r="E59" s="15" t="n">
        <v>70785</v>
      </c>
      <c r="F59" s="13" t="s">
        <v>163</v>
      </c>
      <c r="G59" s="12" t="s">
        <v>73</v>
      </c>
      <c r="H59" s="13" t="s">
        <v>153</v>
      </c>
      <c r="I59" s="14" t="n">
        <v>31.46</v>
      </c>
      <c r="J59" s="15" t="n">
        <v>70785</v>
      </c>
      <c r="K59" s="16" t="s">
        <v>4</v>
      </c>
      <c r="L59" s="4"/>
      <c r="M59" s="17"/>
    </row>
    <row r="60" customFormat="false" ht="15" hidden="false" customHeight="false" outlineLevel="0" collapsed="false">
      <c r="A60" s="12" t="s">
        <v>157</v>
      </c>
      <c r="B60" s="12" t="n">
        <v>7</v>
      </c>
      <c r="C60" s="13" t="s">
        <v>164</v>
      </c>
      <c r="D60" s="14" t="n">
        <v>28.84</v>
      </c>
      <c r="E60" s="15" t="n">
        <v>66389.68</v>
      </c>
      <c r="F60" s="13" t="s">
        <v>165</v>
      </c>
      <c r="G60" s="12" t="s">
        <v>55</v>
      </c>
      <c r="H60" s="13" t="s">
        <v>164</v>
      </c>
      <c r="I60" s="14" t="n">
        <v>28.84</v>
      </c>
      <c r="J60" s="15" t="n">
        <v>66389.68</v>
      </c>
      <c r="K60" s="16" t="s">
        <v>4</v>
      </c>
      <c r="L60" s="4"/>
      <c r="M60" s="17"/>
    </row>
    <row r="61" customFormat="false" ht="15" hidden="false" customHeight="false" outlineLevel="0" collapsed="false">
      <c r="A61" s="12" t="s">
        <v>157</v>
      </c>
      <c r="B61" s="12" t="n">
        <v>8</v>
      </c>
      <c r="C61" s="13" t="s">
        <v>141</v>
      </c>
      <c r="D61" s="14" t="n">
        <v>30.72</v>
      </c>
      <c r="E61" s="15" t="n">
        <v>70717.44</v>
      </c>
      <c r="F61" s="13" t="s">
        <v>166</v>
      </c>
      <c r="G61" s="12" t="s">
        <v>73</v>
      </c>
      <c r="H61" s="13" t="s">
        <v>141</v>
      </c>
      <c r="I61" s="14" t="n">
        <v>30.72</v>
      </c>
      <c r="J61" s="15" t="n">
        <v>70717.44</v>
      </c>
      <c r="K61" s="16" t="s">
        <v>4</v>
      </c>
      <c r="L61" s="4"/>
      <c r="M61" s="17"/>
    </row>
    <row r="62" customFormat="false" ht="15" hidden="false" customHeight="false" outlineLevel="0" collapsed="false">
      <c r="A62" s="12" t="s">
        <v>157</v>
      </c>
      <c r="B62" s="12" t="n">
        <v>9</v>
      </c>
      <c r="C62" s="13" t="s">
        <v>141</v>
      </c>
      <c r="D62" s="14" t="n">
        <v>31.32</v>
      </c>
      <c r="E62" s="15" t="n">
        <v>72098.64</v>
      </c>
      <c r="F62" s="13" t="s">
        <v>167</v>
      </c>
      <c r="G62" s="12" t="s">
        <v>55</v>
      </c>
      <c r="H62" s="13" t="s">
        <v>141</v>
      </c>
      <c r="I62" s="14" t="n">
        <v>31.32</v>
      </c>
      <c r="J62" s="15" t="n">
        <v>72098.64</v>
      </c>
      <c r="K62" s="16" t="s">
        <v>4</v>
      </c>
      <c r="L62" s="4"/>
      <c r="M62" s="17"/>
    </row>
    <row r="63" customFormat="false" ht="15" hidden="false" customHeight="false" outlineLevel="0" collapsed="false">
      <c r="A63" s="12" t="s">
        <v>157</v>
      </c>
      <c r="B63" s="12" t="n">
        <v>10</v>
      </c>
      <c r="C63" s="13" t="s">
        <v>168</v>
      </c>
      <c r="D63" s="14" t="n">
        <v>32.12</v>
      </c>
      <c r="E63" s="15" t="n">
        <v>73940.24</v>
      </c>
      <c r="F63" s="13" t="s">
        <v>169</v>
      </c>
      <c r="G63" s="12" t="s">
        <v>55</v>
      </c>
      <c r="H63" s="13" t="s">
        <v>168</v>
      </c>
      <c r="I63" s="14" t="n">
        <v>32.12</v>
      </c>
      <c r="J63" s="15" t="n">
        <v>73940.24</v>
      </c>
      <c r="K63" s="16" t="s">
        <v>4</v>
      </c>
      <c r="L63" s="4"/>
      <c r="M63" s="17"/>
    </row>
    <row r="64" customFormat="false" ht="15" hidden="false" customHeight="false" outlineLevel="0" collapsed="false">
      <c r="A64" s="12" t="s">
        <v>157</v>
      </c>
      <c r="B64" s="12" t="n">
        <v>11</v>
      </c>
      <c r="C64" s="13" t="s">
        <v>168</v>
      </c>
      <c r="D64" s="14" t="n">
        <v>32.72</v>
      </c>
      <c r="E64" s="15" t="n">
        <v>75321.44</v>
      </c>
      <c r="F64" s="13" t="s">
        <v>170</v>
      </c>
      <c r="G64" s="12" t="s">
        <v>73</v>
      </c>
      <c r="H64" s="13" t="s">
        <v>168</v>
      </c>
      <c r="I64" s="14" t="n">
        <v>32.72</v>
      </c>
      <c r="J64" s="15" t="n">
        <v>75321.44</v>
      </c>
      <c r="K64" s="16" t="s">
        <v>4</v>
      </c>
      <c r="L64" s="4"/>
      <c r="M64" s="17"/>
    </row>
    <row r="65" customFormat="false" ht="15" hidden="false" customHeight="false" outlineLevel="0" collapsed="false">
      <c r="A65" s="12" t="s">
        <v>171</v>
      </c>
      <c r="B65" s="12" t="n">
        <v>2</v>
      </c>
      <c r="C65" s="13" t="s">
        <v>172</v>
      </c>
      <c r="D65" s="14" t="n">
        <v>82.26</v>
      </c>
      <c r="E65" s="15" t="n">
        <v>208117.8</v>
      </c>
      <c r="F65" s="13" t="s">
        <v>173</v>
      </c>
      <c r="G65" s="12" t="s">
        <v>73</v>
      </c>
      <c r="H65" s="13" t="s">
        <v>172</v>
      </c>
      <c r="I65" s="14" t="n">
        <v>82.26</v>
      </c>
      <c r="J65" s="15" t="n">
        <v>208117.8</v>
      </c>
      <c r="K65" s="16" t="s">
        <v>4</v>
      </c>
      <c r="L65" s="4"/>
      <c r="M65" s="17"/>
    </row>
    <row r="66" customFormat="false" ht="15" hidden="false" customHeight="false" outlineLevel="0" collapsed="false">
      <c r="A66" s="12" t="s">
        <v>171</v>
      </c>
      <c r="B66" s="12" t="n">
        <v>3</v>
      </c>
      <c r="C66" s="13" t="s">
        <v>174</v>
      </c>
      <c r="D66" s="14" t="n">
        <v>82.2</v>
      </c>
      <c r="E66" s="15" t="n">
        <v>207966</v>
      </c>
      <c r="F66" s="13" t="s">
        <v>175</v>
      </c>
      <c r="G66" s="12" t="s">
        <v>55</v>
      </c>
      <c r="H66" s="13" t="s">
        <v>174</v>
      </c>
      <c r="I66" s="14" t="n">
        <v>82.2</v>
      </c>
      <c r="J66" s="15" t="n">
        <v>207966</v>
      </c>
      <c r="K66" s="16" t="s">
        <v>4</v>
      </c>
      <c r="L66" s="4"/>
      <c r="M66" s="17"/>
    </row>
    <row r="67" customFormat="false" ht="15" hidden="false" customHeight="false" outlineLevel="0" collapsed="false">
      <c r="A67" s="12" t="s">
        <v>171</v>
      </c>
      <c r="B67" s="12" t="n">
        <v>4</v>
      </c>
      <c r="C67" s="13" t="s">
        <v>174</v>
      </c>
      <c r="D67" s="14" t="n">
        <v>79.76</v>
      </c>
      <c r="E67" s="15" t="n">
        <v>181852.8</v>
      </c>
      <c r="F67" s="13" t="s">
        <v>176</v>
      </c>
      <c r="G67" s="12" t="s">
        <v>119</v>
      </c>
      <c r="H67" s="13" t="s">
        <v>151</v>
      </c>
      <c r="I67" s="14" t="n">
        <v>79.76</v>
      </c>
      <c r="J67" s="15" t="n">
        <v>181852.8</v>
      </c>
      <c r="K67" s="16" t="s">
        <v>78</v>
      </c>
      <c r="L67" s="4" t="s">
        <v>177</v>
      </c>
      <c r="M67" s="17"/>
    </row>
    <row r="68" customFormat="false" ht="15" hidden="false" customHeight="false" outlineLevel="0" collapsed="false">
      <c r="A68" s="12" t="s">
        <v>171</v>
      </c>
      <c r="B68" s="12" t="n">
        <v>5</v>
      </c>
      <c r="C68" s="13" t="s">
        <v>160</v>
      </c>
      <c r="D68" s="14" t="n">
        <v>75.88</v>
      </c>
      <c r="E68" s="15" t="n">
        <v>191976.4</v>
      </c>
      <c r="F68" s="13" t="s">
        <v>178</v>
      </c>
      <c r="G68" s="12" t="s">
        <v>119</v>
      </c>
      <c r="H68" s="13" t="s">
        <v>160</v>
      </c>
      <c r="I68" s="14" t="n">
        <v>75.88</v>
      </c>
      <c r="J68" s="15" t="n">
        <v>191976.4</v>
      </c>
      <c r="K68" s="16" t="s">
        <v>4</v>
      </c>
      <c r="L68" s="4"/>
      <c r="M68" s="17"/>
    </row>
    <row r="69" customFormat="false" ht="15" hidden="false" customHeight="false" outlineLevel="0" collapsed="false">
      <c r="A69" s="12" t="s">
        <v>171</v>
      </c>
      <c r="B69" s="12" t="n">
        <v>6</v>
      </c>
      <c r="C69" s="13" t="s">
        <v>164</v>
      </c>
      <c r="D69" s="14" t="n">
        <v>29.97</v>
      </c>
      <c r="E69" s="15" t="n">
        <v>68576.58</v>
      </c>
      <c r="F69" s="13" t="s">
        <v>179</v>
      </c>
      <c r="G69" s="12" t="s">
        <v>73</v>
      </c>
      <c r="H69" s="13" t="s">
        <v>164</v>
      </c>
      <c r="I69" s="14" t="n">
        <v>29.79</v>
      </c>
      <c r="J69" s="15" t="n">
        <v>68576.58</v>
      </c>
      <c r="K69" s="19" t="s">
        <v>155</v>
      </c>
      <c r="L69" s="4" t="s">
        <v>180</v>
      </c>
      <c r="M69" s="17"/>
    </row>
    <row r="70" customFormat="false" ht="15" hidden="false" customHeight="false" outlineLevel="0" collapsed="false">
      <c r="A70" s="12" t="s">
        <v>171</v>
      </c>
      <c r="B70" s="12" t="n">
        <v>7</v>
      </c>
      <c r="C70" s="13" t="s">
        <v>164</v>
      </c>
      <c r="D70" s="14" t="n">
        <v>81.46</v>
      </c>
      <c r="E70" s="15" t="n">
        <v>206093.8</v>
      </c>
      <c r="F70" s="13" t="s">
        <v>181</v>
      </c>
      <c r="G70" s="12" t="s">
        <v>73</v>
      </c>
      <c r="H70" s="13" t="s">
        <v>164</v>
      </c>
      <c r="I70" s="14" t="n">
        <v>81.46</v>
      </c>
      <c r="J70" s="15" t="n">
        <v>206093.8</v>
      </c>
      <c r="K70" s="16" t="s">
        <v>4</v>
      </c>
      <c r="L70" s="4"/>
      <c r="M70" s="17"/>
    </row>
    <row r="71" customFormat="false" ht="15" hidden="false" customHeight="false" outlineLevel="0" collapsed="false">
      <c r="A71" s="12" t="s">
        <v>182</v>
      </c>
      <c r="B71" s="12" t="n">
        <v>2</v>
      </c>
      <c r="C71" s="13" t="s">
        <v>145</v>
      </c>
      <c r="D71" s="14" t="n">
        <v>30.06</v>
      </c>
      <c r="E71" s="15" t="n">
        <v>75450.6</v>
      </c>
      <c r="F71" s="13" t="s">
        <v>183</v>
      </c>
      <c r="G71" s="12" t="s">
        <v>184</v>
      </c>
      <c r="H71" s="13" t="s">
        <v>145</v>
      </c>
      <c r="I71" s="14" t="n">
        <v>30.06</v>
      </c>
      <c r="J71" s="15" t="n">
        <v>75450.6</v>
      </c>
      <c r="K71" s="16" t="s">
        <v>4</v>
      </c>
      <c r="L71" s="4"/>
      <c r="M71" s="17"/>
    </row>
    <row r="72" customFormat="false" ht="15" hidden="false" customHeight="false" outlineLevel="0" collapsed="false">
      <c r="A72" s="12" t="s">
        <v>182</v>
      </c>
      <c r="B72" s="12" t="n">
        <v>3</v>
      </c>
      <c r="C72" s="13" t="s">
        <v>168</v>
      </c>
      <c r="D72" s="14" t="n">
        <v>57.86</v>
      </c>
      <c r="E72" s="15" t="n">
        <v>147543</v>
      </c>
      <c r="F72" s="13" t="s">
        <v>185</v>
      </c>
      <c r="G72" s="12" t="s">
        <v>186</v>
      </c>
      <c r="H72" s="13" t="s">
        <v>168</v>
      </c>
      <c r="I72" s="14" t="n">
        <v>57.86</v>
      </c>
      <c r="J72" s="15" t="n">
        <v>147543</v>
      </c>
      <c r="K72" s="16" t="s">
        <v>4</v>
      </c>
      <c r="L72" s="4"/>
      <c r="M72" s="17"/>
    </row>
    <row r="73" customFormat="false" ht="15" hidden="false" customHeight="false" outlineLevel="0" collapsed="false">
      <c r="A73" s="12" t="s">
        <v>182</v>
      </c>
      <c r="B73" s="12" t="n">
        <v>4</v>
      </c>
      <c r="C73" s="13" t="s">
        <v>168</v>
      </c>
      <c r="D73" s="14" t="n">
        <v>42.94</v>
      </c>
      <c r="E73" s="15" t="n">
        <v>109497</v>
      </c>
      <c r="F73" s="13" t="s">
        <v>187</v>
      </c>
      <c r="G73" s="12" t="s">
        <v>103</v>
      </c>
      <c r="H73" s="13" t="s">
        <v>168</v>
      </c>
      <c r="I73" s="14" t="n">
        <v>42.94</v>
      </c>
      <c r="J73" s="15" t="n">
        <v>109497</v>
      </c>
      <c r="K73" s="16" t="s">
        <v>4</v>
      </c>
      <c r="L73" s="4"/>
      <c r="M73" s="17"/>
    </row>
    <row r="74" customFormat="false" ht="15" hidden="false" customHeight="false" outlineLevel="0" collapsed="false">
      <c r="A74" s="12" t="s">
        <v>182</v>
      </c>
      <c r="B74" s="12" t="n">
        <v>5</v>
      </c>
      <c r="C74" s="13" t="s">
        <v>168</v>
      </c>
      <c r="D74" s="14" t="n">
        <v>75.44</v>
      </c>
      <c r="E74" s="15" t="n">
        <v>196898.4</v>
      </c>
      <c r="F74" s="13" t="s">
        <v>188</v>
      </c>
      <c r="G74" s="12" t="s">
        <v>55</v>
      </c>
      <c r="H74" s="13" t="s">
        <v>168</v>
      </c>
      <c r="I74" s="14" t="n">
        <v>75.44</v>
      </c>
      <c r="J74" s="15" t="n">
        <v>196898.4</v>
      </c>
      <c r="K74" s="16" t="s">
        <v>4</v>
      </c>
      <c r="L74" s="4"/>
      <c r="M74" s="17"/>
    </row>
    <row r="75" customFormat="false" ht="15" hidden="false" customHeight="false" outlineLevel="0" collapsed="false">
      <c r="A75" s="12" t="s">
        <v>189</v>
      </c>
      <c r="B75" s="12" t="n">
        <v>2</v>
      </c>
      <c r="C75" s="13" t="s">
        <v>112</v>
      </c>
      <c r="D75" s="14" t="n">
        <v>32.42</v>
      </c>
      <c r="E75" s="15" t="n">
        <v>77808</v>
      </c>
      <c r="F75" s="13" t="s">
        <v>190</v>
      </c>
      <c r="G75" s="12" t="s">
        <v>191</v>
      </c>
      <c r="H75" s="13" t="s">
        <v>112</v>
      </c>
      <c r="I75" s="14" t="n">
        <v>32.42</v>
      </c>
      <c r="J75" s="15" t="n">
        <v>77808</v>
      </c>
      <c r="K75" s="16" t="s">
        <v>4</v>
      </c>
      <c r="L75" s="4"/>
      <c r="M75" s="17"/>
    </row>
    <row r="76" customFormat="false" ht="15" hidden="false" customHeight="false" outlineLevel="0" collapsed="false">
      <c r="A76" s="12" t="s">
        <v>189</v>
      </c>
      <c r="B76" s="12" t="n">
        <v>3</v>
      </c>
      <c r="C76" s="13" t="s">
        <v>192</v>
      </c>
      <c r="D76" s="14" t="n">
        <v>35.72</v>
      </c>
      <c r="E76" s="15" t="n">
        <v>86442.4</v>
      </c>
      <c r="F76" s="13" t="s">
        <v>193</v>
      </c>
      <c r="G76" s="12" t="s">
        <v>194</v>
      </c>
      <c r="H76" s="13" t="s">
        <v>192</v>
      </c>
      <c r="I76" s="14" t="n">
        <v>35.72</v>
      </c>
      <c r="J76" s="15" t="n">
        <v>86442.4</v>
      </c>
      <c r="K76" s="16" t="s">
        <v>4</v>
      </c>
      <c r="L76" s="4"/>
      <c r="M76" s="17"/>
    </row>
    <row r="77" customFormat="false" ht="15" hidden="false" customHeight="false" outlineLevel="0" collapsed="false">
      <c r="A77" s="12" t="s">
        <v>189</v>
      </c>
      <c r="B77" s="12" t="n">
        <v>4</v>
      </c>
      <c r="C77" s="13" t="s">
        <v>195</v>
      </c>
      <c r="D77" s="14" t="n">
        <v>38.07</v>
      </c>
      <c r="E77" s="15" t="n">
        <v>91748.7</v>
      </c>
      <c r="F77" s="13" t="s">
        <v>196</v>
      </c>
      <c r="G77" s="12" t="s">
        <v>197</v>
      </c>
      <c r="H77" s="13" t="s">
        <v>195</v>
      </c>
      <c r="I77" s="14" t="n">
        <v>38.07</v>
      </c>
      <c r="J77" s="15" t="n">
        <v>91748.7</v>
      </c>
      <c r="K77" s="16" t="s">
        <v>4</v>
      </c>
      <c r="L77" s="4"/>
      <c r="M77" s="17"/>
    </row>
    <row r="78" customFormat="false" ht="15" hidden="false" customHeight="false" outlineLevel="0" collapsed="false">
      <c r="A78" s="12" t="s">
        <v>189</v>
      </c>
      <c r="B78" s="12" t="n">
        <v>5</v>
      </c>
      <c r="C78" s="13" t="s">
        <v>195</v>
      </c>
      <c r="D78" s="14" t="n">
        <v>35.28</v>
      </c>
      <c r="E78" s="15" t="n">
        <v>68714.8</v>
      </c>
      <c r="F78" s="13" t="s">
        <v>198</v>
      </c>
      <c r="G78" s="12" t="s">
        <v>199</v>
      </c>
      <c r="H78" s="13" t="s">
        <v>195</v>
      </c>
      <c r="I78" s="14" t="n">
        <v>35.28</v>
      </c>
      <c r="J78" s="15" t="n">
        <v>68714.8</v>
      </c>
      <c r="K78" s="16" t="s">
        <v>4</v>
      </c>
      <c r="L78" s="4"/>
      <c r="M78" s="17"/>
    </row>
    <row r="79" customFormat="false" ht="15" hidden="false" customHeight="false" outlineLevel="0" collapsed="false">
      <c r="A79" s="12" t="s">
        <v>200</v>
      </c>
      <c r="B79" s="12" t="n">
        <v>2</v>
      </c>
      <c r="C79" s="13" t="s">
        <v>67</v>
      </c>
      <c r="D79" s="14" t="n">
        <v>39.16</v>
      </c>
      <c r="E79" s="15" t="n">
        <v>91242.8</v>
      </c>
      <c r="F79" s="13" t="s">
        <v>201</v>
      </c>
      <c r="G79" s="12" t="s">
        <v>202</v>
      </c>
      <c r="H79" s="13" t="s">
        <v>67</v>
      </c>
      <c r="I79" s="14" t="n">
        <v>39.16</v>
      </c>
      <c r="J79" s="15" t="n">
        <v>91242.8</v>
      </c>
      <c r="K79" s="16" t="s">
        <v>4</v>
      </c>
      <c r="L79" s="4"/>
      <c r="M79" s="17"/>
    </row>
    <row r="80" customFormat="false" ht="15" hidden="false" customHeight="false" outlineLevel="0" collapsed="false">
      <c r="A80" s="12" t="s">
        <v>200</v>
      </c>
      <c r="B80" s="12" t="n">
        <v>3</v>
      </c>
      <c r="C80" s="13" t="s">
        <v>77</v>
      </c>
      <c r="D80" s="14" t="n">
        <v>38.78</v>
      </c>
      <c r="E80" s="15" t="n">
        <v>89969.6</v>
      </c>
      <c r="F80" s="13" t="s">
        <v>203</v>
      </c>
      <c r="G80" s="12" t="s">
        <v>204</v>
      </c>
      <c r="H80" s="13" t="s">
        <v>77</v>
      </c>
      <c r="I80" s="14" t="n">
        <v>38.78</v>
      </c>
      <c r="J80" s="15" t="n">
        <v>89969.6</v>
      </c>
      <c r="K80" s="16" t="s">
        <v>4</v>
      </c>
      <c r="L80" s="4"/>
      <c r="M80" s="17"/>
    </row>
    <row r="81" customFormat="false" ht="15" hidden="false" customHeight="false" outlineLevel="0" collapsed="false">
      <c r="A81" s="12" t="s">
        <v>200</v>
      </c>
      <c r="B81" s="12" t="n">
        <v>4</v>
      </c>
      <c r="C81" s="13" t="s">
        <v>104</v>
      </c>
      <c r="D81" s="14" t="n">
        <v>39.96</v>
      </c>
      <c r="E81" s="15" t="n">
        <v>93186.72</v>
      </c>
      <c r="F81" s="13" t="s">
        <v>205</v>
      </c>
      <c r="G81" s="12" t="s">
        <v>206</v>
      </c>
      <c r="H81" s="13" t="s">
        <v>104</v>
      </c>
      <c r="I81" s="14" t="n">
        <v>39.96</v>
      </c>
      <c r="J81" s="15" t="n">
        <v>93186.72</v>
      </c>
      <c r="K81" s="16" t="s">
        <v>4</v>
      </c>
      <c r="L81" s="4"/>
      <c r="M81" s="17"/>
    </row>
    <row r="82" customFormat="false" ht="15" hidden="false" customHeight="false" outlineLevel="0" collapsed="false">
      <c r="A82" s="12" t="s">
        <v>200</v>
      </c>
      <c r="B82" s="12" t="n">
        <v>5</v>
      </c>
      <c r="C82" s="13" t="s">
        <v>151</v>
      </c>
      <c r="D82" s="14" t="n">
        <v>39.17</v>
      </c>
      <c r="E82" s="15" t="n">
        <v>94008</v>
      </c>
      <c r="F82" s="13" t="s">
        <v>207</v>
      </c>
      <c r="G82" s="12" t="s">
        <v>208</v>
      </c>
      <c r="H82" s="13" t="s">
        <v>151</v>
      </c>
      <c r="I82" s="14" t="n">
        <v>39.17</v>
      </c>
      <c r="J82" s="15" t="n">
        <v>94008</v>
      </c>
      <c r="K82" s="16" t="s">
        <v>4</v>
      </c>
      <c r="L82" s="4"/>
      <c r="M82" s="17"/>
    </row>
    <row r="83" customFormat="false" ht="15" hidden="false" customHeight="false" outlineLevel="0" collapsed="false">
      <c r="A83" s="12" t="s">
        <v>200</v>
      </c>
      <c r="B83" s="12" t="n">
        <v>6</v>
      </c>
      <c r="C83" s="13" t="s">
        <v>153</v>
      </c>
      <c r="D83" s="14" t="n">
        <v>34.42</v>
      </c>
      <c r="E83" s="15" t="n">
        <v>82263.8</v>
      </c>
      <c r="F83" s="13" t="s">
        <v>209</v>
      </c>
      <c r="G83" s="12" t="s">
        <v>210</v>
      </c>
      <c r="H83" s="13" t="s">
        <v>153</v>
      </c>
      <c r="I83" s="14" t="n">
        <v>34.42</v>
      </c>
      <c r="J83" s="15" t="n">
        <v>82263.8</v>
      </c>
      <c r="K83" s="16" t="s">
        <v>4</v>
      </c>
      <c r="L83" s="4"/>
      <c r="M83" s="17"/>
    </row>
    <row r="84" customFormat="false" ht="15" hidden="false" customHeight="false" outlineLevel="0" collapsed="false">
      <c r="A84" s="12" t="s">
        <v>200</v>
      </c>
      <c r="B84" s="12" t="n">
        <v>7</v>
      </c>
      <c r="C84" s="13" t="s">
        <v>211</v>
      </c>
      <c r="D84" s="14" t="n">
        <v>41.42</v>
      </c>
      <c r="E84" s="15" t="n">
        <v>96094.4</v>
      </c>
      <c r="F84" s="13" t="s">
        <v>212</v>
      </c>
      <c r="G84" s="12" t="s">
        <v>213</v>
      </c>
      <c r="H84" s="13" t="s">
        <v>211</v>
      </c>
      <c r="I84" s="14" t="n">
        <v>41.42</v>
      </c>
      <c r="J84" s="15" t="n">
        <v>96094.4</v>
      </c>
      <c r="K84" s="16" t="s">
        <v>4</v>
      </c>
      <c r="L84" s="4"/>
      <c r="M84" s="17"/>
    </row>
    <row r="85" customFormat="false" ht="15" hidden="false" customHeight="false" outlineLevel="0" collapsed="false">
      <c r="A85" s="12" t="s">
        <v>214</v>
      </c>
      <c r="B85" s="12" t="n">
        <v>2</v>
      </c>
      <c r="C85" s="13" t="s">
        <v>89</v>
      </c>
      <c r="D85" s="14" t="n">
        <v>34.49</v>
      </c>
      <c r="E85" s="15" t="n">
        <v>80430.68</v>
      </c>
      <c r="F85" s="13" t="s">
        <v>215</v>
      </c>
      <c r="G85" s="12" t="s">
        <v>216</v>
      </c>
      <c r="H85" s="13" t="s">
        <v>89</v>
      </c>
      <c r="I85" s="14" t="n">
        <v>34.49</v>
      </c>
      <c r="J85" s="15" t="n">
        <v>80430.68</v>
      </c>
      <c r="K85" s="16" t="s">
        <v>4</v>
      </c>
      <c r="L85" s="4"/>
      <c r="M85" s="17"/>
    </row>
    <row r="86" customFormat="false" ht="15" hidden="false" customHeight="false" outlineLevel="0" collapsed="false">
      <c r="A86" s="12" t="s">
        <v>214</v>
      </c>
      <c r="B86" s="12" t="n">
        <v>3</v>
      </c>
      <c r="C86" s="13" t="s">
        <v>160</v>
      </c>
      <c r="D86" s="14" t="n">
        <v>44.52</v>
      </c>
      <c r="E86" s="15" t="n">
        <v>103286.4</v>
      </c>
      <c r="F86" s="13" t="s">
        <v>217</v>
      </c>
      <c r="G86" s="12" t="s">
        <v>218</v>
      </c>
      <c r="H86" s="13" t="s">
        <v>160</v>
      </c>
      <c r="I86" s="14" t="n">
        <v>44.52</v>
      </c>
      <c r="J86" s="15" t="n">
        <v>103286.4</v>
      </c>
      <c r="K86" s="16" t="s">
        <v>4</v>
      </c>
      <c r="L86" s="4"/>
      <c r="M86" s="17"/>
    </row>
    <row r="87" customFormat="false" ht="15" hidden="false" customHeight="false" outlineLevel="0" collapsed="false">
      <c r="A87" s="12" t="s">
        <v>214</v>
      </c>
      <c r="B87" s="12" t="n">
        <v>4</v>
      </c>
      <c r="C87" s="13" t="s">
        <v>153</v>
      </c>
      <c r="D87" s="14" t="n">
        <v>33.02</v>
      </c>
      <c r="E87" s="15" t="n">
        <v>76606.4</v>
      </c>
      <c r="F87" s="13" t="s">
        <v>219</v>
      </c>
      <c r="G87" s="12" t="s">
        <v>220</v>
      </c>
      <c r="H87" s="13" t="s">
        <v>153</v>
      </c>
      <c r="I87" s="14" t="n">
        <v>33.02</v>
      </c>
      <c r="J87" s="15" t="n">
        <v>76606.4</v>
      </c>
      <c r="K87" s="16" t="s">
        <v>4</v>
      </c>
      <c r="L87" s="4"/>
      <c r="M87" s="17"/>
    </row>
    <row r="88" customFormat="false" ht="15" hidden="false" customHeight="false" outlineLevel="0" collapsed="false">
      <c r="A88" s="12" t="s">
        <v>221</v>
      </c>
      <c r="B88" s="12" t="n">
        <v>2</v>
      </c>
      <c r="C88" s="13" t="s">
        <v>222</v>
      </c>
      <c r="D88" s="14" t="n">
        <v>56.14</v>
      </c>
      <c r="E88" s="15" t="n">
        <v>132939.52</v>
      </c>
      <c r="F88" s="13" t="s">
        <v>223</v>
      </c>
      <c r="G88" s="12" t="s">
        <v>224</v>
      </c>
      <c r="H88" s="13" t="s">
        <v>222</v>
      </c>
      <c r="I88" s="14" t="n">
        <v>56.14</v>
      </c>
      <c r="J88" s="15" t="n">
        <v>132939.52</v>
      </c>
      <c r="K88" s="16" t="s">
        <v>4</v>
      </c>
      <c r="L88" s="4"/>
      <c r="M88" s="17"/>
    </row>
    <row r="89" customFormat="false" ht="15" hidden="false" customHeight="false" outlineLevel="0" collapsed="false">
      <c r="A89" s="12" t="s">
        <v>221</v>
      </c>
      <c r="B89" s="12" t="n">
        <v>3</v>
      </c>
      <c r="C89" s="13" t="s">
        <v>160</v>
      </c>
      <c r="D89" s="14" t="n">
        <v>78.36</v>
      </c>
      <c r="E89" s="15" t="n">
        <v>198250.8</v>
      </c>
      <c r="F89" s="13" t="s">
        <v>225</v>
      </c>
      <c r="G89" s="12" t="s">
        <v>226</v>
      </c>
      <c r="H89" s="13" t="s">
        <v>160</v>
      </c>
      <c r="I89" s="14" t="n">
        <v>78.36</v>
      </c>
      <c r="J89" s="15" t="n">
        <v>198250.8</v>
      </c>
      <c r="K89" s="16" t="s">
        <v>4</v>
      </c>
      <c r="L89" s="4"/>
      <c r="M89" s="17"/>
    </row>
    <row r="90" customFormat="false" ht="15" hidden="false" customHeight="false" outlineLevel="0" collapsed="false">
      <c r="A90" s="12" t="s">
        <v>221</v>
      </c>
      <c r="B90" s="12" t="n">
        <v>4</v>
      </c>
      <c r="C90" s="13" t="s">
        <v>153</v>
      </c>
      <c r="D90" s="14" t="n">
        <v>79.58</v>
      </c>
      <c r="E90" s="15" t="n">
        <v>199745.8</v>
      </c>
      <c r="F90" s="13" t="s">
        <v>227</v>
      </c>
      <c r="G90" s="12" t="s">
        <v>226</v>
      </c>
      <c r="H90" s="13" t="s">
        <v>153</v>
      </c>
      <c r="I90" s="14" t="n">
        <v>79.58</v>
      </c>
      <c r="J90" s="15" t="n">
        <v>199745.8</v>
      </c>
      <c r="K90" s="16" t="s">
        <v>4</v>
      </c>
      <c r="L90" s="4"/>
      <c r="M90" s="17"/>
    </row>
    <row r="91" customFormat="false" ht="15" hidden="false" customHeight="false" outlineLevel="0" collapsed="false">
      <c r="A91" s="12" t="s">
        <v>221</v>
      </c>
      <c r="B91" s="12" t="n">
        <v>5</v>
      </c>
      <c r="C91" s="13" t="s">
        <v>153</v>
      </c>
      <c r="D91" s="14" t="n">
        <v>47.98</v>
      </c>
      <c r="E91" s="15" t="n">
        <v>123308.6</v>
      </c>
      <c r="F91" s="13" t="s">
        <v>228</v>
      </c>
      <c r="G91" s="12" t="s">
        <v>229</v>
      </c>
      <c r="H91" s="13" t="s">
        <v>153</v>
      </c>
      <c r="I91" s="14" t="n">
        <v>47.98</v>
      </c>
      <c r="J91" s="15" t="n">
        <v>123308.6</v>
      </c>
      <c r="K91" s="16" t="s">
        <v>4</v>
      </c>
      <c r="L91" s="4"/>
      <c r="M91" s="17"/>
    </row>
    <row r="92" customFormat="false" ht="15" hidden="false" customHeight="false" outlineLevel="0" collapsed="false">
      <c r="A92" s="12" t="s">
        <v>221</v>
      </c>
      <c r="B92" s="12" t="n">
        <v>6</v>
      </c>
      <c r="C92" s="13" t="s">
        <v>211</v>
      </c>
      <c r="D92" s="14" t="n">
        <v>50.72</v>
      </c>
      <c r="E92" s="15" t="n">
        <v>128017.28</v>
      </c>
      <c r="F92" s="13" t="s">
        <v>230</v>
      </c>
      <c r="G92" s="12" t="s">
        <v>231</v>
      </c>
      <c r="H92" s="13" t="s">
        <v>211</v>
      </c>
      <c r="I92" s="14" t="n">
        <v>50.72</v>
      </c>
      <c r="J92" s="15" t="n">
        <v>128017.28</v>
      </c>
      <c r="K92" s="16" t="s">
        <v>4</v>
      </c>
      <c r="L92" s="4"/>
      <c r="M92" s="17"/>
    </row>
    <row r="93" customFormat="false" ht="15" hidden="false" customHeight="false" outlineLevel="0" collapsed="false">
      <c r="A93" s="12" t="s">
        <v>221</v>
      </c>
      <c r="B93" s="12" t="n">
        <v>7</v>
      </c>
      <c r="C93" s="13" t="s">
        <v>164</v>
      </c>
      <c r="D93" s="14" t="n">
        <v>73.54</v>
      </c>
      <c r="E93" s="15" t="n">
        <v>186056.2</v>
      </c>
      <c r="F93" s="13" t="s">
        <v>232</v>
      </c>
      <c r="G93" s="12" t="s">
        <v>226</v>
      </c>
      <c r="H93" s="13" t="s">
        <v>164</v>
      </c>
      <c r="I93" s="14" t="n">
        <v>73.54</v>
      </c>
      <c r="J93" s="15" t="n">
        <v>186056.2</v>
      </c>
      <c r="K93" s="16" t="s">
        <v>4</v>
      </c>
      <c r="L93" s="4"/>
      <c r="M93" s="17"/>
    </row>
    <row r="94" customFormat="false" ht="15" hidden="false" customHeight="false" outlineLevel="0" collapsed="false">
      <c r="A94" s="12" t="s">
        <v>221</v>
      </c>
      <c r="B94" s="12" t="n">
        <v>8</v>
      </c>
      <c r="C94" s="13" t="s">
        <v>164</v>
      </c>
      <c r="D94" s="14" t="n">
        <v>52</v>
      </c>
      <c r="E94" s="15" t="n">
        <v>126308</v>
      </c>
      <c r="F94" s="13" t="s">
        <v>233</v>
      </c>
      <c r="G94" s="12" t="s">
        <v>234</v>
      </c>
      <c r="H94" s="13" t="s">
        <v>164</v>
      </c>
      <c r="I94" s="14" t="n">
        <v>52</v>
      </c>
      <c r="J94" s="15" t="n">
        <v>126308</v>
      </c>
      <c r="K94" s="16" t="s">
        <v>4</v>
      </c>
      <c r="L94" s="4"/>
      <c r="M94" s="17"/>
    </row>
    <row r="95" customFormat="false" ht="15" hidden="false" customHeight="false" outlineLevel="0" collapsed="false">
      <c r="A95" s="12" t="s">
        <v>221</v>
      </c>
      <c r="B95" s="12" t="n">
        <v>9</v>
      </c>
      <c r="C95" s="13" t="s">
        <v>145</v>
      </c>
      <c r="D95" s="14" t="n">
        <v>30.22</v>
      </c>
      <c r="E95" s="15" t="n">
        <v>75852.2</v>
      </c>
      <c r="F95" s="13" t="s">
        <v>235</v>
      </c>
      <c r="G95" s="12" t="s">
        <v>236</v>
      </c>
      <c r="H95" s="13" t="s">
        <v>145</v>
      </c>
      <c r="I95" s="14" t="n">
        <v>30.22</v>
      </c>
      <c r="J95" s="15" t="n">
        <v>75852.2</v>
      </c>
      <c r="K95" s="16" t="s">
        <v>4</v>
      </c>
      <c r="L95" s="4"/>
      <c r="M95" s="17"/>
    </row>
    <row r="96" customFormat="false" ht="29.85" hidden="false" customHeight="false" outlineLevel="0" collapsed="false">
      <c r="A96" s="12" t="s">
        <v>221</v>
      </c>
      <c r="B96" s="12" t="n">
        <v>10</v>
      </c>
      <c r="C96" s="13" t="s">
        <v>237</v>
      </c>
      <c r="D96" s="14" t="n">
        <v>27.98</v>
      </c>
      <c r="E96" s="15" t="n">
        <v>70229.8</v>
      </c>
      <c r="F96" s="12"/>
      <c r="G96" s="12"/>
      <c r="H96" s="12"/>
      <c r="I96" s="14"/>
      <c r="J96" s="15"/>
      <c r="K96" s="19" t="s">
        <v>238</v>
      </c>
      <c r="L96" s="6" t="s">
        <v>239</v>
      </c>
      <c r="M96" s="20" t="s">
        <v>240</v>
      </c>
    </row>
    <row r="97" customFormat="false" ht="15" hidden="false" customHeight="false" outlineLevel="0" collapsed="false">
      <c r="A97" s="12" t="s">
        <v>241</v>
      </c>
      <c r="B97" s="12" t="n">
        <v>2</v>
      </c>
      <c r="C97" s="13" t="s">
        <v>192</v>
      </c>
      <c r="D97" s="14" t="n">
        <v>481.77</v>
      </c>
      <c r="E97" s="15" t="n">
        <v>1181813.6</v>
      </c>
      <c r="F97" s="13" t="s">
        <v>242</v>
      </c>
      <c r="G97" s="12" t="s">
        <v>243</v>
      </c>
      <c r="H97" s="13" t="s">
        <v>128</v>
      </c>
      <c r="I97" s="14" t="n">
        <v>481.77</v>
      </c>
      <c r="J97" s="15" t="n">
        <v>1181813.6</v>
      </c>
      <c r="K97" s="16" t="s">
        <v>78</v>
      </c>
      <c r="L97" s="4" t="s">
        <v>244</v>
      </c>
      <c r="M97" s="20"/>
    </row>
    <row r="98" customFormat="false" ht="15" hidden="false" customHeight="false" outlineLevel="0" collapsed="false">
      <c r="A98" s="12" t="s">
        <v>241</v>
      </c>
      <c r="B98" s="12" t="n">
        <v>3</v>
      </c>
      <c r="C98" s="13" t="s">
        <v>136</v>
      </c>
      <c r="D98" s="14" t="n">
        <v>560.21</v>
      </c>
      <c r="E98" s="15" t="n">
        <v>1381864.15</v>
      </c>
      <c r="F98" s="13" t="s">
        <v>245</v>
      </c>
      <c r="G98" s="12" t="s">
        <v>246</v>
      </c>
      <c r="H98" s="13" t="s">
        <v>192</v>
      </c>
      <c r="I98" s="14" t="n">
        <v>560.21</v>
      </c>
      <c r="J98" s="15" t="n">
        <v>1381864.15</v>
      </c>
      <c r="K98" s="16" t="s">
        <v>78</v>
      </c>
      <c r="L98" s="4" t="s">
        <v>244</v>
      </c>
      <c r="M98" s="20"/>
    </row>
    <row r="99" customFormat="false" ht="15" hidden="false" customHeight="false" outlineLevel="0" collapsed="false">
      <c r="A99" s="12" t="s">
        <v>241</v>
      </c>
      <c r="B99" s="12" t="n">
        <v>4</v>
      </c>
      <c r="C99" s="13" t="s">
        <v>211</v>
      </c>
      <c r="D99" s="14" t="n">
        <v>589.24</v>
      </c>
      <c r="E99" s="15" t="n">
        <v>1444596.08</v>
      </c>
      <c r="F99" s="13" t="s">
        <v>247</v>
      </c>
      <c r="G99" s="12" t="s">
        <v>248</v>
      </c>
      <c r="H99" s="13" t="s">
        <v>153</v>
      </c>
      <c r="I99" s="14" t="n">
        <v>589.24</v>
      </c>
      <c r="J99" s="15" t="n">
        <v>1444596.08</v>
      </c>
      <c r="K99" s="16" t="s">
        <v>78</v>
      </c>
      <c r="L99" s="4" t="s">
        <v>177</v>
      </c>
      <c r="M99" s="20"/>
    </row>
    <row r="100" customFormat="false" ht="15" hidden="false" customHeight="false" outlineLevel="0" collapsed="false">
      <c r="A100" s="12" t="s">
        <v>241</v>
      </c>
      <c r="B100" s="12" t="n">
        <v>5</v>
      </c>
      <c r="C100" s="13" t="s">
        <v>145</v>
      </c>
      <c r="D100" s="14" t="n">
        <v>646.85</v>
      </c>
      <c r="E100" s="15" t="n">
        <v>1563945.84</v>
      </c>
      <c r="F100" s="13" t="s">
        <v>249</v>
      </c>
      <c r="G100" s="12" t="s">
        <v>250</v>
      </c>
      <c r="H100" s="13" t="s">
        <v>141</v>
      </c>
      <c r="I100" s="14" t="n">
        <v>646.85</v>
      </c>
      <c r="J100" s="15" t="n">
        <v>1563945.84</v>
      </c>
      <c r="K100" s="16" t="s">
        <v>78</v>
      </c>
      <c r="L100" s="4" t="s">
        <v>79</v>
      </c>
      <c r="M100" s="20"/>
    </row>
    <row r="101" customFormat="false" ht="15" hidden="false" customHeight="false" outlineLevel="0" collapsed="false">
      <c r="A101" s="12" t="s">
        <v>251</v>
      </c>
      <c r="B101" s="12" t="n">
        <v>2</v>
      </c>
      <c r="C101" s="13" t="s">
        <v>104</v>
      </c>
      <c r="D101" s="14" t="n">
        <v>518.48</v>
      </c>
      <c r="E101" s="15" t="n">
        <v>1271258.96</v>
      </c>
      <c r="F101" s="13" t="s">
        <v>252</v>
      </c>
      <c r="G101" s="12" t="s">
        <v>253</v>
      </c>
      <c r="H101" s="13" t="s">
        <v>77</v>
      </c>
      <c r="I101" s="14" t="n">
        <v>518.48</v>
      </c>
      <c r="J101" s="15" t="n">
        <v>1271258.96</v>
      </c>
      <c r="K101" s="16" t="s">
        <v>78</v>
      </c>
      <c r="L101" s="4" t="s">
        <v>244</v>
      </c>
      <c r="M101" s="20"/>
    </row>
    <row r="102" customFormat="false" ht="15" hidden="false" customHeight="false" outlineLevel="0" collapsed="false">
      <c r="A102" s="12" t="s">
        <v>254</v>
      </c>
      <c r="B102" s="12" t="n">
        <v>2</v>
      </c>
      <c r="C102" s="13" t="s">
        <v>195</v>
      </c>
      <c r="D102" s="14" t="n">
        <v>39.12</v>
      </c>
      <c r="E102" s="15" t="n">
        <v>89584.8</v>
      </c>
      <c r="F102" s="13" t="s">
        <v>255</v>
      </c>
      <c r="G102" s="12" t="s">
        <v>256</v>
      </c>
      <c r="H102" s="13" t="s">
        <v>195</v>
      </c>
      <c r="I102" s="14" t="n">
        <v>39.12</v>
      </c>
      <c r="J102" s="15" t="n">
        <v>89584.8</v>
      </c>
      <c r="K102" s="16" t="s">
        <v>4</v>
      </c>
      <c r="L102" s="4"/>
      <c r="M102" s="20"/>
    </row>
  </sheetData>
  <autoFilter ref="A1:M102"/>
  <dataValidations count="1">
    <dataValidation allowBlank="true" errorStyle="stop" operator="between" showDropDown="false" showErrorMessage="false" showInputMessage="false" sqref="M2:M102" type="list">
      <formula1>"以系统为准,以财务为准,待录入,已处理"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5"/>
    <col collapsed="false" customWidth="true" hidden="false" outlineLevel="0" max="3" min="3" style="0" width="10"/>
    <col collapsed="false" customWidth="true" hidden="false" outlineLevel="0" max="4" min="4" style="0" width="20"/>
    <col collapsed="false" customWidth="true" hidden="false" outlineLevel="0" max="5" min="5" style="0" width="9"/>
    <col collapsed="false" customWidth="true" hidden="false" outlineLevel="0" max="7" min="6" style="0" width="12"/>
    <col collapsed="false" customWidth="true" hidden="false" outlineLevel="0" max="9" min="8" style="0" width="11"/>
    <col collapsed="false" customWidth="true" hidden="false" outlineLevel="0" max="10" min="10" style="0" width="16"/>
    <col collapsed="false" customWidth="true" hidden="false" outlineLevel="0" max="11" min="11" style="0" width="56"/>
    <col collapsed="false" customWidth="true" hidden="false" outlineLevel="0" max="13" min="12" style="0" width="16"/>
  </cols>
  <sheetData>
    <row r="1" customFormat="false" ht="31.5" hidden="false" customHeight="true" outlineLevel="0" collapsed="false">
      <c r="A1" s="3" t="s">
        <v>40</v>
      </c>
      <c r="B1" s="3" t="s">
        <v>41</v>
      </c>
      <c r="C1" s="3" t="s">
        <v>42</v>
      </c>
      <c r="D1" s="3" t="s">
        <v>45</v>
      </c>
      <c r="E1" s="3" t="s">
        <v>11</v>
      </c>
      <c r="F1" s="3" t="s">
        <v>257</v>
      </c>
      <c r="G1" s="3" t="s">
        <v>258</v>
      </c>
      <c r="H1" s="3" t="s">
        <v>259</v>
      </c>
      <c r="I1" s="3" t="s">
        <v>260</v>
      </c>
      <c r="J1" s="3" t="s">
        <v>261</v>
      </c>
      <c r="K1" s="3" t="s">
        <v>6</v>
      </c>
      <c r="L1" s="3" t="s">
        <v>262</v>
      </c>
      <c r="M1" s="3" t="s">
        <v>263</v>
      </c>
    </row>
    <row r="2" customFormat="false" ht="15" hidden="false" customHeight="false" outlineLevel="0" collapsed="false">
      <c r="A2" s="12" t="s">
        <v>52</v>
      </c>
      <c r="B2" s="12" t="n">
        <v>2</v>
      </c>
      <c r="C2" s="13" t="s">
        <v>53</v>
      </c>
      <c r="D2" s="12" t="s">
        <v>55</v>
      </c>
      <c r="E2" s="13" t="s">
        <v>54</v>
      </c>
      <c r="F2" s="12" t="s">
        <v>52</v>
      </c>
      <c r="G2" s="13" t="s">
        <v>264</v>
      </c>
      <c r="H2" s="12" t="s">
        <v>52</v>
      </c>
      <c r="I2" s="12" t="s">
        <v>52</v>
      </c>
      <c r="J2" s="16" t="s">
        <v>4</v>
      </c>
      <c r="K2" s="4"/>
      <c r="L2" s="17"/>
      <c r="M2" s="17"/>
    </row>
    <row r="3" customFormat="false" ht="15" hidden="false" customHeight="false" outlineLevel="0" collapsed="false">
      <c r="A3" s="12" t="s">
        <v>52</v>
      </c>
      <c r="B3" s="12" t="n">
        <v>3</v>
      </c>
      <c r="C3" s="13" t="s">
        <v>56</v>
      </c>
      <c r="D3" s="12" t="s">
        <v>58</v>
      </c>
      <c r="E3" s="13" t="s">
        <v>57</v>
      </c>
      <c r="F3" s="12" t="s">
        <v>52</v>
      </c>
      <c r="G3" s="13" t="s">
        <v>264</v>
      </c>
      <c r="H3" s="12" t="s">
        <v>52</v>
      </c>
      <c r="I3" s="12" t="s">
        <v>52</v>
      </c>
      <c r="J3" s="16" t="s">
        <v>4</v>
      </c>
      <c r="K3" s="4"/>
      <c r="L3" s="17"/>
      <c r="M3" s="17"/>
    </row>
    <row r="4" customFormat="false" ht="15" hidden="false" customHeight="false" outlineLevel="0" collapsed="false">
      <c r="A4" s="12" t="s">
        <v>52</v>
      </c>
      <c r="B4" s="12" t="n">
        <v>4</v>
      </c>
      <c r="C4" s="13" t="s">
        <v>59</v>
      </c>
      <c r="D4" s="12" t="s">
        <v>55</v>
      </c>
      <c r="E4" s="13" t="s">
        <v>60</v>
      </c>
      <c r="F4" s="12" t="s">
        <v>52</v>
      </c>
      <c r="G4" s="13" t="s">
        <v>264</v>
      </c>
      <c r="H4" s="12" t="s">
        <v>52</v>
      </c>
      <c r="I4" s="12" t="s">
        <v>52</v>
      </c>
      <c r="J4" s="16" t="s">
        <v>4</v>
      </c>
      <c r="K4" s="4"/>
      <c r="L4" s="17"/>
      <c r="M4" s="17"/>
    </row>
    <row r="5" customFormat="false" ht="15" hidden="false" customHeight="false" outlineLevel="0" collapsed="false">
      <c r="A5" s="12" t="s">
        <v>52</v>
      </c>
      <c r="B5" s="12" t="n">
        <v>5</v>
      </c>
      <c r="C5" s="13" t="s">
        <v>59</v>
      </c>
      <c r="D5" s="12" t="s">
        <v>62</v>
      </c>
      <c r="E5" s="13" t="s">
        <v>61</v>
      </c>
      <c r="F5" s="12" t="s">
        <v>52</v>
      </c>
      <c r="G5" s="13" t="s">
        <v>264</v>
      </c>
      <c r="H5" s="12" t="s">
        <v>265</v>
      </c>
      <c r="I5" s="12" t="s">
        <v>266</v>
      </c>
      <c r="J5" s="19" t="s">
        <v>267</v>
      </c>
      <c r="K5" s="4" t="s">
        <v>268</v>
      </c>
      <c r="L5" s="17"/>
      <c r="M5" s="17"/>
    </row>
    <row r="6" customFormat="false" ht="15" hidden="false" customHeight="false" outlineLevel="0" collapsed="false">
      <c r="A6" s="12" t="s">
        <v>52</v>
      </c>
      <c r="B6" s="12" t="n">
        <v>6</v>
      </c>
      <c r="C6" s="13" t="s">
        <v>59</v>
      </c>
      <c r="D6" s="12" t="s">
        <v>64</v>
      </c>
      <c r="E6" s="13" t="s">
        <v>63</v>
      </c>
      <c r="F6" s="12" t="s">
        <v>52</v>
      </c>
      <c r="G6" s="13" t="s">
        <v>264</v>
      </c>
      <c r="H6" s="12" t="s">
        <v>265</v>
      </c>
      <c r="I6" s="12" t="s">
        <v>266</v>
      </c>
      <c r="J6" s="19" t="s">
        <v>267</v>
      </c>
      <c r="K6" s="4" t="s">
        <v>268</v>
      </c>
      <c r="L6" s="17"/>
      <c r="M6" s="17"/>
    </row>
    <row r="7" customFormat="false" ht="15" hidden="false" customHeight="false" outlineLevel="0" collapsed="false">
      <c r="A7" s="12" t="s">
        <v>52</v>
      </c>
      <c r="B7" s="12" t="n">
        <v>7</v>
      </c>
      <c r="C7" s="13" t="s">
        <v>59</v>
      </c>
      <c r="D7" s="12" t="s">
        <v>66</v>
      </c>
      <c r="E7" s="13" t="s">
        <v>65</v>
      </c>
      <c r="F7" s="12" t="s">
        <v>52</v>
      </c>
      <c r="G7" s="13" t="s">
        <v>264</v>
      </c>
      <c r="H7" s="12" t="s">
        <v>52</v>
      </c>
      <c r="I7" s="12" t="s">
        <v>52</v>
      </c>
      <c r="J7" s="16" t="s">
        <v>4</v>
      </c>
      <c r="K7" s="4"/>
      <c r="L7" s="17"/>
      <c r="M7" s="17"/>
    </row>
    <row r="8" customFormat="false" ht="15" hidden="false" customHeight="false" outlineLevel="0" collapsed="false">
      <c r="A8" s="12" t="s">
        <v>52</v>
      </c>
      <c r="B8" s="12" t="n">
        <v>8</v>
      </c>
      <c r="C8" s="13" t="s">
        <v>67</v>
      </c>
      <c r="D8" s="12" t="s">
        <v>55</v>
      </c>
      <c r="E8" s="13" t="s">
        <v>68</v>
      </c>
      <c r="F8" s="12" t="s">
        <v>52</v>
      </c>
      <c r="G8" s="13" t="s">
        <v>264</v>
      </c>
      <c r="H8" s="12" t="s">
        <v>52</v>
      </c>
      <c r="I8" s="12" t="s">
        <v>52</v>
      </c>
      <c r="J8" s="16" t="s">
        <v>4</v>
      </c>
      <c r="K8" s="4"/>
      <c r="L8" s="17"/>
      <c r="M8" s="17"/>
    </row>
    <row r="9" customFormat="false" ht="15" hidden="false" customHeight="false" outlineLevel="0" collapsed="false">
      <c r="A9" s="12" t="s">
        <v>52</v>
      </c>
      <c r="B9" s="12" t="n">
        <v>9</v>
      </c>
      <c r="C9" s="13" t="s">
        <v>67</v>
      </c>
      <c r="D9" s="12" t="s">
        <v>70</v>
      </c>
      <c r="E9" s="13" t="s">
        <v>69</v>
      </c>
      <c r="F9" s="12" t="s">
        <v>52</v>
      </c>
      <c r="G9" s="13" t="s">
        <v>264</v>
      </c>
      <c r="H9" s="12" t="s">
        <v>265</v>
      </c>
      <c r="I9" s="12" t="s">
        <v>266</v>
      </c>
      <c r="J9" s="19" t="s">
        <v>267</v>
      </c>
      <c r="K9" s="4" t="s">
        <v>268</v>
      </c>
      <c r="L9" s="17"/>
      <c r="M9" s="17"/>
    </row>
    <row r="10" customFormat="false" ht="15" hidden="false" customHeight="false" outlineLevel="0" collapsed="false">
      <c r="A10" s="12" t="s">
        <v>52</v>
      </c>
      <c r="B10" s="12" t="n">
        <v>10</v>
      </c>
      <c r="C10" s="13" t="s">
        <v>71</v>
      </c>
      <c r="D10" s="12" t="s">
        <v>73</v>
      </c>
      <c r="E10" s="13" t="s">
        <v>72</v>
      </c>
      <c r="F10" s="12" t="s">
        <v>52</v>
      </c>
      <c r="G10" s="13" t="s">
        <v>264</v>
      </c>
      <c r="H10" s="12" t="s">
        <v>52</v>
      </c>
      <c r="I10" s="12" t="s">
        <v>52</v>
      </c>
      <c r="J10" s="16" t="s">
        <v>4</v>
      </c>
      <c r="K10" s="4"/>
      <c r="L10" s="17"/>
      <c r="M10" s="17"/>
    </row>
    <row r="11" customFormat="false" ht="15" hidden="false" customHeight="false" outlineLevel="0" collapsed="false">
      <c r="A11" s="12" t="s">
        <v>52</v>
      </c>
      <c r="B11" s="12" t="n">
        <v>11</v>
      </c>
      <c r="C11" s="13" t="s">
        <v>74</v>
      </c>
      <c r="D11" s="12" t="s">
        <v>76</v>
      </c>
      <c r="E11" s="13" t="s">
        <v>75</v>
      </c>
      <c r="F11" s="12" t="s">
        <v>52</v>
      </c>
      <c r="G11" s="13" t="s">
        <v>264</v>
      </c>
      <c r="H11" s="12" t="s">
        <v>265</v>
      </c>
      <c r="I11" s="12" t="s">
        <v>266</v>
      </c>
      <c r="J11" s="19" t="s">
        <v>267</v>
      </c>
      <c r="K11" s="4" t="s">
        <v>268</v>
      </c>
      <c r="L11" s="17"/>
      <c r="M11" s="17"/>
    </row>
    <row r="12" customFormat="false" ht="15" hidden="false" customHeight="false" outlineLevel="0" collapsed="false">
      <c r="A12" s="12" t="s">
        <v>52</v>
      </c>
      <c r="B12" s="12" t="n">
        <v>12</v>
      </c>
      <c r="C12" s="13" t="s">
        <v>77</v>
      </c>
      <c r="D12" s="12" t="s">
        <v>81</v>
      </c>
      <c r="E12" s="13" t="s">
        <v>80</v>
      </c>
      <c r="F12" s="12" t="s">
        <v>52</v>
      </c>
      <c r="G12" s="13" t="s">
        <v>264</v>
      </c>
      <c r="H12" s="12" t="s">
        <v>52</v>
      </c>
      <c r="I12" s="12" t="s">
        <v>52</v>
      </c>
      <c r="J12" s="16" t="s">
        <v>4</v>
      </c>
      <c r="K12" s="4"/>
      <c r="L12" s="17"/>
      <c r="M12" s="17"/>
    </row>
    <row r="13" customFormat="false" ht="15" hidden="false" customHeight="false" outlineLevel="0" collapsed="false">
      <c r="A13" s="12" t="s">
        <v>52</v>
      </c>
      <c r="B13" s="12" t="n">
        <v>13</v>
      </c>
      <c r="C13" s="13" t="s">
        <v>77</v>
      </c>
      <c r="D13" s="12" t="s">
        <v>58</v>
      </c>
      <c r="E13" s="13" t="s">
        <v>82</v>
      </c>
      <c r="F13" s="12" t="s">
        <v>52</v>
      </c>
      <c r="G13" s="13" t="s">
        <v>264</v>
      </c>
      <c r="H13" s="12" t="s">
        <v>52</v>
      </c>
      <c r="I13" s="12" t="s">
        <v>52</v>
      </c>
      <c r="J13" s="16" t="s">
        <v>4</v>
      </c>
      <c r="K13" s="4"/>
      <c r="L13" s="17"/>
      <c r="M13" s="17"/>
    </row>
    <row r="14" customFormat="false" ht="15" hidden="false" customHeight="false" outlineLevel="0" collapsed="false">
      <c r="A14" s="12" t="s">
        <v>52</v>
      </c>
      <c r="B14" s="12" t="n">
        <v>14</v>
      </c>
      <c r="C14" s="13" t="s">
        <v>77</v>
      </c>
      <c r="D14" s="12" t="s">
        <v>84</v>
      </c>
      <c r="E14" s="13" t="s">
        <v>83</v>
      </c>
      <c r="F14" s="12" t="s">
        <v>52</v>
      </c>
      <c r="G14" s="13" t="s">
        <v>264</v>
      </c>
      <c r="H14" s="12" t="s">
        <v>52</v>
      </c>
      <c r="I14" s="12" t="s">
        <v>52</v>
      </c>
      <c r="J14" s="16" t="s">
        <v>4</v>
      </c>
      <c r="K14" s="4"/>
      <c r="L14" s="17"/>
      <c r="M14" s="17"/>
    </row>
    <row r="15" customFormat="false" ht="15" hidden="false" customHeight="false" outlineLevel="0" collapsed="false">
      <c r="A15" s="12" t="s">
        <v>52</v>
      </c>
      <c r="B15" s="12" t="n">
        <v>15</v>
      </c>
      <c r="C15" s="13" t="s">
        <v>77</v>
      </c>
      <c r="D15" s="12" t="s">
        <v>86</v>
      </c>
      <c r="E15" s="13" t="s">
        <v>85</v>
      </c>
      <c r="F15" s="12" t="s">
        <v>52</v>
      </c>
      <c r="G15" s="13" t="s">
        <v>264</v>
      </c>
      <c r="H15" s="12" t="s">
        <v>52</v>
      </c>
      <c r="I15" s="12" t="s">
        <v>52</v>
      </c>
      <c r="J15" s="16" t="s">
        <v>4</v>
      </c>
      <c r="K15" s="4"/>
      <c r="L15" s="17"/>
      <c r="M15" s="17"/>
    </row>
    <row r="16" customFormat="false" ht="15" hidden="false" customHeight="false" outlineLevel="0" collapsed="false">
      <c r="A16" s="12" t="s">
        <v>52</v>
      </c>
      <c r="B16" s="12" t="n">
        <v>16</v>
      </c>
      <c r="C16" s="13" t="s">
        <v>77</v>
      </c>
      <c r="D16" s="12" t="s">
        <v>88</v>
      </c>
      <c r="E16" s="13" t="s">
        <v>87</v>
      </c>
      <c r="F16" s="12" t="s">
        <v>52</v>
      </c>
      <c r="G16" s="13" t="s">
        <v>264</v>
      </c>
      <c r="H16" s="12" t="s">
        <v>52</v>
      </c>
      <c r="I16" s="12" t="s">
        <v>52</v>
      </c>
      <c r="J16" s="16" t="s">
        <v>4</v>
      </c>
      <c r="K16" s="4"/>
      <c r="L16" s="17"/>
      <c r="M16" s="17"/>
    </row>
    <row r="17" customFormat="false" ht="15" hidden="false" customHeight="false" outlineLevel="0" collapsed="false">
      <c r="A17" s="12" t="s">
        <v>52</v>
      </c>
      <c r="B17" s="12" t="n">
        <v>17</v>
      </c>
      <c r="C17" s="13" t="s">
        <v>89</v>
      </c>
      <c r="D17" s="12" t="s">
        <v>91</v>
      </c>
      <c r="E17" s="13" t="s">
        <v>90</v>
      </c>
      <c r="F17" s="12" t="s">
        <v>52</v>
      </c>
      <c r="G17" s="13" t="s">
        <v>264</v>
      </c>
      <c r="H17" s="12" t="s">
        <v>52</v>
      </c>
      <c r="I17" s="12" t="s">
        <v>52</v>
      </c>
      <c r="J17" s="16" t="s">
        <v>4</v>
      </c>
      <c r="K17" s="4"/>
      <c r="L17" s="17"/>
      <c r="M17" s="17"/>
    </row>
    <row r="18" customFormat="false" ht="15" hidden="false" customHeight="false" outlineLevel="0" collapsed="false">
      <c r="A18" s="12" t="s">
        <v>52</v>
      </c>
      <c r="B18" s="12" t="n">
        <v>18</v>
      </c>
      <c r="C18" s="13" t="s">
        <v>89</v>
      </c>
      <c r="D18" s="12" t="s">
        <v>93</v>
      </c>
      <c r="E18" s="13" t="s">
        <v>92</v>
      </c>
      <c r="F18" s="12" t="s">
        <v>52</v>
      </c>
      <c r="G18" s="13" t="s">
        <v>264</v>
      </c>
      <c r="H18" s="12" t="s">
        <v>52</v>
      </c>
      <c r="I18" s="12" t="s">
        <v>52</v>
      </c>
      <c r="J18" s="16" t="s">
        <v>4</v>
      </c>
      <c r="K18" s="4"/>
      <c r="L18" s="17"/>
      <c r="M18" s="17"/>
    </row>
    <row r="19" customFormat="false" ht="15" hidden="false" customHeight="false" outlineLevel="0" collapsed="false">
      <c r="A19" s="12" t="s">
        <v>52</v>
      </c>
      <c r="B19" s="12" t="n">
        <v>19</v>
      </c>
      <c r="C19" s="13" t="s">
        <v>89</v>
      </c>
      <c r="D19" s="12" t="s">
        <v>73</v>
      </c>
      <c r="E19" s="13" t="s">
        <v>94</v>
      </c>
      <c r="F19" s="12" t="s">
        <v>52</v>
      </c>
      <c r="G19" s="13" t="s">
        <v>264</v>
      </c>
      <c r="H19" s="12" t="s">
        <v>52</v>
      </c>
      <c r="I19" s="12" t="s">
        <v>52</v>
      </c>
      <c r="J19" s="16" t="s">
        <v>4</v>
      </c>
      <c r="K19" s="4"/>
      <c r="L19" s="17"/>
      <c r="M19" s="17"/>
    </row>
    <row r="20" customFormat="false" ht="15" hidden="false" customHeight="false" outlineLevel="0" collapsed="false">
      <c r="A20" s="12" t="s">
        <v>52</v>
      </c>
      <c r="B20" s="12" t="n">
        <v>20</v>
      </c>
      <c r="C20" s="13" t="s">
        <v>89</v>
      </c>
      <c r="D20" s="12" t="s">
        <v>58</v>
      </c>
      <c r="E20" s="13" t="s">
        <v>95</v>
      </c>
      <c r="F20" s="12" t="s">
        <v>52</v>
      </c>
      <c r="G20" s="13" t="s">
        <v>264</v>
      </c>
      <c r="H20" s="12" t="s">
        <v>52</v>
      </c>
      <c r="I20" s="12" t="s">
        <v>52</v>
      </c>
      <c r="J20" s="16" t="s">
        <v>4</v>
      </c>
      <c r="K20" s="4"/>
      <c r="L20" s="17"/>
      <c r="M20" s="17"/>
    </row>
    <row r="21" customFormat="false" ht="15" hidden="false" customHeight="false" outlineLevel="0" collapsed="false">
      <c r="A21" s="12" t="s">
        <v>52</v>
      </c>
      <c r="B21" s="12" t="n">
        <v>21</v>
      </c>
      <c r="C21" s="13" t="s">
        <v>89</v>
      </c>
      <c r="D21" s="12" t="s">
        <v>55</v>
      </c>
      <c r="E21" s="13" t="s">
        <v>96</v>
      </c>
      <c r="F21" s="12" t="s">
        <v>52</v>
      </c>
      <c r="G21" s="13" t="s">
        <v>264</v>
      </c>
      <c r="H21" s="12" t="s">
        <v>52</v>
      </c>
      <c r="I21" s="12" t="s">
        <v>52</v>
      </c>
      <c r="J21" s="16" t="s">
        <v>4</v>
      </c>
      <c r="K21" s="4"/>
      <c r="L21" s="17"/>
      <c r="M21" s="17"/>
    </row>
    <row r="22" customFormat="false" ht="15" hidden="false" customHeight="false" outlineLevel="0" collapsed="false">
      <c r="A22" s="12" t="s">
        <v>52</v>
      </c>
      <c r="B22" s="12" t="n">
        <v>22</v>
      </c>
      <c r="C22" s="13" t="s">
        <v>89</v>
      </c>
      <c r="D22" s="12" t="s">
        <v>66</v>
      </c>
      <c r="E22" s="13" t="s">
        <v>97</v>
      </c>
      <c r="F22" s="12" t="s">
        <v>52</v>
      </c>
      <c r="G22" s="13" t="s">
        <v>264</v>
      </c>
      <c r="H22" s="12" t="s">
        <v>52</v>
      </c>
      <c r="I22" s="12" t="s">
        <v>52</v>
      </c>
      <c r="J22" s="16" t="s">
        <v>4</v>
      </c>
      <c r="K22" s="4"/>
      <c r="L22" s="17"/>
      <c r="M22" s="17"/>
    </row>
    <row r="23" customFormat="false" ht="15" hidden="false" customHeight="false" outlineLevel="0" collapsed="false">
      <c r="A23" s="12" t="s">
        <v>52</v>
      </c>
      <c r="B23" s="12" t="n">
        <v>23</v>
      </c>
      <c r="C23" s="13" t="s">
        <v>89</v>
      </c>
      <c r="D23" s="12" t="s">
        <v>84</v>
      </c>
      <c r="E23" s="13" t="s">
        <v>98</v>
      </c>
      <c r="F23" s="12" t="s">
        <v>52</v>
      </c>
      <c r="G23" s="13" t="s">
        <v>264</v>
      </c>
      <c r="H23" s="12" t="s">
        <v>52</v>
      </c>
      <c r="I23" s="12" t="s">
        <v>52</v>
      </c>
      <c r="J23" s="16" t="s">
        <v>4</v>
      </c>
      <c r="K23" s="4"/>
      <c r="L23" s="17"/>
      <c r="M23" s="17"/>
    </row>
    <row r="24" customFormat="false" ht="15" hidden="false" customHeight="false" outlineLevel="0" collapsed="false">
      <c r="A24" s="12" t="s">
        <v>52</v>
      </c>
      <c r="B24" s="12" t="n">
        <v>24</v>
      </c>
      <c r="C24" s="13" t="s">
        <v>89</v>
      </c>
      <c r="D24" s="12" t="s">
        <v>73</v>
      </c>
      <c r="E24" s="13" t="s">
        <v>99</v>
      </c>
      <c r="F24" s="12" t="s">
        <v>52</v>
      </c>
      <c r="G24" s="13" t="s">
        <v>264</v>
      </c>
      <c r="H24" s="12" t="s">
        <v>52</v>
      </c>
      <c r="I24" s="12" t="s">
        <v>52</v>
      </c>
      <c r="J24" s="16" t="s">
        <v>4</v>
      </c>
      <c r="K24" s="4"/>
      <c r="L24" s="17"/>
      <c r="M24" s="17"/>
    </row>
    <row r="25" customFormat="false" ht="15" hidden="false" customHeight="false" outlineLevel="0" collapsed="false">
      <c r="A25" s="12" t="s">
        <v>52</v>
      </c>
      <c r="B25" s="12" t="n">
        <v>25</v>
      </c>
      <c r="C25" s="13" t="s">
        <v>89</v>
      </c>
      <c r="D25" s="12" t="s">
        <v>101</v>
      </c>
      <c r="E25" s="13" t="s">
        <v>100</v>
      </c>
      <c r="F25" s="12" t="s">
        <v>52</v>
      </c>
      <c r="G25" s="13" t="s">
        <v>264</v>
      </c>
      <c r="H25" s="12" t="s">
        <v>52</v>
      </c>
      <c r="I25" s="12" t="s">
        <v>52</v>
      </c>
      <c r="J25" s="16" t="s">
        <v>4</v>
      </c>
      <c r="K25" s="4"/>
      <c r="L25" s="17"/>
      <c r="M25" s="17"/>
    </row>
    <row r="26" customFormat="false" ht="15" hidden="false" customHeight="false" outlineLevel="0" collapsed="false">
      <c r="A26" s="12" t="s">
        <v>52</v>
      </c>
      <c r="B26" s="12" t="n">
        <v>26</v>
      </c>
      <c r="C26" s="13" t="s">
        <v>89</v>
      </c>
      <c r="D26" s="12" t="s">
        <v>103</v>
      </c>
      <c r="E26" s="13" t="s">
        <v>102</v>
      </c>
      <c r="F26" s="12" t="s">
        <v>52</v>
      </c>
      <c r="G26" s="13" t="s">
        <v>264</v>
      </c>
      <c r="H26" s="12" t="s">
        <v>52</v>
      </c>
      <c r="I26" s="12" t="s">
        <v>52</v>
      </c>
      <c r="J26" s="16" t="s">
        <v>4</v>
      </c>
      <c r="K26" s="4"/>
      <c r="L26" s="17"/>
      <c r="M26" s="17"/>
    </row>
    <row r="27" customFormat="false" ht="15" hidden="false" customHeight="false" outlineLevel="0" collapsed="false">
      <c r="A27" s="12" t="s">
        <v>52</v>
      </c>
      <c r="B27" s="12" t="n">
        <v>27</v>
      </c>
      <c r="C27" s="13" t="s">
        <v>104</v>
      </c>
      <c r="D27" s="12" t="s">
        <v>55</v>
      </c>
      <c r="E27" s="13" t="s">
        <v>105</v>
      </c>
      <c r="F27" s="12" t="s">
        <v>52</v>
      </c>
      <c r="G27" s="13" t="s">
        <v>264</v>
      </c>
      <c r="H27" s="12" t="s">
        <v>52</v>
      </c>
      <c r="I27" s="12" t="s">
        <v>52</v>
      </c>
      <c r="J27" s="16" t="s">
        <v>4</v>
      </c>
      <c r="K27" s="4"/>
      <c r="L27" s="17"/>
      <c r="M27" s="17"/>
    </row>
    <row r="28" customFormat="false" ht="15" hidden="false" customHeight="false" outlineLevel="0" collapsed="false">
      <c r="A28" s="12" t="s">
        <v>52</v>
      </c>
      <c r="B28" s="12" t="n">
        <v>28</v>
      </c>
      <c r="C28" s="13" t="s">
        <v>104</v>
      </c>
      <c r="D28" s="12" t="s">
        <v>88</v>
      </c>
      <c r="E28" s="13" t="s">
        <v>106</v>
      </c>
      <c r="F28" s="12" t="s">
        <v>52</v>
      </c>
      <c r="G28" s="13" t="s">
        <v>264</v>
      </c>
      <c r="H28" s="12" t="s">
        <v>52</v>
      </c>
      <c r="I28" s="12" t="s">
        <v>52</v>
      </c>
      <c r="J28" s="16" t="s">
        <v>4</v>
      </c>
      <c r="K28" s="4"/>
      <c r="L28" s="17"/>
      <c r="M28" s="17"/>
    </row>
    <row r="29" customFormat="false" ht="15" hidden="false" customHeight="false" outlineLevel="0" collapsed="false">
      <c r="A29" s="12" t="s">
        <v>52</v>
      </c>
      <c r="B29" s="12" t="n">
        <v>29</v>
      </c>
      <c r="C29" s="13" t="s">
        <v>104</v>
      </c>
      <c r="D29" s="12" t="s">
        <v>73</v>
      </c>
      <c r="E29" s="13" t="s">
        <v>269</v>
      </c>
      <c r="F29" s="12" t="s">
        <v>52</v>
      </c>
      <c r="G29" s="13" t="s">
        <v>264</v>
      </c>
      <c r="H29" s="12" t="s">
        <v>52</v>
      </c>
      <c r="I29" s="12" t="s">
        <v>52</v>
      </c>
      <c r="J29" s="16" t="s">
        <v>4</v>
      </c>
      <c r="K29" s="4" t="s">
        <v>270</v>
      </c>
      <c r="L29" s="17"/>
      <c r="M29" s="17"/>
    </row>
    <row r="30" customFormat="false" ht="15" hidden="false" customHeight="false" outlineLevel="0" collapsed="false">
      <c r="A30" s="12" t="s">
        <v>52</v>
      </c>
      <c r="B30" s="12" t="n">
        <v>29</v>
      </c>
      <c r="C30" s="13" t="s">
        <v>104</v>
      </c>
      <c r="D30" s="12" t="s">
        <v>103</v>
      </c>
      <c r="E30" s="13" t="s">
        <v>271</v>
      </c>
      <c r="F30" s="12" t="s">
        <v>52</v>
      </c>
      <c r="G30" s="13" t="s">
        <v>264</v>
      </c>
      <c r="H30" s="12" t="s">
        <v>265</v>
      </c>
      <c r="I30" s="12" t="s">
        <v>266</v>
      </c>
      <c r="J30" s="19" t="s">
        <v>267</v>
      </c>
      <c r="K30" s="4" t="s">
        <v>272</v>
      </c>
      <c r="L30" s="17"/>
      <c r="M30" s="17"/>
    </row>
    <row r="31" customFormat="false" ht="15" hidden="false" customHeight="false" outlineLevel="0" collapsed="false">
      <c r="A31" s="12" t="s">
        <v>52</v>
      </c>
      <c r="B31" s="12" t="n">
        <v>30</v>
      </c>
      <c r="C31" s="13" t="s">
        <v>104</v>
      </c>
      <c r="D31" s="12" t="s">
        <v>55</v>
      </c>
      <c r="E31" s="13" t="s">
        <v>111</v>
      </c>
      <c r="F31" s="12" t="s">
        <v>52</v>
      </c>
      <c r="G31" s="13" t="s">
        <v>264</v>
      </c>
      <c r="H31" s="12" t="s">
        <v>52</v>
      </c>
      <c r="I31" s="12" t="s">
        <v>52</v>
      </c>
      <c r="J31" s="16" t="s">
        <v>4</v>
      </c>
      <c r="K31" s="4"/>
      <c r="L31" s="17"/>
      <c r="M31" s="17"/>
    </row>
    <row r="32" customFormat="false" ht="15" hidden="false" customHeight="false" outlineLevel="0" collapsed="false">
      <c r="A32" s="12" t="s">
        <v>52</v>
      </c>
      <c r="B32" s="12" t="n">
        <v>31</v>
      </c>
      <c r="C32" s="13" t="s">
        <v>112</v>
      </c>
      <c r="D32" s="12" t="s">
        <v>55</v>
      </c>
      <c r="E32" s="13" t="s">
        <v>113</v>
      </c>
      <c r="F32" s="12" t="s">
        <v>52</v>
      </c>
      <c r="G32" s="13" t="s">
        <v>264</v>
      </c>
      <c r="H32" s="12" t="s">
        <v>52</v>
      </c>
      <c r="I32" s="12" t="s">
        <v>52</v>
      </c>
      <c r="J32" s="16" t="s">
        <v>4</v>
      </c>
      <c r="K32" s="4"/>
      <c r="L32" s="17"/>
      <c r="M32" s="17"/>
    </row>
    <row r="33" customFormat="false" ht="15" hidden="false" customHeight="false" outlineLevel="0" collapsed="false">
      <c r="A33" s="12" t="s">
        <v>52</v>
      </c>
      <c r="B33" s="12" t="n">
        <v>32</v>
      </c>
      <c r="C33" s="13" t="s">
        <v>112</v>
      </c>
      <c r="D33" s="12" t="s">
        <v>103</v>
      </c>
      <c r="E33" s="13" t="s">
        <v>114</v>
      </c>
      <c r="F33" s="12" t="s">
        <v>52</v>
      </c>
      <c r="G33" s="13" t="s">
        <v>264</v>
      </c>
      <c r="H33" s="12" t="s">
        <v>265</v>
      </c>
      <c r="I33" s="12" t="s">
        <v>266</v>
      </c>
      <c r="J33" s="19" t="s">
        <v>267</v>
      </c>
      <c r="K33" s="4" t="s">
        <v>268</v>
      </c>
      <c r="L33" s="17"/>
      <c r="M33" s="17"/>
    </row>
    <row r="34" customFormat="false" ht="15" hidden="false" customHeight="false" outlineLevel="0" collapsed="false">
      <c r="A34" s="12" t="s">
        <v>52</v>
      </c>
      <c r="B34" s="12" t="n">
        <v>33</v>
      </c>
      <c r="C34" s="13" t="s">
        <v>112</v>
      </c>
      <c r="D34" s="12" t="s">
        <v>55</v>
      </c>
      <c r="E34" s="13" t="s">
        <v>115</v>
      </c>
      <c r="F34" s="12" t="s">
        <v>52</v>
      </c>
      <c r="G34" s="13" t="s">
        <v>264</v>
      </c>
      <c r="H34" s="12" t="s">
        <v>52</v>
      </c>
      <c r="I34" s="12" t="s">
        <v>52</v>
      </c>
      <c r="J34" s="16" t="s">
        <v>4</v>
      </c>
      <c r="K34" s="4"/>
      <c r="L34" s="17"/>
      <c r="M34" s="17"/>
    </row>
    <row r="35" customFormat="false" ht="15" hidden="false" customHeight="false" outlineLevel="0" collapsed="false">
      <c r="A35" s="12" t="s">
        <v>52</v>
      </c>
      <c r="B35" s="12" t="n">
        <v>34</v>
      </c>
      <c r="C35" s="13" t="s">
        <v>112</v>
      </c>
      <c r="D35" s="12" t="s">
        <v>117</v>
      </c>
      <c r="E35" s="13" t="s">
        <v>116</v>
      </c>
      <c r="F35" s="12" t="s">
        <v>52</v>
      </c>
      <c r="G35" s="13" t="s">
        <v>264</v>
      </c>
      <c r="H35" s="12" t="s">
        <v>52</v>
      </c>
      <c r="I35" s="12" t="s">
        <v>52</v>
      </c>
      <c r="J35" s="16" t="s">
        <v>4</v>
      </c>
      <c r="K35" s="4"/>
      <c r="L35" s="17"/>
      <c r="M35" s="17"/>
    </row>
    <row r="36" customFormat="false" ht="15" hidden="false" customHeight="false" outlineLevel="0" collapsed="false">
      <c r="A36" s="12" t="s">
        <v>52</v>
      </c>
      <c r="B36" s="12" t="n">
        <v>35</v>
      </c>
      <c r="C36" s="13" t="s">
        <v>112</v>
      </c>
      <c r="D36" s="12" t="s">
        <v>119</v>
      </c>
      <c r="E36" s="13" t="s">
        <v>118</v>
      </c>
      <c r="F36" s="12" t="s">
        <v>52</v>
      </c>
      <c r="G36" s="13" t="s">
        <v>264</v>
      </c>
      <c r="H36" s="12" t="s">
        <v>265</v>
      </c>
      <c r="I36" s="12" t="s">
        <v>266</v>
      </c>
      <c r="J36" s="19" t="s">
        <v>267</v>
      </c>
      <c r="K36" s="4" t="s">
        <v>268</v>
      </c>
      <c r="L36" s="17"/>
      <c r="M36" s="17"/>
    </row>
    <row r="37" customFormat="false" ht="15" hidden="false" customHeight="false" outlineLevel="0" collapsed="false">
      <c r="A37" s="12" t="s">
        <v>52</v>
      </c>
      <c r="B37" s="12" t="n">
        <v>36</v>
      </c>
      <c r="C37" s="13" t="s">
        <v>112</v>
      </c>
      <c r="D37" s="12" t="s">
        <v>91</v>
      </c>
      <c r="E37" s="13" t="s">
        <v>120</v>
      </c>
      <c r="F37" s="12" t="s">
        <v>52</v>
      </c>
      <c r="G37" s="13" t="s">
        <v>264</v>
      </c>
      <c r="H37" s="12" t="s">
        <v>265</v>
      </c>
      <c r="I37" s="12" t="s">
        <v>266</v>
      </c>
      <c r="J37" s="19" t="s">
        <v>267</v>
      </c>
      <c r="K37" s="4" t="s">
        <v>268</v>
      </c>
      <c r="L37" s="17"/>
      <c r="M37" s="17"/>
    </row>
    <row r="38" customFormat="false" ht="15" hidden="false" customHeight="false" outlineLevel="0" collapsed="false">
      <c r="A38" s="12" t="s">
        <v>52</v>
      </c>
      <c r="B38" s="12" t="n">
        <v>37</v>
      </c>
      <c r="C38" s="13" t="s">
        <v>112</v>
      </c>
      <c r="D38" s="12" t="s">
        <v>73</v>
      </c>
      <c r="E38" s="13" t="s">
        <v>121</v>
      </c>
      <c r="F38" s="12" t="s">
        <v>52</v>
      </c>
      <c r="G38" s="13" t="s">
        <v>264</v>
      </c>
      <c r="H38" s="12" t="s">
        <v>52</v>
      </c>
      <c r="I38" s="12" t="s">
        <v>52</v>
      </c>
      <c r="J38" s="16" t="s">
        <v>4</v>
      </c>
      <c r="K38" s="4"/>
      <c r="L38" s="17"/>
      <c r="M38" s="17"/>
    </row>
    <row r="39" customFormat="false" ht="15" hidden="false" customHeight="false" outlineLevel="0" collapsed="false">
      <c r="A39" s="12" t="s">
        <v>52</v>
      </c>
      <c r="B39" s="12" t="n">
        <v>38</v>
      </c>
      <c r="C39" s="13" t="s">
        <v>122</v>
      </c>
      <c r="D39" s="12" t="s">
        <v>58</v>
      </c>
      <c r="E39" s="13" t="s">
        <v>123</v>
      </c>
      <c r="F39" s="12" t="s">
        <v>52</v>
      </c>
      <c r="G39" s="13" t="s">
        <v>264</v>
      </c>
      <c r="H39" s="12" t="s">
        <v>52</v>
      </c>
      <c r="I39" s="12" t="s">
        <v>52</v>
      </c>
      <c r="J39" s="16" t="s">
        <v>4</v>
      </c>
      <c r="K39" s="4"/>
      <c r="L39" s="17"/>
      <c r="M39" s="17"/>
    </row>
    <row r="40" customFormat="false" ht="15" hidden="false" customHeight="false" outlineLevel="0" collapsed="false">
      <c r="A40" s="12" t="s">
        <v>52</v>
      </c>
      <c r="B40" s="12" t="n">
        <v>39</v>
      </c>
      <c r="C40" s="13" t="s">
        <v>122</v>
      </c>
      <c r="D40" s="12" t="s">
        <v>103</v>
      </c>
      <c r="E40" s="13" t="s">
        <v>124</v>
      </c>
      <c r="F40" s="12" t="s">
        <v>52</v>
      </c>
      <c r="G40" s="13" t="s">
        <v>264</v>
      </c>
      <c r="H40" s="12" t="s">
        <v>52</v>
      </c>
      <c r="I40" s="12" t="s">
        <v>52</v>
      </c>
      <c r="J40" s="16" t="s">
        <v>4</v>
      </c>
      <c r="K40" s="4"/>
      <c r="L40" s="17"/>
      <c r="M40" s="17"/>
    </row>
    <row r="41" customFormat="false" ht="15" hidden="false" customHeight="false" outlineLevel="0" collapsed="false">
      <c r="A41" s="12" t="s">
        <v>52</v>
      </c>
      <c r="B41" s="12" t="n">
        <v>40</v>
      </c>
      <c r="C41" s="13" t="s">
        <v>122</v>
      </c>
      <c r="D41" s="12" t="s">
        <v>58</v>
      </c>
      <c r="E41" s="13" t="s">
        <v>125</v>
      </c>
      <c r="F41" s="12" t="s">
        <v>52</v>
      </c>
      <c r="G41" s="13" t="s">
        <v>264</v>
      </c>
      <c r="H41" s="12" t="s">
        <v>52</v>
      </c>
      <c r="I41" s="12" t="s">
        <v>52</v>
      </c>
      <c r="J41" s="16" t="s">
        <v>4</v>
      </c>
      <c r="K41" s="4"/>
      <c r="L41" s="17"/>
      <c r="M41" s="17"/>
    </row>
    <row r="42" customFormat="false" ht="15" hidden="false" customHeight="false" outlineLevel="0" collapsed="false">
      <c r="A42" s="12" t="s">
        <v>52</v>
      </c>
      <c r="B42" s="12" t="n">
        <v>41</v>
      </c>
      <c r="C42" s="13" t="s">
        <v>122</v>
      </c>
      <c r="D42" s="12" t="s">
        <v>55</v>
      </c>
      <c r="E42" s="13" t="s">
        <v>126</v>
      </c>
      <c r="F42" s="12" t="s">
        <v>52</v>
      </c>
      <c r="G42" s="13" t="s">
        <v>264</v>
      </c>
      <c r="H42" s="12" t="s">
        <v>52</v>
      </c>
      <c r="I42" s="12" t="s">
        <v>52</v>
      </c>
      <c r="J42" s="16" t="s">
        <v>4</v>
      </c>
      <c r="K42" s="4"/>
      <c r="L42" s="17"/>
      <c r="M42" s="17"/>
    </row>
    <row r="43" customFormat="false" ht="15" hidden="false" customHeight="false" outlineLevel="0" collapsed="false">
      <c r="A43" s="12" t="s">
        <v>52</v>
      </c>
      <c r="B43" s="12" t="n">
        <v>42</v>
      </c>
      <c r="C43" s="13" t="s">
        <v>122</v>
      </c>
      <c r="D43" s="12" t="s">
        <v>55</v>
      </c>
      <c r="E43" s="13" t="s">
        <v>127</v>
      </c>
      <c r="F43" s="12" t="s">
        <v>52</v>
      </c>
      <c r="G43" s="13" t="s">
        <v>264</v>
      </c>
      <c r="H43" s="12" t="s">
        <v>52</v>
      </c>
      <c r="I43" s="12" t="s">
        <v>52</v>
      </c>
      <c r="J43" s="16" t="s">
        <v>4</v>
      </c>
      <c r="K43" s="4"/>
      <c r="L43" s="17"/>
      <c r="M43" s="17"/>
    </row>
    <row r="44" customFormat="false" ht="15" hidden="false" customHeight="false" outlineLevel="0" collapsed="false">
      <c r="A44" s="12" t="s">
        <v>52</v>
      </c>
      <c r="B44" s="12" t="n">
        <v>43</v>
      </c>
      <c r="C44" s="13" t="s">
        <v>128</v>
      </c>
      <c r="D44" s="12" t="s">
        <v>88</v>
      </c>
      <c r="E44" s="13" t="s">
        <v>129</v>
      </c>
      <c r="F44" s="12" t="s">
        <v>52</v>
      </c>
      <c r="G44" s="13" t="s">
        <v>264</v>
      </c>
      <c r="H44" s="12" t="s">
        <v>52</v>
      </c>
      <c r="I44" s="12" t="s">
        <v>52</v>
      </c>
      <c r="J44" s="16" t="s">
        <v>4</v>
      </c>
      <c r="K44" s="4"/>
      <c r="L44" s="17"/>
      <c r="M44" s="17"/>
    </row>
    <row r="45" customFormat="false" ht="15" hidden="false" customHeight="false" outlineLevel="0" collapsed="false">
      <c r="A45" s="12" t="s">
        <v>52</v>
      </c>
      <c r="B45" s="12" t="n">
        <v>44</v>
      </c>
      <c r="C45" s="13" t="s">
        <v>128</v>
      </c>
      <c r="D45" s="12" t="s">
        <v>58</v>
      </c>
      <c r="E45" s="13" t="s">
        <v>130</v>
      </c>
      <c r="F45" s="12" t="s">
        <v>52</v>
      </c>
      <c r="G45" s="13" t="s">
        <v>264</v>
      </c>
      <c r="H45" s="12" t="s">
        <v>52</v>
      </c>
      <c r="I45" s="12" t="s">
        <v>52</v>
      </c>
      <c r="J45" s="16" t="s">
        <v>4</v>
      </c>
      <c r="K45" s="4"/>
      <c r="L45" s="17"/>
      <c r="M45" s="17"/>
    </row>
    <row r="46" customFormat="false" ht="15" hidden="false" customHeight="false" outlineLevel="0" collapsed="false">
      <c r="A46" s="12" t="s">
        <v>52</v>
      </c>
      <c r="B46" s="12" t="n">
        <v>45</v>
      </c>
      <c r="C46" s="13" t="s">
        <v>128</v>
      </c>
      <c r="D46" s="12" t="s">
        <v>93</v>
      </c>
      <c r="E46" s="13" t="s">
        <v>131</v>
      </c>
      <c r="F46" s="12" t="s">
        <v>52</v>
      </c>
      <c r="G46" s="13" t="s">
        <v>264</v>
      </c>
      <c r="H46" s="12" t="s">
        <v>52</v>
      </c>
      <c r="I46" s="12" t="s">
        <v>52</v>
      </c>
      <c r="J46" s="16" t="s">
        <v>4</v>
      </c>
      <c r="K46" s="4"/>
      <c r="L46" s="17"/>
      <c r="M46" s="17"/>
    </row>
    <row r="47" customFormat="false" ht="15" hidden="false" customHeight="false" outlineLevel="0" collapsed="false">
      <c r="A47" s="12" t="s">
        <v>52</v>
      </c>
      <c r="B47" s="12" t="n">
        <v>46</v>
      </c>
      <c r="C47" s="13" t="s">
        <v>128</v>
      </c>
      <c r="D47" s="12" t="s">
        <v>55</v>
      </c>
      <c r="E47" s="13" t="s">
        <v>132</v>
      </c>
      <c r="F47" s="12" t="s">
        <v>52</v>
      </c>
      <c r="G47" s="13" t="s">
        <v>264</v>
      </c>
      <c r="H47" s="12" t="s">
        <v>52</v>
      </c>
      <c r="I47" s="12" t="s">
        <v>52</v>
      </c>
      <c r="J47" s="16" t="s">
        <v>4</v>
      </c>
      <c r="K47" s="4"/>
      <c r="L47" s="17"/>
      <c r="M47" s="17"/>
    </row>
    <row r="48" customFormat="false" ht="15" hidden="false" customHeight="false" outlineLevel="0" collapsed="false">
      <c r="A48" s="12" t="s">
        <v>52</v>
      </c>
      <c r="B48" s="12" t="n">
        <v>47</v>
      </c>
      <c r="C48" s="13" t="s">
        <v>133</v>
      </c>
      <c r="D48" s="12" t="s">
        <v>135</v>
      </c>
      <c r="E48" s="13" t="s">
        <v>134</v>
      </c>
      <c r="F48" s="12" t="s">
        <v>52</v>
      </c>
      <c r="G48" s="13" t="s">
        <v>264</v>
      </c>
      <c r="H48" s="12" t="s">
        <v>52</v>
      </c>
      <c r="I48" s="12" t="s">
        <v>52</v>
      </c>
      <c r="J48" s="16" t="s">
        <v>4</v>
      </c>
      <c r="K48" s="4"/>
      <c r="L48" s="17"/>
      <c r="M48" s="17"/>
    </row>
    <row r="49" customFormat="false" ht="15" hidden="false" customHeight="false" outlineLevel="0" collapsed="false">
      <c r="A49" s="12" t="s">
        <v>52</v>
      </c>
      <c r="B49" s="12" t="n">
        <v>48</v>
      </c>
      <c r="C49" s="13" t="s">
        <v>137</v>
      </c>
      <c r="D49" s="12" t="s">
        <v>139</v>
      </c>
      <c r="E49" s="13" t="s">
        <v>138</v>
      </c>
      <c r="F49" s="12" t="s">
        <v>52</v>
      </c>
      <c r="G49" s="13" t="s">
        <v>264</v>
      </c>
      <c r="H49" s="12" t="s">
        <v>52</v>
      </c>
      <c r="I49" s="12" t="s">
        <v>52</v>
      </c>
      <c r="J49" s="16" t="s">
        <v>4</v>
      </c>
      <c r="K49" s="4"/>
      <c r="L49" s="17"/>
      <c r="M49" s="17"/>
    </row>
    <row r="50" customFormat="false" ht="15" hidden="false" customHeight="false" outlineLevel="0" collapsed="false">
      <c r="A50" s="12" t="s">
        <v>52</v>
      </c>
      <c r="B50" s="12" t="n">
        <v>49</v>
      </c>
      <c r="C50" s="13" t="s">
        <v>141</v>
      </c>
      <c r="D50" s="12" t="s">
        <v>55</v>
      </c>
      <c r="E50" s="13" t="s">
        <v>142</v>
      </c>
      <c r="F50" s="12" t="s">
        <v>52</v>
      </c>
      <c r="G50" s="13" t="s">
        <v>264</v>
      </c>
      <c r="H50" s="12" t="s">
        <v>52</v>
      </c>
      <c r="I50" s="12" t="s">
        <v>273</v>
      </c>
      <c r="J50" s="16" t="s">
        <v>4</v>
      </c>
      <c r="K50" s="4"/>
      <c r="L50" s="17"/>
      <c r="M50" s="17"/>
    </row>
    <row r="51" customFormat="false" ht="15" hidden="false" customHeight="false" outlineLevel="0" collapsed="false">
      <c r="A51" s="12" t="s">
        <v>52</v>
      </c>
      <c r="B51" s="12" t="n">
        <v>50</v>
      </c>
      <c r="C51" s="13" t="s">
        <v>141</v>
      </c>
      <c r="D51" s="12" t="s">
        <v>144</v>
      </c>
      <c r="E51" s="13" t="s">
        <v>143</v>
      </c>
      <c r="F51" s="12" t="s">
        <v>52</v>
      </c>
      <c r="G51" s="13" t="s">
        <v>264</v>
      </c>
      <c r="H51" s="12" t="s">
        <v>52</v>
      </c>
      <c r="I51" s="12" t="s">
        <v>265</v>
      </c>
      <c r="J51" s="16" t="s">
        <v>4</v>
      </c>
      <c r="K51" s="4"/>
      <c r="L51" s="17"/>
      <c r="M51" s="17"/>
    </row>
    <row r="52" customFormat="false" ht="15" hidden="false" customHeight="false" outlineLevel="0" collapsed="false">
      <c r="A52" s="12" t="s">
        <v>52</v>
      </c>
      <c r="B52" s="12" t="n">
        <v>51</v>
      </c>
      <c r="C52" s="13" t="s">
        <v>145</v>
      </c>
      <c r="D52" s="12" t="s">
        <v>147</v>
      </c>
      <c r="E52" s="13" t="s">
        <v>146</v>
      </c>
      <c r="F52" s="12" t="s">
        <v>52</v>
      </c>
      <c r="G52" s="13" t="s">
        <v>264</v>
      </c>
      <c r="H52" s="12" t="s">
        <v>52</v>
      </c>
      <c r="I52" s="12" t="s">
        <v>265</v>
      </c>
      <c r="J52" s="16" t="s">
        <v>4</v>
      </c>
      <c r="K52" s="4"/>
      <c r="L52" s="17"/>
      <c r="M52" s="17"/>
    </row>
    <row r="53" customFormat="false" ht="15" hidden="false" customHeight="false" outlineLevel="0" collapsed="false">
      <c r="A53" s="12" t="s">
        <v>52</v>
      </c>
      <c r="B53" s="12" t="n">
        <v>52</v>
      </c>
      <c r="C53" s="13" t="s">
        <v>145</v>
      </c>
      <c r="D53" s="12" t="s">
        <v>149</v>
      </c>
      <c r="E53" s="13" t="s">
        <v>148</v>
      </c>
      <c r="F53" s="12" t="s">
        <v>52</v>
      </c>
      <c r="G53" s="13" t="s">
        <v>264</v>
      </c>
      <c r="H53" s="12" t="s">
        <v>52</v>
      </c>
      <c r="I53" s="12" t="s">
        <v>265</v>
      </c>
      <c r="J53" s="16" t="s">
        <v>4</v>
      </c>
      <c r="K53" s="4"/>
      <c r="L53" s="17"/>
      <c r="M53" s="17"/>
    </row>
    <row r="54" customFormat="false" ht="29.85" hidden="false" customHeight="false" outlineLevel="0" collapsed="false">
      <c r="A54" s="12" t="s">
        <v>150</v>
      </c>
      <c r="B54" s="12" t="n">
        <v>2</v>
      </c>
      <c r="C54" s="13" t="s">
        <v>151</v>
      </c>
      <c r="D54" s="12" t="s">
        <v>73</v>
      </c>
      <c r="E54" s="13" t="s">
        <v>152</v>
      </c>
      <c r="F54" s="12" t="s">
        <v>52</v>
      </c>
      <c r="G54" s="12" t="s">
        <v>274</v>
      </c>
      <c r="H54" s="12" t="s">
        <v>52</v>
      </c>
      <c r="I54" s="12" t="s">
        <v>275</v>
      </c>
      <c r="J54" s="16" t="s">
        <v>4</v>
      </c>
      <c r="K54" s="4" t="s">
        <v>276</v>
      </c>
      <c r="L54" s="17"/>
      <c r="M54" s="17"/>
    </row>
    <row r="55" customFormat="false" ht="29.85" hidden="false" customHeight="false" outlineLevel="0" collapsed="false">
      <c r="A55" s="12" t="s">
        <v>150</v>
      </c>
      <c r="B55" s="12" t="n">
        <v>3</v>
      </c>
      <c r="C55" s="13" t="s">
        <v>153</v>
      </c>
      <c r="D55" s="12" t="s">
        <v>55</v>
      </c>
      <c r="E55" s="13" t="s">
        <v>154</v>
      </c>
      <c r="F55" s="12" t="s">
        <v>52</v>
      </c>
      <c r="G55" s="12" t="s">
        <v>274</v>
      </c>
      <c r="H55" s="12" t="s">
        <v>52</v>
      </c>
      <c r="I55" s="12" t="s">
        <v>275</v>
      </c>
      <c r="J55" s="16" t="s">
        <v>4</v>
      </c>
      <c r="K55" s="4" t="s">
        <v>276</v>
      </c>
      <c r="L55" s="17"/>
      <c r="M55" s="17"/>
    </row>
    <row r="56" customFormat="false" ht="15" hidden="false" customHeight="false" outlineLevel="0" collapsed="false">
      <c r="A56" s="12" t="s">
        <v>157</v>
      </c>
      <c r="B56" s="12" t="n">
        <v>2</v>
      </c>
      <c r="C56" s="13" t="s">
        <v>77</v>
      </c>
      <c r="D56" s="12" t="s">
        <v>55</v>
      </c>
      <c r="E56" s="13" t="s">
        <v>158</v>
      </c>
      <c r="F56" s="12" t="s">
        <v>52</v>
      </c>
      <c r="G56" s="12" t="s">
        <v>273</v>
      </c>
      <c r="H56" s="12" t="s">
        <v>52</v>
      </c>
      <c r="I56" s="12" t="s">
        <v>273</v>
      </c>
      <c r="J56" s="16" t="s">
        <v>4</v>
      </c>
      <c r="K56" s="4"/>
      <c r="L56" s="17"/>
      <c r="M56" s="17"/>
    </row>
    <row r="57" customFormat="false" ht="15" hidden="false" customHeight="false" outlineLevel="0" collapsed="false">
      <c r="A57" s="12" t="s">
        <v>157</v>
      </c>
      <c r="B57" s="12" t="n">
        <v>3</v>
      </c>
      <c r="C57" s="13" t="s">
        <v>151</v>
      </c>
      <c r="D57" s="12" t="s">
        <v>73</v>
      </c>
      <c r="E57" s="13" t="s">
        <v>159</v>
      </c>
      <c r="F57" s="12" t="s">
        <v>52</v>
      </c>
      <c r="G57" s="12" t="s">
        <v>273</v>
      </c>
      <c r="H57" s="12" t="s">
        <v>52</v>
      </c>
      <c r="I57" s="12" t="s">
        <v>273</v>
      </c>
      <c r="J57" s="16" t="s">
        <v>4</v>
      </c>
      <c r="K57" s="4"/>
      <c r="L57" s="17"/>
      <c r="M57" s="17"/>
    </row>
    <row r="58" customFormat="false" ht="15" hidden="false" customHeight="false" outlineLevel="0" collapsed="false">
      <c r="A58" s="12" t="s">
        <v>157</v>
      </c>
      <c r="B58" s="12" t="n">
        <v>4</v>
      </c>
      <c r="C58" s="13" t="s">
        <v>160</v>
      </c>
      <c r="D58" s="12" t="s">
        <v>55</v>
      </c>
      <c r="E58" s="13" t="s">
        <v>161</v>
      </c>
      <c r="F58" s="12" t="s">
        <v>52</v>
      </c>
      <c r="G58" s="12" t="s">
        <v>273</v>
      </c>
      <c r="H58" s="12" t="s">
        <v>52</v>
      </c>
      <c r="I58" s="12" t="s">
        <v>52</v>
      </c>
      <c r="J58" s="19" t="s">
        <v>277</v>
      </c>
      <c r="K58" s="4" t="s">
        <v>278</v>
      </c>
      <c r="L58" s="17"/>
      <c r="M58" s="17"/>
    </row>
    <row r="59" customFormat="false" ht="15" hidden="false" customHeight="false" outlineLevel="0" collapsed="false">
      <c r="A59" s="12" t="s">
        <v>157</v>
      </c>
      <c r="B59" s="12" t="n">
        <v>5</v>
      </c>
      <c r="C59" s="13" t="s">
        <v>153</v>
      </c>
      <c r="D59" s="12" t="s">
        <v>119</v>
      </c>
      <c r="E59" s="13" t="s">
        <v>162</v>
      </c>
      <c r="F59" s="12" t="s">
        <v>52</v>
      </c>
      <c r="G59" s="12" t="s">
        <v>273</v>
      </c>
      <c r="H59" s="12" t="s">
        <v>52</v>
      </c>
      <c r="I59" s="12" t="s">
        <v>273</v>
      </c>
      <c r="J59" s="16" t="s">
        <v>4</v>
      </c>
      <c r="K59" s="4"/>
      <c r="L59" s="17"/>
      <c r="M59" s="17"/>
    </row>
    <row r="60" customFormat="false" ht="15" hidden="false" customHeight="false" outlineLevel="0" collapsed="false">
      <c r="A60" s="12" t="s">
        <v>157</v>
      </c>
      <c r="B60" s="12" t="n">
        <v>6</v>
      </c>
      <c r="C60" s="13" t="s">
        <v>153</v>
      </c>
      <c r="D60" s="12" t="s">
        <v>73</v>
      </c>
      <c r="E60" s="13" t="s">
        <v>163</v>
      </c>
      <c r="F60" s="12" t="s">
        <v>52</v>
      </c>
      <c r="G60" s="12" t="s">
        <v>273</v>
      </c>
      <c r="H60" s="12" t="s">
        <v>52</v>
      </c>
      <c r="I60" s="12" t="s">
        <v>273</v>
      </c>
      <c r="J60" s="16" t="s">
        <v>4</v>
      </c>
      <c r="K60" s="4"/>
      <c r="L60" s="17"/>
      <c r="M60" s="17"/>
    </row>
    <row r="61" customFormat="false" ht="15" hidden="false" customHeight="false" outlineLevel="0" collapsed="false">
      <c r="A61" s="12" t="s">
        <v>157</v>
      </c>
      <c r="B61" s="12" t="n">
        <v>7</v>
      </c>
      <c r="C61" s="13" t="s">
        <v>164</v>
      </c>
      <c r="D61" s="12" t="s">
        <v>55</v>
      </c>
      <c r="E61" s="13" t="s">
        <v>165</v>
      </c>
      <c r="F61" s="12" t="s">
        <v>52</v>
      </c>
      <c r="G61" s="12" t="s">
        <v>273</v>
      </c>
      <c r="H61" s="12" t="s">
        <v>52</v>
      </c>
      <c r="I61" s="12" t="s">
        <v>273</v>
      </c>
      <c r="J61" s="16" t="s">
        <v>4</v>
      </c>
      <c r="K61" s="4"/>
      <c r="L61" s="17"/>
      <c r="M61" s="17"/>
    </row>
    <row r="62" customFormat="false" ht="15" hidden="false" customHeight="false" outlineLevel="0" collapsed="false">
      <c r="A62" s="12" t="s">
        <v>157</v>
      </c>
      <c r="B62" s="12" t="n">
        <v>8</v>
      </c>
      <c r="C62" s="13" t="s">
        <v>141</v>
      </c>
      <c r="D62" s="12" t="s">
        <v>73</v>
      </c>
      <c r="E62" s="13" t="s">
        <v>166</v>
      </c>
      <c r="F62" s="12" t="s">
        <v>52</v>
      </c>
      <c r="G62" s="12" t="s">
        <v>273</v>
      </c>
      <c r="H62" s="12" t="s">
        <v>52</v>
      </c>
      <c r="I62" s="12" t="s">
        <v>273</v>
      </c>
      <c r="J62" s="16" t="s">
        <v>4</v>
      </c>
      <c r="K62" s="4"/>
      <c r="L62" s="17"/>
      <c r="M62" s="17"/>
    </row>
    <row r="63" customFormat="false" ht="15" hidden="false" customHeight="false" outlineLevel="0" collapsed="false">
      <c r="A63" s="12" t="s">
        <v>157</v>
      </c>
      <c r="B63" s="12" t="n">
        <v>9</v>
      </c>
      <c r="C63" s="13" t="s">
        <v>141</v>
      </c>
      <c r="D63" s="12" t="s">
        <v>55</v>
      </c>
      <c r="E63" s="13" t="s">
        <v>167</v>
      </c>
      <c r="F63" s="12" t="s">
        <v>52</v>
      </c>
      <c r="G63" s="12" t="s">
        <v>273</v>
      </c>
      <c r="H63" s="12" t="s">
        <v>52</v>
      </c>
      <c r="I63" s="12" t="s">
        <v>273</v>
      </c>
      <c r="J63" s="16" t="s">
        <v>4</v>
      </c>
      <c r="K63" s="4"/>
      <c r="L63" s="17"/>
      <c r="M63" s="17"/>
    </row>
    <row r="64" customFormat="false" ht="15" hidden="false" customHeight="false" outlineLevel="0" collapsed="false">
      <c r="A64" s="12" t="s">
        <v>157</v>
      </c>
      <c r="B64" s="12" t="n">
        <v>10</v>
      </c>
      <c r="C64" s="13" t="s">
        <v>168</v>
      </c>
      <c r="D64" s="12" t="s">
        <v>55</v>
      </c>
      <c r="E64" s="13" t="s">
        <v>169</v>
      </c>
      <c r="F64" s="12" t="s">
        <v>52</v>
      </c>
      <c r="G64" s="12" t="s">
        <v>273</v>
      </c>
      <c r="H64" s="12" t="s">
        <v>52</v>
      </c>
      <c r="I64" s="12" t="s">
        <v>273</v>
      </c>
      <c r="J64" s="16" t="s">
        <v>4</v>
      </c>
      <c r="K64" s="4"/>
      <c r="L64" s="17"/>
      <c r="M64" s="17"/>
    </row>
    <row r="65" customFormat="false" ht="15" hidden="false" customHeight="false" outlineLevel="0" collapsed="false">
      <c r="A65" s="12" t="s">
        <v>157</v>
      </c>
      <c r="B65" s="12" t="n">
        <v>11</v>
      </c>
      <c r="C65" s="13" t="s">
        <v>168</v>
      </c>
      <c r="D65" s="12" t="s">
        <v>73</v>
      </c>
      <c r="E65" s="13" t="s">
        <v>170</v>
      </c>
      <c r="F65" s="12" t="s">
        <v>52</v>
      </c>
      <c r="G65" s="12" t="s">
        <v>273</v>
      </c>
      <c r="H65" s="12" t="s">
        <v>52</v>
      </c>
      <c r="I65" s="12" t="s">
        <v>273</v>
      </c>
      <c r="J65" s="16" t="s">
        <v>4</v>
      </c>
      <c r="K65" s="4"/>
      <c r="L65" s="17"/>
      <c r="M65" s="17"/>
    </row>
    <row r="66" customFormat="false" ht="15" hidden="false" customHeight="false" outlineLevel="0" collapsed="false">
      <c r="A66" s="12" t="s">
        <v>171</v>
      </c>
      <c r="B66" s="12" t="n">
        <v>2</v>
      </c>
      <c r="C66" s="13" t="s">
        <v>172</v>
      </c>
      <c r="D66" s="12" t="s">
        <v>73</v>
      </c>
      <c r="E66" s="13" t="s">
        <v>173</v>
      </c>
      <c r="F66" s="12" t="s">
        <v>52</v>
      </c>
      <c r="G66" s="12" t="s">
        <v>279</v>
      </c>
      <c r="H66" s="12" t="s">
        <v>52</v>
      </c>
      <c r="I66" s="12" t="s">
        <v>273</v>
      </c>
      <c r="J66" s="19" t="s">
        <v>277</v>
      </c>
      <c r="K66" s="4" t="s">
        <v>280</v>
      </c>
      <c r="L66" s="17"/>
      <c r="M66" s="17"/>
    </row>
    <row r="67" customFormat="false" ht="15" hidden="false" customHeight="false" outlineLevel="0" collapsed="false">
      <c r="A67" s="12" t="s">
        <v>171</v>
      </c>
      <c r="B67" s="12" t="n">
        <v>3</v>
      </c>
      <c r="C67" s="13" t="s">
        <v>174</v>
      </c>
      <c r="D67" s="12" t="s">
        <v>55</v>
      </c>
      <c r="E67" s="13" t="s">
        <v>175</v>
      </c>
      <c r="F67" s="12" t="s">
        <v>52</v>
      </c>
      <c r="G67" s="12" t="s">
        <v>279</v>
      </c>
      <c r="H67" s="12" t="s">
        <v>52</v>
      </c>
      <c r="I67" s="12" t="s">
        <v>273</v>
      </c>
      <c r="J67" s="19" t="s">
        <v>277</v>
      </c>
      <c r="K67" s="4" t="s">
        <v>280</v>
      </c>
      <c r="L67" s="17"/>
      <c r="M67" s="17"/>
    </row>
    <row r="68" customFormat="false" ht="15" hidden="false" customHeight="false" outlineLevel="0" collapsed="false">
      <c r="A68" s="12" t="s">
        <v>171</v>
      </c>
      <c r="B68" s="12" t="n">
        <v>4</v>
      </c>
      <c r="C68" s="13" t="s">
        <v>174</v>
      </c>
      <c r="D68" s="12" t="s">
        <v>119</v>
      </c>
      <c r="E68" s="13" t="s">
        <v>176</v>
      </c>
      <c r="F68" s="12" t="s">
        <v>52</v>
      </c>
      <c r="G68" s="12" t="s">
        <v>279</v>
      </c>
      <c r="H68" s="12" t="s">
        <v>52</v>
      </c>
      <c r="I68" s="12" t="s">
        <v>279</v>
      </c>
      <c r="J68" s="16" t="s">
        <v>4</v>
      </c>
      <c r="K68" s="4"/>
      <c r="L68" s="17"/>
      <c r="M68" s="17"/>
    </row>
    <row r="69" customFormat="false" ht="15" hidden="false" customHeight="false" outlineLevel="0" collapsed="false">
      <c r="A69" s="12" t="s">
        <v>171</v>
      </c>
      <c r="B69" s="12" t="n">
        <v>5</v>
      </c>
      <c r="C69" s="13" t="s">
        <v>160</v>
      </c>
      <c r="D69" s="12" t="s">
        <v>119</v>
      </c>
      <c r="E69" s="13" t="s">
        <v>178</v>
      </c>
      <c r="F69" s="12" t="s">
        <v>52</v>
      </c>
      <c r="G69" s="12" t="s">
        <v>279</v>
      </c>
      <c r="H69" s="12" t="s">
        <v>52</v>
      </c>
      <c r="I69" s="12" t="s">
        <v>279</v>
      </c>
      <c r="J69" s="16" t="s">
        <v>4</v>
      </c>
      <c r="K69" s="4"/>
      <c r="L69" s="17"/>
      <c r="M69" s="17"/>
    </row>
    <row r="70" customFormat="false" ht="15" hidden="false" customHeight="false" outlineLevel="0" collapsed="false">
      <c r="A70" s="12" t="s">
        <v>171</v>
      </c>
      <c r="B70" s="12" t="n">
        <v>6</v>
      </c>
      <c r="C70" s="13" t="s">
        <v>164</v>
      </c>
      <c r="D70" s="12" t="s">
        <v>73</v>
      </c>
      <c r="E70" s="13" t="s">
        <v>179</v>
      </c>
      <c r="F70" s="12" t="s">
        <v>52</v>
      </c>
      <c r="G70" s="12" t="s">
        <v>279</v>
      </c>
      <c r="H70" s="12" t="s">
        <v>52</v>
      </c>
      <c r="I70" s="12" t="s">
        <v>273</v>
      </c>
      <c r="J70" s="19" t="s">
        <v>277</v>
      </c>
      <c r="K70" s="4" t="s">
        <v>280</v>
      </c>
      <c r="L70" s="17"/>
      <c r="M70" s="17"/>
    </row>
    <row r="71" customFormat="false" ht="15" hidden="false" customHeight="false" outlineLevel="0" collapsed="false">
      <c r="A71" s="12" t="s">
        <v>171</v>
      </c>
      <c r="B71" s="12" t="n">
        <v>7</v>
      </c>
      <c r="C71" s="13" t="s">
        <v>164</v>
      </c>
      <c r="D71" s="12" t="s">
        <v>73</v>
      </c>
      <c r="E71" s="13" t="s">
        <v>181</v>
      </c>
      <c r="F71" s="12" t="s">
        <v>52</v>
      </c>
      <c r="G71" s="12" t="s">
        <v>279</v>
      </c>
      <c r="H71" s="12" t="s">
        <v>52</v>
      </c>
      <c r="I71" s="12" t="s">
        <v>279</v>
      </c>
      <c r="J71" s="16" t="s">
        <v>4</v>
      </c>
      <c r="K71" s="4"/>
      <c r="L71" s="17"/>
      <c r="M71" s="17"/>
    </row>
    <row r="72" customFormat="false" ht="15" hidden="false" customHeight="false" outlineLevel="0" collapsed="false">
      <c r="A72" s="12" t="s">
        <v>182</v>
      </c>
      <c r="B72" s="12" t="n">
        <v>2</v>
      </c>
      <c r="C72" s="13" t="s">
        <v>145</v>
      </c>
      <c r="D72" s="12" t="s">
        <v>184</v>
      </c>
      <c r="E72" s="13" t="s">
        <v>183</v>
      </c>
      <c r="F72" s="12" t="s">
        <v>52</v>
      </c>
      <c r="G72" s="12" t="s">
        <v>281</v>
      </c>
      <c r="H72" s="12" t="s">
        <v>52</v>
      </c>
      <c r="I72" s="12" t="s">
        <v>281</v>
      </c>
      <c r="J72" s="16" t="s">
        <v>4</v>
      </c>
      <c r="K72" s="4"/>
      <c r="L72" s="17"/>
      <c r="M72" s="17"/>
    </row>
    <row r="73" customFormat="false" ht="15" hidden="false" customHeight="false" outlineLevel="0" collapsed="false">
      <c r="A73" s="12" t="s">
        <v>182</v>
      </c>
      <c r="B73" s="12" t="n">
        <v>3</v>
      </c>
      <c r="C73" s="13" t="s">
        <v>168</v>
      </c>
      <c r="D73" s="12" t="s">
        <v>186</v>
      </c>
      <c r="E73" s="13" t="s">
        <v>185</v>
      </c>
      <c r="F73" s="12" t="s">
        <v>52</v>
      </c>
      <c r="G73" s="12" t="s">
        <v>281</v>
      </c>
      <c r="H73" s="12" t="s">
        <v>52</v>
      </c>
      <c r="I73" s="12" t="s">
        <v>281</v>
      </c>
      <c r="J73" s="16" t="s">
        <v>4</v>
      </c>
      <c r="K73" s="4"/>
      <c r="L73" s="17"/>
      <c r="M73" s="17"/>
    </row>
    <row r="74" customFormat="false" ht="15" hidden="false" customHeight="false" outlineLevel="0" collapsed="false">
      <c r="A74" s="12" t="s">
        <v>182</v>
      </c>
      <c r="B74" s="12" t="n">
        <v>4</v>
      </c>
      <c r="C74" s="13" t="s">
        <v>168</v>
      </c>
      <c r="D74" s="12" t="s">
        <v>103</v>
      </c>
      <c r="E74" s="13" t="s">
        <v>187</v>
      </c>
      <c r="F74" s="12" t="s">
        <v>52</v>
      </c>
      <c r="G74" s="12" t="s">
        <v>281</v>
      </c>
      <c r="H74" s="12" t="s">
        <v>52</v>
      </c>
      <c r="I74" s="12" t="s">
        <v>281</v>
      </c>
      <c r="J74" s="16" t="s">
        <v>4</v>
      </c>
      <c r="K74" s="4"/>
      <c r="L74" s="17"/>
      <c r="M74" s="17"/>
    </row>
    <row r="75" customFormat="false" ht="15" hidden="false" customHeight="false" outlineLevel="0" collapsed="false">
      <c r="A75" s="12" t="s">
        <v>182</v>
      </c>
      <c r="B75" s="12" t="n">
        <v>5</v>
      </c>
      <c r="C75" s="13" t="s">
        <v>168</v>
      </c>
      <c r="D75" s="12" t="s">
        <v>55</v>
      </c>
      <c r="E75" s="13" t="s">
        <v>188</v>
      </c>
      <c r="F75" s="12" t="s">
        <v>52</v>
      </c>
      <c r="G75" s="12" t="s">
        <v>281</v>
      </c>
      <c r="H75" s="12" t="s">
        <v>52</v>
      </c>
      <c r="I75" s="12" t="s">
        <v>281</v>
      </c>
      <c r="J75" s="16" t="s">
        <v>4</v>
      </c>
      <c r="K75" s="4"/>
      <c r="L75" s="17"/>
      <c r="M75" s="17"/>
    </row>
    <row r="76" customFormat="false" ht="15" hidden="false" customHeight="false" outlineLevel="0" collapsed="false">
      <c r="A76" s="12" t="s">
        <v>189</v>
      </c>
      <c r="B76" s="12" t="n">
        <v>2</v>
      </c>
      <c r="C76" s="13" t="s">
        <v>112</v>
      </c>
      <c r="D76" s="12" t="s">
        <v>191</v>
      </c>
      <c r="E76" s="13" t="s">
        <v>190</v>
      </c>
      <c r="F76" s="12" t="s">
        <v>282</v>
      </c>
      <c r="G76" s="12"/>
      <c r="H76" s="12" t="s">
        <v>189</v>
      </c>
      <c r="I76" s="12" t="s">
        <v>189</v>
      </c>
      <c r="J76" s="16" t="s">
        <v>4</v>
      </c>
      <c r="K76" s="4"/>
      <c r="L76" s="17"/>
      <c r="M76" s="17"/>
    </row>
    <row r="77" customFormat="false" ht="15" hidden="false" customHeight="false" outlineLevel="0" collapsed="false">
      <c r="A77" s="12" t="s">
        <v>189</v>
      </c>
      <c r="B77" s="12" t="n">
        <v>3</v>
      </c>
      <c r="C77" s="13" t="s">
        <v>192</v>
      </c>
      <c r="D77" s="12" t="s">
        <v>194</v>
      </c>
      <c r="E77" s="13" t="s">
        <v>193</v>
      </c>
      <c r="F77" s="12" t="s">
        <v>282</v>
      </c>
      <c r="G77" s="12"/>
      <c r="H77" s="12" t="s">
        <v>189</v>
      </c>
      <c r="I77" s="12" t="s">
        <v>189</v>
      </c>
      <c r="J77" s="16" t="s">
        <v>4</v>
      </c>
      <c r="K77" s="4"/>
      <c r="L77" s="17"/>
      <c r="M77" s="17"/>
    </row>
    <row r="78" customFormat="false" ht="15" hidden="false" customHeight="false" outlineLevel="0" collapsed="false">
      <c r="A78" s="12" t="s">
        <v>189</v>
      </c>
      <c r="B78" s="12" t="n">
        <v>4</v>
      </c>
      <c r="C78" s="13" t="s">
        <v>195</v>
      </c>
      <c r="D78" s="12" t="s">
        <v>197</v>
      </c>
      <c r="E78" s="13" t="s">
        <v>196</v>
      </c>
      <c r="F78" s="12" t="s">
        <v>282</v>
      </c>
      <c r="G78" s="12"/>
      <c r="H78" s="12" t="s">
        <v>189</v>
      </c>
      <c r="I78" s="12" t="s">
        <v>189</v>
      </c>
      <c r="J78" s="16" t="s">
        <v>4</v>
      </c>
      <c r="K78" s="4"/>
      <c r="L78" s="17"/>
      <c r="M78" s="17"/>
    </row>
    <row r="79" customFormat="false" ht="15" hidden="false" customHeight="false" outlineLevel="0" collapsed="false">
      <c r="A79" s="12" t="s">
        <v>189</v>
      </c>
      <c r="B79" s="12" t="n">
        <v>5</v>
      </c>
      <c r="C79" s="13" t="s">
        <v>195</v>
      </c>
      <c r="D79" s="12" t="s">
        <v>199</v>
      </c>
      <c r="E79" s="13" t="s">
        <v>198</v>
      </c>
      <c r="F79" s="12" t="s">
        <v>282</v>
      </c>
      <c r="G79" s="12"/>
      <c r="H79" s="12" t="s">
        <v>189</v>
      </c>
      <c r="I79" s="12" t="s">
        <v>189</v>
      </c>
      <c r="J79" s="16" t="s">
        <v>4</v>
      </c>
      <c r="K79" s="4"/>
      <c r="L79" s="17"/>
      <c r="M79" s="17"/>
    </row>
    <row r="80" customFormat="false" ht="15" hidden="false" customHeight="false" outlineLevel="0" collapsed="false">
      <c r="A80" s="12" t="s">
        <v>200</v>
      </c>
      <c r="B80" s="12" t="n">
        <v>2</v>
      </c>
      <c r="C80" s="13" t="s">
        <v>67</v>
      </c>
      <c r="D80" s="12" t="s">
        <v>202</v>
      </c>
      <c r="E80" s="13" t="s">
        <v>201</v>
      </c>
      <c r="F80" s="12" t="s">
        <v>283</v>
      </c>
      <c r="G80" s="12"/>
      <c r="H80" s="12" t="s">
        <v>200</v>
      </c>
      <c r="I80" s="12" t="s">
        <v>200</v>
      </c>
      <c r="J80" s="16" t="s">
        <v>4</v>
      </c>
      <c r="K80" s="4"/>
      <c r="L80" s="17"/>
      <c r="M80" s="17"/>
    </row>
    <row r="81" customFormat="false" ht="15" hidden="false" customHeight="false" outlineLevel="0" collapsed="false">
      <c r="A81" s="12" t="s">
        <v>200</v>
      </c>
      <c r="B81" s="12" t="n">
        <v>3</v>
      </c>
      <c r="C81" s="13" t="s">
        <v>77</v>
      </c>
      <c r="D81" s="12" t="s">
        <v>204</v>
      </c>
      <c r="E81" s="13" t="s">
        <v>203</v>
      </c>
      <c r="F81" s="12" t="s">
        <v>283</v>
      </c>
      <c r="G81" s="12"/>
      <c r="H81" s="12" t="s">
        <v>265</v>
      </c>
      <c r="I81" s="12" t="s">
        <v>266</v>
      </c>
      <c r="J81" s="19" t="s">
        <v>267</v>
      </c>
      <c r="K81" s="4" t="s">
        <v>284</v>
      </c>
      <c r="L81" s="17"/>
      <c r="M81" s="17"/>
    </row>
    <row r="82" customFormat="false" ht="15" hidden="false" customHeight="false" outlineLevel="0" collapsed="false">
      <c r="A82" s="12" t="s">
        <v>200</v>
      </c>
      <c r="B82" s="12" t="n">
        <v>4</v>
      </c>
      <c r="C82" s="13" t="s">
        <v>104</v>
      </c>
      <c r="D82" s="12" t="s">
        <v>206</v>
      </c>
      <c r="E82" s="13" t="s">
        <v>205</v>
      </c>
      <c r="F82" s="12" t="s">
        <v>283</v>
      </c>
      <c r="G82" s="12"/>
      <c r="H82" s="12" t="s">
        <v>265</v>
      </c>
      <c r="I82" s="12" t="s">
        <v>266</v>
      </c>
      <c r="J82" s="19" t="s">
        <v>267</v>
      </c>
      <c r="K82" s="4" t="s">
        <v>284</v>
      </c>
      <c r="L82" s="17"/>
      <c r="M82" s="17"/>
    </row>
    <row r="83" customFormat="false" ht="15" hidden="false" customHeight="false" outlineLevel="0" collapsed="false">
      <c r="A83" s="12" t="s">
        <v>200</v>
      </c>
      <c r="B83" s="12" t="n">
        <v>5</v>
      </c>
      <c r="C83" s="13" t="s">
        <v>151</v>
      </c>
      <c r="D83" s="12" t="s">
        <v>208</v>
      </c>
      <c r="E83" s="13" t="s">
        <v>207</v>
      </c>
      <c r="F83" s="12" t="s">
        <v>283</v>
      </c>
      <c r="G83" s="12"/>
      <c r="H83" s="12" t="s">
        <v>200</v>
      </c>
      <c r="I83" s="12" t="s">
        <v>200</v>
      </c>
      <c r="J83" s="16" t="s">
        <v>4</v>
      </c>
      <c r="K83" s="4"/>
      <c r="L83" s="17"/>
      <c r="M83" s="17"/>
    </row>
    <row r="84" customFormat="false" ht="15" hidden="false" customHeight="false" outlineLevel="0" collapsed="false">
      <c r="A84" s="12" t="s">
        <v>200</v>
      </c>
      <c r="B84" s="12" t="n">
        <v>6</v>
      </c>
      <c r="C84" s="13" t="s">
        <v>153</v>
      </c>
      <c r="D84" s="12" t="s">
        <v>210</v>
      </c>
      <c r="E84" s="13" t="s">
        <v>209</v>
      </c>
      <c r="F84" s="12" t="s">
        <v>283</v>
      </c>
      <c r="G84" s="12"/>
      <c r="H84" s="12" t="s">
        <v>265</v>
      </c>
      <c r="I84" s="12" t="s">
        <v>200</v>
      </c>
      <c r="J84" s="16" t="s">
        <v>4</v>
      </c>
      <c r="K84" s="4"/>
      <c r="L84" s="17"/>
      <c r="M84" s="17"/>
    </row>
    <row r="85" customFormat="false" ht="15" hidden="false" customHeight="false" outlineLevel="0" collapsed="false">
      <c r="A85" s="12" t="s">
        <v>200</v>
      </c>
      <c r="B85" s="12" t="n">
        <v>7</v>
      </c>
      <c r="C85" s="13" t="s">
        <v>211</v>
      </c>
      <c r="D85" s="12" t="s">
        <v>213</v>
      </c>
      <c r="E85" s="13" t="s">
        <v>212</v>
      </c>
      <c r="F85" s="12" t="s">
        <v>283</v>
      </c>
      <c r="G85" s="12"/>
      <c r="H85" s="12" t="s">
        <v>265</v>
      </c>
      <c r="I85" s="12" t="s">
        <v>200</v>
      </c>
      <c r="J85" s="16" t="s">
        <v>4</v>
      </c>
      <c r="K85" s="4"/>
      <c r="L85" s="17"/>
      <c r="M85" s="17"/>
    </row>
    <row r="86" customFormat="false" ht="29.85" hidden="false" customHeight="false" outlineLevel="0" collapsed="false">
      <c r="A86" s="12" t="s">
        <v>214</v>
      </c>
      <c r="B86" s="12" t="n">
        <v>2</v>
      </c>
      <c r="C86" s="13" t="s">
        <v>89</v>
      </c>
      <c r="D86" s="12" t="s">
        <v>216</v>
      </c>
      <c r="E86" s="13" t="s">
        <v>215</v>
      </c>
      <c r="F86" s="12" t="s">
        <v>285</v>
      </c>
      <c r="G86" s="12"/>
      <c r="H86" s="12" t="s">
        <v>265</v>
      </c>
      <c r="I86" s="12" t="s">
        <v>266</v>
      </c>
      <c r="J86" s="19" t="s">
        <v>286</v>
      </c>
      <c r="K86" s="4" t="s">
        <v>287</v>
      </c>
      <c r="L86" s="17"/>
      <c r="M86" s="17"/>
    </row>
    <row r="87" customFormat="false" ht="29.85" hidden="false" customHeight="false" outlineLevel="0" collapsed="false">
      <c r="A87" s="12" t="s">
        <v>214</v>
      </c>
      <c r="B87" s="12" t="n">
        <v>3</v>
      </c>
      <c r="C87" s="13" t="s">
        <v>160</v>
      </c>
      <c r="D87" s="12" t="s">
        <v>218</v>
      </c>
      <c r="E87" s="13" t="s">
        <v>217</v>
      </c>
      <c r="F87" s="12" t="s">
        <v>285</v>
      </c>
      <c r="G87" s="12"/>
      <c r="H87" s="12" t="s">
        <v>200</v>
      </c>
      <c r="I87" s="12" t="s">
        <v>200</v>
      </c>
      <c r="J87" s="19" t="s">
        <v>286</v>
      </c>
      <c r="K87" s="4" t="s">
        <v>288</v>
      </c>
      <c r="L87" s="17"/>
      <c r="M87" s="17"/>
    </row>
    <row r="88" customFormat="false" ht="29.85" hidden="false" customHeight="false" outlineLevel="0" collapsed="false">
      <c r="A88" s="12" t="s">
        <v>214</v>
      </c>
      <c r="B88" s="12" t="n">
        <v>4</v>
      </c>
      <c r="C88" s="13" t="s">
        <v>153</v>
      </c>
      <c r="D88" s="12" t="s">
        <v>220</v>
      </c>
      <c r="E88" s="13" t="s">
        <v>219</v>
      </c>
      <c r="F88" s="12" t="s">
        <v>285</v>
      </c>
      <c r="G88" s="12"/>
      <c r="H88" s="12" t="s">
        <v>265</v>
      </c>
      <c r="I88" s="12" t="s">
        <v>200</v>
      </c>
      <c r="J88" s="19" t="s">
        <v>286</v>
      </c>
      <c r="K88" s="4" t="s">
        <v>289</v>
      </c>
      <c r="L88" s="17"/>
      <c r="M88" s="17"/>
    </row>
    <row r="89" customFormat="false" ht="15" hidden="false" customHeight="false" outlineLevel="0" collapsed="false">
      <c r="A89" s="12" t="s">
        <v>221</v>
      </c>
      <c r="B89" s="12" t="n">
        <v>2</v>
      </c>
      <c r="C89" s="13" t="s">
        <v>222</v>
      </c>
      <c r="D89" s="12" t="s">
        <v>224</v>
      </c>
      <c r="E89" s="13" t="s">
        <v>223</v>
      </c>
      <c r="F89" s="12" t="s">
        <v>290</v>
      </c>
      <c r="G89" s="12"/>
      <c r="H89" s="12" t="s">
        <v>291</v>
      </c>
      <c r="I89" s="12" t="s">
        <v>291</v>
      </c>
      <c r="J89" s="16" t="s">
        <v>4</v>
      </c>
      <c r="K89" s="4" t="s">
        <v>292</v>
      </c>
      <c r="L89" s="17"/>
      <c r="M89" s="17"/>
    </row>
    <row r="90" customFormat="false" ht="15" hidden="false" customHeight="false" outlineLevel="0" collapsed="false">
      <c r="A90" s="12" t="s">
        <v>221</v>
      </c>
      <c r="B90" s="12" t="n">
        <v>3</v>
      </c>
      <c r="C90" s="13" t="s">
        <v>160</v>
      </c>
      <c r="D90" s="12" t="s">
        <v>226</v>
      </c>
      <c r="E90" s="13" t="s">
        <v>225</v>
      </c>
      <c r="F90" s="12" t="s">
        <v>290</v>
      </c>
      <c r="G90" s="12"/>
      <c r="H90" s="12" t="s">
        <v>291</v>
      </c>
      <c r="I90" s="12" t="s">
        <v>291</v>
      </c>
      <c r="J90" s="16" t="s">
        <v>4</v>
      </c>
      <c r="K90" s="4" t="s">
        <v>292</v>
      </c>
      <c r="L90" s="17"/>
      <c r="M90" s="17"/>
    </row>
    <row r="91" customFormat="false" ht="15" hidden="false" customHeight="false" outlineLevel="0" collapsed="false">
      <c r="A91" s="12" t="s">
        <v>221</v>
      </c>
      <c r="B91" s="12" t="n">
        <v>4</v>
      </c>
      <c r="C91" s="13" t="s">
        <v>153</v>
      </c>
      <c r="D91" s="12" t="s">
        <v>226</v>
      </c>
      <c r="E91" s="13" t="s">
        <v>227</v>
      </c>
      <c r="F91" s="12" t="s">
        <v>290</v>
      </c>
      <c r="G91" s="12"/>
      <c r="H91" s="12" t="s">
        <v>291</v>
      </c>
      <c r="I91" s="12" t="s">
        <v>291</v>
      </c>
      <c r="J91" s="16" t="s">
        <v>4</v>
      </c>
      <c r="K91" s="4" t="s">
        <v>292</v>
      </c>
      <c r="L91" s="17"/>
      <c r="M91" s="17"/>
    </row>
    <row r="92" customFormat="false" ht="15" hidden="false" customHeight="false" outlineLevel="0" collapsed="false">
      <c r="A92" s="12" t="s">
        <v>221</v>
      </c>
      <c r="B92" s="12" t="n">
        <v>5</v>
      </c>
      <c r="C92" s="13" t="s">
        <v>153</v>
      </c>
      <c r="D92" s="12" t="s">
        <v>229</v>
      </c>
      <c r="E92" s="13" t="s">
        <v>228</v>
      </c>
      <c r="F92" s="12" t="s">
        <v>290</v>
      </c>
      <c r="G92" s="12"/>
      <c r="H92" s="12" t="s">
        <v>291</v>
      </c>
      <c r="I92" s="12" t="s">
        <v>291</v>
      </c>
      <c r="J92" s="16" t="s">
        <v>4</v>
      </c>
      <c r="K92" s="4" t="s">
        <v>292</v>
      </c>
      <c r="L92" s="17"/>
      <c r="M92" s="17"/>
    </row>
    <row r="93" customFormat="false" ht="15" hidden="false" customHeight="false" outlineLevel="0" collapsed="false">
      <c r="A93" s="12" t="s">
        <v>221</v>
      </c>
      <c r="B93" s="12" t="n">
        <v>6</v>
      </c>
      <c r="C93" s="13" t="s">
        <v>211</v>
      </c>
      <c r="D93" s="12" t="s">
        <v>231</v>
      </c>
      <c r="E93" s="13" t="s">
        <v>230</v>
      </c>
      <c r="F93" s="12" t="s">
        <v>290</v>
      </c>
      <c r="G93" s="12"/>
      <c r="H93" s="12" t="s">
        <v>291</v>
      </c>
      <c r="I93" s="12" t="s">
        <v>291</v>
      </c>
      <c r="J93" s="16" t="s">
        <v>4</v>
      </c>
      <c r="K93" s="4" t="s">
        <v>292</v>
      </c>
      <c r="L93" s="17"/>
      <c r="M93" s="17"/>
    </row>
    <row r="94" customFormat="false" ht="15" hidden="false" customHeight="false" outlineLevel="0" collapsed="false">
      <c r="A94" s="12" t="s">
        <v>221</v>
      </c>
      <c r="B94" s="12" t="n">
        <v>7</v>
      </c>
      <c r="C94" s="13" t="s">
        <v>164</v>
      </c>
      <c r="D94" s="12" t="s">
        <v>226</v>
      </c>
      <c r="E94" s="13" t="s">
        <v>232</v>
      </c>
      <c r="F94" s="12" t="s">
        <v>290</v>
      </c>
      <c r="G94" s="12"/>
      <c r="H94" s="12" t="s">
        <v>291</v>
      </c>
      <c r="I94" s="12" t="s">
        <v>291</v>
      </c>
      <c r="J94" s="16" t="s">
        <v>4</v>
      </c>
      <c r="K94" s="4" t="s">
        <v>292</v>
      </c>
      <c r="L94" s="17"/>
      <c r="M94" s="17"/>
    </row>
    <row r="95" customFormat="false" ht="15" hidden="false" customHeight="false" outlineLevel="0" collapsed="false">
      <c r="A95" s="12" t="s">
        <v>221</v>
      </c>
      <c r="B95" s="12" t="n">
        <v>8</v>
      </c>
      <c r="C95" s="13" t="s">
        <v>164</v>
      </c>
      <c r="D95" s="12" t="s">
        <v>234</v>
      </c>
      <c r="E95" s="13" t="s">
        <v>233</v>
      </c>
      <c r="F95" s="12" t="s">
        <v>290</v>
      </c>
      <c r="G95" s="12"/>
      <c r="H95" s="12" t="s">
        <v>291</v>
      </c>
      <c r="I95" s="12" t="s">
        <v>291</v>
      </c>
      <c r="J95" s="16" t="s">
        <v>4</v>
      </c>
      <c r="K95" s="4" t="s">
        <v>292</v>
      </c>
      <c r="L95" s="17"/>
      <c r="M95" s="17"/>
    </row>
    <row r="96" customFormat="false" ht="15" hidden="false" customHeight="false" outlineLevel="0" collapsed="false">
      <c r="A96" s="12" t="s">
        <v>221</v>
      </c>
      <c r="B96" s="12" t="n">
        <v>9</v>
      </c>
      <c r="C96" s="13" t="s">
        <v>145</v>
      </c>
      <c r="D96" s="12" t="s">
        <v>236</v>
      </c>
      <c r="E96" s="13" t="s">
        <v>235</v>
      </c>
      <c r="F96" s="12" t="s">
        <v>290</v>
      </c>
      <c r="G96" s="12"/>
      <c r="H96" s="12" t="s">
        <v>291</v>
      </c>
      <c r="I96" s="12" t="s">
        <v>265</v>
      </c>
      <c r="J96" s="16" t="s">
        <v>4</v>
      </c>
      <c r="K96" s="4" t="s">
        <v>292</v>
      </c>
      <c r="L96" s="17"/>
      <c r="M96" s="17"/>
    </row>
    <row r="97" customFormat="false" ht="15" hidden="false" customHeight="false" outlineLevel="0" collapsed="false">
      <c r="A97" s="12" t="s">
        <v>241</v>
      </c>
      <c r="B97" s="12" t="n">
        <v>2</v>
      </c>
      <c r="C97" s="13" t="s">
        <v>192</v>
      </c>
      <c r="D97" s="12" t="s">
        <v>243</v>
      </c>
      <c r="E97" s="13" t="s">
        <v>242</v>
      </c>
      <c r="F97" s="12" t="s">
        <v>293</v>
      </c>
      <c r="G97" s="12"/>
      <c r="H97" s="12" t="s">
        <v>265</v>
      </c>
      <c r="I97" s="12" t="s">
        <v>266</v>
      </c>
      <c r="J97" s="19" t="s">
        <v>267</v>
      </c>
      <c r="K97" s="4" t="s">
        <v>294</v>
      </c>
      <c r="L97" s="17"/>
      <c r="M97" s="17"/>
    </row>
    <row r="98" customFormat="false" ht="15" hidden="false" customHeight="false" outlineLevel="0" collapsed="false">
      <c r="A98" s="12" t="s">
        <v>241</v>
      </c>
      <c r="B98" s="12" t="n">
        <v>3</v>
      </c>
      <c r="C98" s="13" t="s">
        <v>136</v>
      </c>
      <c r="D98" s="12" t="s">
        <v>246</v>
      </c>
      <c r="E98" s="13" t="s">
        <v>245</v>
      </c>
      <c r="F98" s="12" t="s">
        <v>293</v>
      </c>
      <c r="G98" s="12"/>
      <c r="H98" s="12" t="s">
        <v>265</v>
      </c>
      <c r="I98" s="12" t="s">
        <v>266</v>
      </c>
      <c r="J98" s="19" t="s">
        <v>267</v>
      </c>
      <c r="K98" s="4" t="s">
        <v>294</v>
      </c>
      <c r="L98" s="17"/>
      <c r="M98" s="17"/>
    </row>
    <row r="99" customFormat="false" ht="15" hidden="false" customHeight="false" outlineLevel="0" collapsed="false">
      <c r="A99" s="12" t="s">
        <v>241</v>
      </c>
      <c r="B99" s="12" t="n">
        <v>4</v>
      </c>
      <c r="C99" s="13" t="s">
        <v>211</v>
      </c>
      <c r="D99" s="12" t="s">
        <v>248</v>
      </c>
      <c r="E99" s="13" t="s">
        <v>247</v>
      </c>
      <c r="F99" s="12" t="s">
        <v>293</v>
      </c>
      <c r="G99" s="12"/>
      <c r="H99" s="12" t="s">
        <v>265</v>
      </c>
      <c r="I99" s="12" t="s">
        <v>241</v>
      </c>
      <c r="J99" s="16" t="s">
        <v>4</v>
      </c>
      <c r="K99" s="4"/>
      <c r="L99" s="17"/>
      <c r="M99" s="17"/>
    </row>
    <row r="100" customFormat="false" ht="15" hidden="false" customHeight="false" outlineLevel="0" collapsed="false">
      <c r="A100" s="12" t="s">
        <v>241</v>
      </c>
      <c r="B100" s="12" t="n">
        <v>5</v>
      </c>
      <c r="C100" s="13" t="s">
        <v>145</v>
      </c>
      <c r="D100" s="12" t="s">
        <v>250</v>
      </c>
      <c r="E100" s="13" t="s">
        <v>249</v>
      </c>
      <c r="F100" s="12" t="s">
        <v>293</v>
      </c>
      <c r="G100" s="12"/>
      <c r="H100" s="12" t="s">
        <v>265</v>
      </c>
      <c r="I100" s="12" t="s">
        <v>241</v>
      </c>
      <c r="J100" s="16" t="s">
        <v>4</v>
      </c>
      <c r="K100" s="4"/>
      <c r="L100" s="17"/>
      <c r="M100" s="17"/>
    </row>
    <row r="101" customFormat="false" ht="29.85" hidden="false" customHeight="false" outlineLevel="0" collapsed="false">
      <c r="A101" s="12" t="s">
        <v>251</v>
      </c>
      <c r="B101" s="12" t="n">
        <v>2</v>
      </c>
      <c r="C101" s="13" t="s">
        <v>104</v>
      </c>
      <c r="D101" s="12" t="s">
        <v>253</v>
      </c>
      <c r="E101" s="13" t="s">
        <v>252</v>
      </c>
      <c r="F101" s="12" t="s">
        <v>295</v>
      </c>
      <c r="G101" s="12"/>
      <c r="H101" s="12" t="s">
        <v>265</v>
      </c>
      <c r="I101" s="12" t="s">
        <v>266</v>
      </c>
      <c r="J101" s="19" t="s">
        <v>286</v>
      </c>
      <c r="K101" s="4" t="s">
        <v>296</v>
      </c>
      <c r="L101" s="17"/>
      <c r="M101" s="17"/>
    </row>
    <row r="102" customFormat="false" ht="15" hidden="false" customHeight="false" outlineLevel="0" collapsed="false">
      <c r="A102" s="12" t="s">
        <v>254</v>
      </c>
      <c r="B102" s="12" t="n">
        <v>2</v>
      </c>
      <c r="C102" s="13" t="s">
        <v>195</v>
      </c>
      <c r="D102" s="12" t="s">
        <v>256</v>
      </c>
      <c r="E102" s="13" t="s">
        <v>255</v>
      </c>
      <c r="F102" s="12" t="s">
        <v>297</v>
      </c>
      <c r="G102" s="12"/>
      <c r="H102" s="12" t="s">
        <v>254</v>
      </c>
      <c r="I102" s="12" t="s">
        <v>254</v>
      </c>
      <c r="J102" s="16" t="s">
        <v>4</v>
      </c>
      <c r="K102" s="4"/>
      <c r="L102" s="17"/>
      <c r="M102" s="17"/>
    </row>
    <row r="104" customFormat="false" ht="15" hidden="false" customHeight="false" outlineLevel="0" collapsed="false">
      <c r="A104" s="10" t="s">
        <v>298</v>
      </c>
    </row>
  </sheetData>
  <autoFilter ref="A1:M10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5"/>
    <col collapsed="false" customWidth="true" hidden="false" outlineLevel="0" max="3" min="3" style="0" width="10"/>
    <col collapsed="false" customWidth="true" hidden="false" outlineLevel="0" max="4" min="4" style="0" width="20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9" min="8" style="0" width="14"/>
    <col collapsed="false" customWidth="true" hidden="false" outlineLevel="0" max="10" min="10" style="0" width="60"/>
    <col collapsed="false" customWidth="true" hidden="false" outlineLevel="0" max="11" min="11" style="0" width="16"/>
  </cols>
  <sheetData>
    <row r="1" customFormat="false" ht="31.5" hidden="false" customHeight="true" outlineLevel="0" collapsed="false">
      <c r="A1" s="3" t="s">
        <v>40</v>
      </c>
      <c r="B1" s="3" t="s">
        <v>41</v>
      </c>
      <c r="C1" s="3" t="s">
        <v>42</v>
      </c>
      <c r="D1" s="3" t="s">
        <v>45</v>
      </c>
      <c r="E1" s="3" t="s">
        <v>11</v>
      </c>
      <c r="F1" s="3" t="s">
        <v>299</v>
      </c>
      <c r="G1" s="3" t="s">
        <v>300</v>
      </c>
      <c r="H1" s="3" t="s">
        <v>261</v>
      </c>
      <c r="I1" s="3" t="s">
        <v>301</v>
      </c>
      <c r="J1" s="3" t="s">
        <v>6</v>
      </c>
      <c r="K1" s="3" t="s">
        <v>302</v>
      </c>
    </row>
    <row r="2" customFormat="false" ht="15" hidden="false" customHeight="false" outlineLevel="0" collapsed="false">
      <c r="A2" s="12" t="s">
        <v>52</v>
      </c>
      <c r="B2" s="12" t="n">
        <v>2</v>
      </c>
      <c r="C2" s="13" t="s">
        <v>53</v>
      </c>
      <c r="D2" s="12" t="s">
        <v>55</v>
      </c>
      <c r="E2" s="13" t="s">
        <v>54</v>
      </c>
      <c r="F2" s="12" t="s">
        <v>266</v>
      </c>
      <c r="G2" s="12" t="s">
        <v>266</v>
      </c>
      <c r="H2" s="16" t="s">
        <v>4</v>
      </c>
      <c r="I2" s="15"/>
      <c r="J2" s="4"/>
      <c r="K2" s="17"/>
    </row>
    <row r="3" customFormat="false" ht="15" hidden="false" customHeight="false" outlineLevel="0" collapsed="false">
      <c r="A3" s="12" t="s">
        <v>52</v>
      </c>
      <c r="B3" s="12" t="n">
        <v>3</v>
      </c>
      <c r="C3" s="13" t="s">
        <v>56</v>
      </c>
      <c r="D3" s="12" t="s">
        <v>58</v>
      </c>
      <c r="E3" s="13" t="s">
        <v>57</v>
      </c>
      <c r="F3" s="12" t="s">
        <v>266</v>
      </c>
      <c r="G3" s="12" t="s">
        <v>266</v>
      </c>
      <c r="H3" s="16" t="s">
        <v>4</v>
      </c>
      <c r="I3" s="15"/>
      <c r="J3" s="4"/>
      <c r="K3" s="17"/>
    </row>
    <row r="4" customFormat="false" ht="15" hidden="false" customHeight="false" outlineLevel="0" collapsed="false">
      <c r="A4" s="12" t="s">
        <v>52</v>
      </c>
      <c r="B4" s="12" t="n">
        <v>4</v>
      </c>
      <c r="C4" s="13" t="s">
        <v>59</v>
      </c>
      <c r="D4" s="12" t="s">
        <v>55</v>
      </c>
      <c r="E4" s="13" t="s">
        <v>60</v>
      </c>
      <c r="F4" s="12" t="s">
        <v>266</v>
      </c>
      <c r="G4" s="12" t="s">
        <v>266</v>
      </c>
      <c r="H4" s="16" t="s">
        <v>4</v>
      </c>
      <c r="I4" s="15"/>
      <c r="J4" s="4"/>
      <c r="K4" s="17"/>
    </row>
    <row r="5" customFormat="false" ht="15" hidden="false" customHeight="false" outlineLevel="0" collapsed="false">
      <c r="A5" s="12" t="s">
        <v>52</v>
      </c>
      <c r="B5" s="12" t="n">
        <v>5</v>
      </c>
      <c r="C5" s="13" t="s">
        <v>59</v>
      </c>
      <c r="D5" s="12" t="s">
        <v>62</v>
      </c>
      <c r="E5" s="13" t="s">
        <v>61</v>
      </c>
      <c r="F5" s="12" t="s">
        <v>266</v>
      </c>
      <c r="G5" s="12" t="s">
        <v>266</v>
      </c>
      <c r="H5" s="16" t="s">
        <v>4</v>
      </c>
      <c r="I5" s="15"/>
      <c r="J5" s="4"/>
      <c r="K5" s="17"/>
    </row>
    <row r="6" customFormat="false" ht="15" hidden="false" customHeight="false" outlineLevel="0" collapsed="false">
      <c r="A6" s="12" t="s">
        <v>52</v>
      </c>
      <c r="B6" s="12" t="n">
        <v>6</v>
      </c>
      <c r="C6" s="13" t="s">
        <v>59</v>
      </c>
      <c r="D6" s="12" t="s">
        <v>64</v>
      </c>
      <c r="E6" s="13" t="s">
        <v>63</v>
      </c>
      <c r="F6" s="12" t="s">
        <v>266</v>
      </c>
      <c r="G6" s="12" t="s">
        <v>266</v>
      </c>
      <c r="H6" s="16" t="s">
        <v>4</v>
      </c>
      <c r="I6" s="15"/>
      <c r="J6" s="4"/>
      <c r="K6" s="17"/>
    </row>
    <row r="7" customFormat="false" ht="15" hidden="false" customHeight="false" outlineLevel="0" collapsed="false">
      <c r="A7" s="12" t="s">
        <v>52</v>
      </c>
      <c r="B7" s="12" t="n">
        <v>7</v>
      </c>
      <c r="C7" s="13" t="s">
        <v>59</v>
      </c>
      <c r="D7" s="12" t="s">
        <v>66</v>
      </c>
      <c r="E7" s="13" t="s">
        <v>65</v>
      </c>
      <c r="F7" s="12" t="s">
        <v>266</v>
      </c>
      <c r="G7" s="12" t="s">
        <v>266</v>
      </c>
      <c r="H7" s="16" t="s">
        <v>4</v>
      </c>
      <c r="I7" s="15"/>
      <c r="J7" s="4"/>
      <c r="K7" s="17"/>
    </row>
    <row r="8" customFormat="false" ht="15" hidden="false" customHeight="false" outlineLevel="0" collapsed="false">
      <c r="A8" s="12" t="s">
        <v>52</v>
      </c>
      <c r="B8" s="12" t="n">
        <v>8</v>
      </c>
      <c r="C8" s="13" t="s">
        <v>67</v>
      </c>
      <c r="D8" s="12" t="s">
        <v>55</v>
      </c>
      <c r="E8" s="13" t="s">
        <v>68</v>
      </c>
      <c r="F8" s="12" t="s">
        <v>266</v>
      </c>
      <c r="G8" s="12" t="s">
        <v>266</v>
      </c>
      <c r="H8" s="16" t="s">
        <v>4</v>
      </c>
      <c r="I8" s="15"/>
      <c r="J8" s="4"/>
      <c r="K8" s="17"/>
    </row>
    <row r="9" customFormat="false" ht="15" hidden="false" customHeight="false" outlineLevel="0" collapsed="false">
      <c r="A9" s="12" t="s">
        <v>52</v>
      </c>
      <c r="B9" s="12" t="n">
        <v>9</v>
      </c>
      <c r="C9" s="13" t="s">
        <v>67</v>
      </c>
      <c r="D9" s="12" t="s">
        <v>70</v>
      </c>
      <c r="E9" s="13" t="s">
        <v>69</v>
      </c>
      <c r="F9" s="12" t="s">
        <v>266</v>
      </c>
      <c r="G9" s="12" t="s">
        <v>266</v>
      </c>
      <c r="H9" s="16" t="s">
        <v>4</v>
      </c>
      <c r="I9" s="15"/>
      <c r="J9" s="4"/>
      <c r="K9" s="17"/>
    </row>
    <row r="10" customFormat="false" ht="15" hidden="false" customHeight="false" outlineLevel="0" collapsed="false">
      <c r="A10" s="12" t="s">
        <v>52</v>
      </c>
      <c r="B10" s="12" t="n">
        <v>10</v>
      </c>
      <c r="C10" s="13" t="s">
        <v>71</v>
      </c>
      <c r="D10" s="12" t="s">
        <v>73</v>
      </c>
      <c r="E10" s="13" t="s">
        <v>72</v>
      </c>
      <c r="F10" s="12" t="s">
        <v>266</v>
      </c>
      <c r="G10" s="12" t="s">
        <v>266</v>
      </c>
      <c r="H10" s="16" t="s">
        <v>4</v>
      </c>
      <c r="I10" s="15"/>
      <c r="J10" s="4"/>
      <c r="K10" s="17"/>
    </row>
    <row r="11" customFormat="false" ht="15" hidden="false" customHeight="false" outlineLevel="0" collapsed="false">
      <c r="A11" s="12" t="s">
        <v>52</v>
      </c>
      <c r="B11" s="12" t="n">
        <v>11</v>
      </c>
      <c r="C11" s="13" t="s">
        <v>74</v>
      </c>
      <c r="D11" s="12" t="s">
        <v>76</v>
      </c>
      <c r="E11" s="13" t="s">
        <v>75</v>
      </c>
      <c r="F11" s="12" t="s">
        <v>266</v>
      </c>
      <c r="G11" s="12" t="s">
        <v>266</v>
      </c>
      <c r="H11" s="16" t="s">
        <v>4</v>
      </c>
      <c r="I11" s="15"/>
      <c r="J11" s="4"/>
      <c r="K11" s="17"/>
    </row>
    <row r="12" customFormat="false" ht="15" hidden="false" customHeight="false" outlineLevel="0" collapsed="false">
      <c r="A12" s="12" t="s">
        <v>52</v>
      </c>
      <c r="B12" s="12" t="n">
        <v>12</v>
      </c>
      <c r="C12" s="13" t="s">
        <v>77</v>
      </c>
      <c r="D12" s="12" t="s">
        <v>81</v>
      </c>
      <c r="E12" s="13" t="s">
        <v>80</v>
      </c>
      <c r="F12" s="12" t="s">
        <v>266</v>
      </c>
      <c r="G12" s="12" t="s">
        <v>266</v>
      </c>
      <c r="H12" s="16" t="s">
        <v>4</v>
      </c>
      <c r="I12" s="15"/>
      <c r="J12" s="4"/>
      <c r="K12" s="17"/>
    </row>
    <row r="13" customFormat="false" ht="15" hidden="false" customHeight="false" outlineLevel="0" collapsed="false">
      <c r="A13" s="12" t="s">
        <v>52</v>
      </c>
      <c r="B13" s="12" t="n">
        <v>13</v>
      </c>
      <c r="C13" s="13" t="s">
        <v>77</v>
      </c>
      <c r="D13" s="12" t="s">
        <v>58</v>
      </c>
      <c r="E13" s="13" t="s">
        <v>82</v>
      </c>
      <c r="F13" s="12" t="s">
        <v>266</v>
      </c>
      <c r="G13" s="12" t="s">
        <v>266</v>
      </c>
      <c r="H13" s="16" t="s">
        <v>4</v>
      </c>
      <c r="I13" s="15"/>
      <c r="J13" s="4"/>
      <c r="K13" s="17"/>
    </row>
    <row r="14" customFormat="false" ht="15" hidden="false" customHeight="false" outlineLevel="0" collapsed="false">
      <c r="A14" s="12" t="s">
        <v>52</v>
      </c>
      <c r="B14" s="12" t="n">
        <v>14</v>
      </c>
      <c r="C14" s="13" t="s">
        <v>77</v>
      </c>
      <c r="D14" s="12" t="s">
        <v>84</v>
      </c>
      <c r="E14" s="13" t="s">
        <v>83</v>
      </c>
      <c r="F14" s="12" t="s">
        <v>266</v>
      </c>
      <c r="G14" s="12" t="s">
        <v>266</v>
      </c>
      <c r="H14" s="16" t="s">
        <v>4</v>
      </c>
      <c r="I14" s="15"/>
      <c r="J14" s="4"/>
      <c r="K14" s="17"/>
    </row>
    <row r="15" customFormat="false" ht="15" hidden="false" customHeight="false" outlineLevel="0" collapsed="false">
      <c r="A15" s="12" t="s">
        <v>52</v>
      </c>
      <c r="B15" s="12" t="n">
        <v>15</v>
      </c>
      <c r="C15" s="13" t="s">
        <v>77</v>
      </c>
      <c r="D15" s="12" t="s">
        <v>86</v>
      </c>
      <c r="E15" s="13" t="s">
        <v>85</v>
      </c>
      <c r="F15" s="12" t="s">
        <v>266</v>
      </c>
      <c r="G15" s="12" t="s">
        <v>266</v>
      </c>
      <c r="H15" s="16" t="s">
        <v>4</v>
      </c>
      <c r="I15" s="15"/>
      <c r="J15" s="4"/>
      <c r="K15" s="17"/>
    </row>
    <row r="16" customFormat="false" ht="15" hidden="false" customHeight="false" outlineLevel="0" collapsed="false">
      <c r="A16" s="12" t="s">
        <v>52</v>
      </c>
      <c r="B16" s="12" t="n">
        <v>16</v>
      </c>
      <c r="C16" s="13" t="s">
        <v>77</v>
      </c>
      <c r="D16" s="12" t="s">
        <v>88</v>
      </c>
      <c r="E16" s="13" t="s">
        <v>87</v>
      </c>
      <c r="F16" s="12" t="s">
        <v>266</v>
      </c>
      <c r="G16" s="12" t="s">
        <v>266</v>
      </c>
      <c r="H16" s="16" t="s">
        <v>4</v>
      </c>
      <c r="I16" s="15"/>
      <c r="J16" s="4"/>
      <c r="K16" s="17"/>
    </row>
    <row r="17" customFormat="false" ht="15" hidden="false" customHeight="false" outlineLevel="0" collapsed="false">
      <c r="A17" s="12" t="s">
        <v>52</v>
      </c>
      <c r="B17" s="12" t="n">
        <v>17</v>
      </c>
      <c r="C17" s="13" t="s">
        <v>89</v>
      </c>
      <c r="D17" s="12" t="s">
        <v>91</v>
      </c>
      <c r="E17" s="13" t="s">
        <v>90</v>
      </c>
      <c r="F17" s="12" t="s">
        <v>266</v>
      </c>
      <c r="G17" s="12" t="s">
        <v>266</v>
      </c>
      <c r="H17" s="16" t="s">
        <v>4</v>
      </c>
      <c r="I17" s="15"/>
      <c r="J17" s="4"/>
      <c r="K17" s="17"/>
    </row>
    <row r="18" customFormat="false" ht="15" hidden="false" customHeight="false" outlineLevel="0" collapsed="false">
      <c r="A18" s="12" t="s">
        <v>52</v>
      </c>
      <c r="B18" s="12" t="n">
        <v>18</v>
      </c>
      <c r="C18" s="13" t="s">
        <v>89</v>
      </c>
      <c r="D18" s="12" t="s">
        <v>93</v>
      </c>
      <c r="E18" s="13" t="s">
        <v>92</v>
      </c>
      <c r="F18" s="12" t="s">
        <v>266</v>
      </c>
      <c r="G18" s="12" t="s">
        <v>266</v>
      </c>
      <c r="H18" s="16" t="s">
        <v>4</v>
      </c>
      <c r="I18" s="15"/>
      <c r="J18" s="4"/>
      <c r="K18" s="17"/>
    </row>
    <row r="19" customFormat="false" ht="15" hidden="false" customHeight="false" outlineLevel="0" collapsed="false">
      <c r="A19" s="12" t="s">
        <v>52</v>
      </c>
      <c r="B19" s="12" t="n">
        <v>19</v>
      </c>
      <c r="C19" s="13" t="s">
        <v>89</v>
      </c>
      <c r="D19" s="12" t="s">
        <v>73</v>
      </c>
      <c r="E19" s="13" t="s">
        <v>94</v>
      </c>
      <c r="F19" s="12" t="s">
        <v>266</v>
      </c>
      <c r="G19" s="12" t="s">
        <v>266</v>
      </c>
      <c r="H19" s="16" t="s">
        <v>4</v>
      </c>
      <c r="I19" s="15"/>
      <c r="J19" s="4"/>
      <c r="K19" s="17"/>
    </row>
    <row r="20" customFormat="false" ht="15" hidden="false" customHeight="false" outlineLevel="0" collapsed="false">
      <c r="A20" s="12" t="s">
        <v>52</v>
      </c>
      <c r="B20" s="12" t="n">
        <v>20</v>
      </c>
      <c r="C20" s="13" t="s">
        <v>89</v>
      </c>
      <c r="D20" s="12" t="s">
        <v>58</v>
      </c>
      <c r="E20" s="13" t="s">
        <v>95</v>
      </c>
      <c r="F20" s="12" t="s">
        <v>266</v>
      </c>
      <c r="G20" s="12" t="s">
        <v>266</v>
      </c>
      <c r="H20" s="16" t="s">
        <v>4</v>
      </c>
      <c r="I20" s="15"/>
      <c r="J20" s="4"/>
      <c r="K20" s="17"/>
    </row>
    <row r="21" customFormat="false" ht="15" hidden="false" customHeight="false" outlineLevel="0" collapsed="false">
      <c r="A21" s="12" t="s">
        <v>52</v>
      </c>
      <c r="B21" s="12" t="n">
        <v>21</v>
      </c>
      <c r="C21" s="13" t="s">
        <v>89</v>
      </c>
      <c r="D21" s="12" t="s">
        <v>55</v>
      </c>
      <c r="E21" s="13" t="s">
        <v>96</v>
      </c>
      <c r="F21" s="12" t="s">
        <v>266</v>
      </c>
      <c r="G21" s="12" t="s">
        <v>266</v>
      </c>
      <c r="H21" s="16" t="s">
        <v>4</v>
      </c>
      <c r="I21" s="15"/>
      <c r="J21" s="4"/>
      <c r="K21" s="17"/>
    </row>
    <row r="22" customFormat="false" ht="15" hidden="false" customHeight="false" outlineLevel="0" collapsed="false">
      <c r="A22" s="12" t="s">
        <v>52</v>
      </c>
      <c r="B22" s="12" t="n">
        <v>22</v>
      </c>
      <c r="C22" s="13" t="s">
        <v>89</v>
      </c>
      <c r="D22" s="12" t="s">
        <v>66</v>
      </c>
      <c r="E22" s="13" t="s">
        <v>97</v>
      </c>
      <c r="F22" s="12" t="s">
        <v>266</v>
      </c>
      <c r="G22" s="12" t="s">
        <v>266</v>
      </c>
      <c r="H22" s="16" t="s">
        <v>4</v>
      </c>
      <c r="I22" s="15"/>
      <c r="J22" s="4"/>
      <c r="K22" s="17"/>
    </row>
    <row r="23" customFormat="false" ht="15" hidden="false" customHeight="false" outlineLevel="0" collapsed="false">
      <c r="A23" s="12" t="s">
        <v>52</v>
      </c>
      <c r="B23" s="12" t="n">
        <v>23</v>
      </c>
      <c r="C23" s="13" t="s">
        <v>89</v>
      </c>
      <c r="D23" s="12" t="s">
        <v>84</v>
      </c>
      <c r="E23" s="13" t="s">
        <v>98</v>
      </c>
      <c r="F23" s="12" t="s">
        <v>266</v>
      </c>
      <c r="G23" s="12" t="s">
        <v>266</v>
      </c>
      <c r="H23" s="16" t="s">
        <v>4</v>
      </c>
      <c r="I23" s="15"/>
      <c r="J23" s="4"/>
      <c r="K23" s="17"/>
    </row>
    <row r="24" customFormat="false" ht="15" hidden="false" customHeight="false" outlineLevel="0" collapsed="false">
      <c r="A24" s="12" t="s">
        <v>52</v>
      </c>
      <c r="B24" s="12" t="n">
        <v>24</v>
      </c>
      <c r="C24" s="13" t="s">
        <v>89</v>
      </c>
      <c r="D24" s="12" t="s">
        <v>73</v>
      </c>
      <c r="E24" s="13" t="s">
        <v>99</v>
      </c>
      <c r="F24" s="12" t="s">
        <v>266</v>
      </c>
      <c r="G24" s="12" t="s">
        <v>266</v>
      </c>
      <c r="H24" s="16" t="s">
        <v>4</v>
      </c>
      <c r="I24" s="15"/>
      <c r="J24" s="4"/>
      <c r="K24" s="17"/>
    </row>
    <row r="25" customFormat="false" ht="15" hidden="false" customHeight="false" outlineLevel="0" collapsed="false">
      <c r="A25" s="12" t="s">
        <v>52</v>
      </c>
      <c r="B25" s="12" t="n">
        <v>25</v>
      </c>
      <c r="C25" s="13" t="s">
        <v>89</v>
      </c>
      <c r="D25" s="12" t="s">
        <v>101</v>
      </c>
      <c r="E25" s="13" t="s">
        <v>100</v>
      </c>
      <c r="F25" s="12" t="s">
        <v>266</v>
      </c>
      <c r="G25" s="12" t="s">
        <v>266</v>
      </c>
      <c r="H25" s="16" t="s">
        <v>4</v>
      </c>
      <c r="I25" s="15"/>
      <c r="J25" s="4"/>
      <c r="K25" s="17"/>
    </row>
    <row r="26" customFormat="false" ht="15" hidden="false" customHeight="false" outlineLevel="0" collapsed="false">
      <c r="A26" s="12" t="s">
        <v>52</v>
      </c>
      <c r="B26" s="12" t="n">
        <v>26</v>
      </c>
      <c r="C26" s="13" t="s">
        <v>89</v>
      </c>
      <c r="D26" s="12" t="s">
        <v>103</v>
      </c>
      <c r="E26" s="13" t="s">
        <v>102</v>
      </c>
      <c r="F26" s="12" t="s">
        <v>266</v>
      </c>
      <c r="G26" s="12" t="s">
        <v>266</v>
      </c>
      <c r="H26" s="16" t="s">
        <v>4</v>
      </c>
      <c r="I26" s="15"/>
      <c r="J26" s="4"/>
      <c r="K26" s="17"/>
    </row>
    <row r="27" customFormat="false" ht="15" hidden="false" customHeight="false" outlineLevel="0" collapsed="false">
      <c r="A27" s="12" t="s">
        <v>52</v>
      </c>
      <c r="B27" s="12" t="n">
        <v>27</v>
      </c>
      <c r="C27" s="13" t="s">
        <v>104</v>
      </c>
      <c r="D27" s="12" t="s">
        <v>55</v>
      </c>
      <c r="E27" s="13" t="s">
        <v>105</v>
      </c>
      <c r="F27" s="12" t="s">
        <v>266</v>
      </c>
      <c r="G27" s="12" t="s">
        <v>266</v>
      </c>
      <c r="H27" s="16" t="s">
        <v>4</v>
      </c>
      <c r="I27" s="15"/>
      <c r="J27" s="4"/>
      <c r="K27" s="17"/>
    </row>
    <row r="28" customFormat="false" ht="15" hidden="false" customHeight="false" outlineLevel="0" collapsed="false">
      <c r="A28" s="12" t="s">
        <v>52</v>
      </c>
      <c r="B28" s="12" t="n">
        <v>28</v>
      </c>
      <c r="C28" s="13" t="s">
        <v>104</v>
      </c>
      <c r="D28" s="12" t="s">
        <v>88</v>
      </c>
      <c r="E28" s="13" t="s">
        <v>106</v>
      </c>
      <c r="F28" s="12" t="s">
        <v>266</v>
      </c>
      <c r="G28" s="12" t="s">
        <v>266</v>
      </c>
      <c r="H28" s="16" t="s">
        <v>4</v>
      </c>
      <c r="I28" s="15"/>
      <c r="J28" s="4"/>
      <c r="K28" s="17"/>
    </row>
    <row r="29" customFormat="false" ht="15" hidden="false" customHeight="false" outlineLevel="0" collapsed="false">
      <c r="A29" s="12" t="s">
        <v>52</v>
      </c>
      <c r="B29" s="12" t="n">
        <v>29</v>
      </c>
      <c r="C29" s="13" t="s">
        <v>104</v>
      </c>
      <c r="D29" s="12" t="s">
        <v>73</v>
      </c>
      <c r="E29" s="13" t="s">
        <v>269</v>
      </c>
      <c r="F29" s="12" t="s">
        <v>266</v>
      </c>
      <c r="G29" s="12" t="s">
        <v>266</v>
      </c>
      <c r="H29" s="16" t="s">
        <v>4</v>
      </c>
      <c r="I29" s="15"/>
      <c r="J29" s="4"/>
      <c r="K29" s="17"/>
    </row>
    <row r="30" customFormat="false" ht="15" hidden="false" customHeight="false" outlineLevel="0" collapsed="false">
      <c r="A30" s="12" t="s">
        <v>52</v>
      </c>
      <c r="B30" s="12" t="n">
        <v>29</v>
      </c>
      <c r="C30" s="13" t="s">
        <v>104</v>
      </c>
      <c r="D30" s="12" t="s">
        <v>103</v>
      </c>
      <c r="E30" s="13" t="s">
        <v>271</v>
      </c>
      <c r="F30" s="12" t="s">
        <v>266</v>
      </c>
      <c r="G30" s="12" t="s">
        <v>266</v>
      </c>
      <c r="H30" s="16" t="s">
        <v>4</v>
      </c>
      <c r="I30" s="15"/>
      <c r="J30" s="4"/>
      <c r="K30" s="17"/>
    </row>
    <row r="31" customFormat="false" ht="15" hidden="false" customHeight="false" outlineLevel="0" collapsed="false">
      <c r="A31" s="12" t="s">
        <v>52</v>
      </c>
      <c r="B31" s="12" t="n">
        <v>30</v>
      </c>
      <c r="C31" s="13" t="s">
        <v>104</v>
      </c>
      <c r="D31" s="12" t="s">
        <v>55</v>
      </c>
      <c r="E31" s="13" t="s">
        <v>111</v>
      </c>
      <c r="F31" s="12" t="s">
        <v>266</v>
      </c>
      <c r="G31" s="12" t="s">
        <v>266</v>
      </c>
      <c r="H31" s="16" t="s">
        <v>4</v>
      </c>
      <c r="I31" s="15"/>
      <c r="J31" s="4"/>
      <c r="K31" s="17"/>
    </row>
    <row r="32" customFormat="false" ht="15" hidden="false" customHeight="false" outlineLevel="0" collapsed="false">
      <c r="A32" s="12" t="s">
        <v>52</v>
      </c>
      <c r="B32" s="12" t="n">
        <v>31</v>
      </c>
      <c r="C32" s="13" t="s">
        <v>112</v>
      </c>
      <c r="D32" s="12" t="s">
        <v>55</v>
      </c>
      <c r="E32" s="13" t="s">
        <v>113</v>
      </c>
      <c r="F32" s="12" t="s">
        <v>266</v>
      </c>
      <c r="G32" s="12" t="s">
        <v>266</v>
      </c>
      <c r="H32" s="16" t="s">
        <v>4</v>
      </c>
      <c r="I32" s="15"/>
      <c r="J32" s="4"/>
      <c r="K32" s="17"/>
    </row>
    <row r="33" customFormat="false" ht="15" hidden="false" customHeight="false" outlineLevel="0" collapsed="false">
      <c r="A33" s="12" t="s">
        <v>52</v>
      </c>
      <c r="B33" s="12" t="n">
        <v>32</v>
      </c>
      <c r="C33" s="13" t="s">
        <v>112</v>
      </c>
      <c r="D33" s="12" t="s">
        <v>103</v>
      </c>
      <c r="E33" s="13" t="s">
        <v>114</v>
      </c>
      <c r="F33" s="12" t="s">
        <v>266</v>
      </c>
      <c r="G33" s="12" t="s">
        <v>266</v>
      </c>
      <c r="H33" s="16" t="s">
        <v>4</v>
      </c>
      <c r="I33" s="15"/>
      <c r="J33" s="4"/>
      <c r="K33" s="17"/>
    </row>
    <row r="34" customFormat="false" ht="15" hidden="false" customHeight="false" outlineLevel="0" collapsed="false">
      <c r="A34" s="12" t="s">
        <v>52</v>
      </c>
      <c r="B34" s="12" t="n">
        <v>33</v>
      </c>
      <c r="C34" s="13" t="s">
        <v>112</v>
      </c>
      <c r="D34" s="12" t="s">
        <v>55</v>
      </c>
      <c r="E34" s="13" t="s">
        <v>115</v>
      </c>
      <c r="F34" s="12" t="s">
        <v>266</v>
      </c>
      <c r="G34" s="12" t="s">
        <v>266</v>
      </c>
      <c r="H34" s="16" t="s">
        <v>4</v>
      </c>
      <c r="I34" s="15"/>
      <c r="J34" s="4"/>
      <c r="K34" s="17"/>
    </row>
    <row r="35" customFormat="false" ht="15" hidden="false" customHeight="false" outlineLevel="0" collapsed="false">
      <c r="A35" s="12" t="s">
        <v>52</v>
      </c>
      <c r="B35" s="12" t="n">
        <v>34</v>
      </c>
      <c r="C35" s="13" t="s">
        <v>112</v>
      </c>
      <c r="D35" s="12" t="s">
        <v>117</v>
      </c>
      <c r="E35" s="13" t="s">
        <v>116</v>
      </c>
      <c r="F35" s="12" t="s">
        <v>266</v>
      </c>
      <c r="G35" s="12" t="s">
        <v>266</v>
      </c>
      <c r="H35" s="16" t="s">
        <v>4</v>
      </c>
      <c r="I35" s="15"/>
      <c r="J35" s="4"/>
      <c r="K35" s="17"/>
    </row>
    <row r="36" customFormat="false" ht="15" hidden="false" customHeight="false" outlineLevel="0" collapsed="false">
      <c r="A36" s="12" t="s">
        <v>52</v>
      </c>
      <c r="B36" s="12" t="n">
        <v>35</v>
      </c>
      <c r="C36" s="13" t="s">
        <v>112</v>
      </c>
      <c r="D36" s="12" t="s">
        <v>119</v>
      </c>
      <c r="E36" s="13" t="s">
        <v>118</v>
      </c>
      <c r="F36" s="12" t="s">
        <v>266</v>
      </c>
      <c r="G36" s="12" t="s">
        <v>266</v>
      </c>
      <c r="H36" s="16" t="s">
        <v>4</v>
      </c>
      <c r="I36" s="15"/>
      <c r="J36" s="4"/>
      <c r="K36" s="17"/>
    </row>
    <row r="37" customFormat="false" ht="15" hidden="false" customHeight="false" outlineLevel="0" collapsed="false">
      <c r="A37" s="12" t="s">
        <v>52</v>
      </c>
      <c r="B37" s="12" t="n">
        <v>36</v>
      </c>
      <c r="C37" s="13" t="s">
        <v>112</v>
      </c>
      <c r="D37" s="12" t="s">
        <v>91</v>
      </c>
      <c r="E37" s="13" t="s">
        <v>120</v>
      </c>
      <c r="F37" s="12" t="s">
        <v>266</v>
      </c>
      <c r="G37" s="12" t="s">
        <v>266</v>
      </c>
      <c r="H37" s="16" t="s">
        <v>4</v>
      </c>
      <c r="I37" s="15"/>
      <c r="J37" s="4"/>
      <c r="K37" s="17"/>
    </row>
    <row r="38" customFormat="false" ht="15" hidden="false" customHeight="false" outlineLevel="0" collapsed="false">
      <c r="A38" s="12" t="s">
        <v>52</v>
      </c>
      <c r="B38" s="12" t="n">
        <v>37</v>
      </c>
      <c r="C38" s="13" t="s">
        <v>112</v>
      </c>
      <c r="D38" s="12" t="s">
        <v>73</v>
      </c>
      <c r="E38" s="13" t="s">
        <v>121</v>
      </c>
      <c r="F38" s="12" t="s">
        <v>266</v>
      </c>
      <c r="G38" s="12" t="s">
        <v>266</v>
      </c>
      <c r="H38" s="16" t="s">
        <v>4</v>
      </c>
      <c r="I38" s="15"/>
      <c r="J38" s="4"/>
      <c r="K38" s="17"/>
    </row>
    <row r="39" customFormat="false" ht="29.85" hidden="false" customHeight="false" outlineLevel="0" collapsed="false">
      <c r="A39" s="12" t="s">
        <v>52</v>
      </c>
      <c r="B39" s="12" t="n">
        <v>38</v>
      </c>
      <c r="C39" s="13" t="s">
        <v>122</v>
      </c>
      <c r="D39" s="12" t="s">
        <v>58</v>
      </c>
      <c r="E39" s="13" t="s">
        <v>123</v>
      </c>
      <c r="F39" s="12" t="s">
        <v>266</v>
      </c>
      <c r="G39" s="12" t="s">
        <v>303</v>
      </c>
      <c r="H39" s="19" t="s">
        <v>304</v>
      </c>
      <c r="I39" s="15"/>
      <c r="J39" s="4" t="s">
        <v>305</v>
      </c>
      <c r="K39" s="17"/>
    </row>
    <row r="40" customFormat="false" ht="29.85" hidden="false" customHeight="false" outlineLevel="0" collapsed="false">
      <c r="A40" s="12" t="s">
        <v>52</v>
      </c>
      <c r="B40" s="12" t="n">
        <v>39</v>
      </c>
      <c r="C40" s="13" t="s">
        <v>122</v>
      </c>
      <c r="D40" s="12" t="s">
        <v>103</v>
      </c>
      <c r="E40" s="13" t="s">
        <v>124</v>
      </c>
      <c r="F40" s="12" t="s">
        <v>266</v>
      </c>
      <c r="G40" s="12" t="s">
        <v>303</v>
      </c>
      <c r="H40" s="19" t="s">
        <v>304</v>
      </c>
      <c r="I40" s="15"/>
      <c r="J40" s="4" t="s">
        <v>305</v>
      </c>
      <c r="K40" s="17"/>
    </row>
    <row r="41" customFormat="false" ht="29.85" hidden="false" customHeight="false" outlineLevel="0" collapsed="false">
      <c r="A41" s="12" t="s">
        <v>52</v>
      </c>
      <c r="B41" s="12" t="n">
        <v>40</v>
      </c>
      <c r="C41" s="13" t="s">
        <v>122</v>
      </c>
      <c r="D41" s="12" t="s">
        <v>58</v>
      </c>
      <c r="E41" s="13" t="s">
        <v>125</v>
      </c>
      <c r="F41" s="12" t="s">
        <v>266</v>
      </c>
      <c r="G41" s="12" t="s">
        <v>303</v>
      </c>
      <c r="H41" s="19" t="s">
        <v>304</v>
      </c>
      <c r="I41" s="15"/>
      <c r="J41" s="4" t="s">
        <v>305</v>
      </c>
      <c r="K41" s="17"/>
    </row>
    <row r="42" customFormat="false" ht="29.85" hidden="false" customHeight="false" outlineLevel="0" collapsed="false">
      <c r="A42" s="12" t="s">
        <v>52</v>
      </c>
      <c r="B42" s="12" t="n">
        <v>41</v>
      </c>
      <c r="C42" s="13" t="s">
        <v>122</v>
      </c>
      <c r="D42" s="12" t="s">
        <v>55</v>
      </c>
      <c r="E42" s="13" t="s">
        <v>126</v>
      </c>
      <c r="F42" s="12" t="s">
        <v>266</v>
      </c>
      <c r="G42" s="12" t="s">
        <v>303</v>
      </c>
      <c r="H42" s="19" t="s">
        <v>304</v>
      </c>
      <c r="I42" s="15"/>
      <c r="J42" s="4" t="s">
        <v>305</v>
      </c>
      <c r="K42" s="17"/>
    </row>
    <row r="43" customFormat="false" ht="29.85" hidden="false" customHeight="false" outlineLevel="0" collapsed="false">
      <c r="A43" s="12" t="s">
        <v>52</v>
      </c>
      <c r="B43" s="12" t="n">
        <v>42</v>
      </c>
      <c r="C43" s="13" t="s">
        <v>122</v>
      </c>
      <c r="D43" s="12" t="s">
        <v>55</v>
      </c>
      <c r="E43" s="13" t="s">
        <v>127</v>
      </c>
      <c r="F43" s="12" t="s">
        <v>266</v>
      </c>
      <c r="G43" s="12" t="s">
        <v>303</v>
      </c>
      <c r="H43" s="19" t="s">
        <v>304</v>
      </c>
      <c r="I43" s="15"/>
      <c r="J43" s="4" t="s">
        <v>305</v>
      </c>
      <c r="K43" s="17"/>
    </row>
    <row r="44" customFormat="false" ht="29.85" hidden="false" customHeight="false" outlineLevel="0" collapsed="false">
      <c r="A44" s="12" t="s">
        <v>52</v>
      </c>
      <c r="B44" s="12" t="n">
        <v>43</v>
      </c>
      <c r="C44" s="13" t="s">
        <v>128</v>
      </c>
      <c r="D44" s="12" t="s">
        <v>88</v>
      </c>
      <c r="E44" s="13" t="s">
        <v>129</v>
      </c>
      <c r="F44" s="12" t="s">
        <v>266</v>
      </c>
      <c r="G44" s="12" t="s">
        <v>303</v>
      </c>
      <c r="H44" s="19" t="s">
        <v>304</v>
      </c>
      <c r="I44" s="15"/>
      <c r="J44" s="4" t="s">
        <v>305</v>
      </c>
      <c r="K44" s="17"/>
    </row>
    <row r="45" customFormat="false" ht="29.85" hidden="false" customHeight="false" outlineLevel="0" collapsed="false">
      <c r="A45" s="12" t="s">
        <v>52</v>
      </c>
      <c r="B45" s="12" t="n">
        <v>44</v>
      </c>
      <c r="C45" s="13" t="s">
        <v>128</v>
      </c>
      <c r="D45" s="12" t="s">
        <v>58</v>
      </c>
      <c r="E45" s="13" t="s">
        <v>130</v>
      </c>
      <c r="F45" s="12" t="s">
        <v>266</v>
      </c>
      <c r="G45" s="12" t="s">
        <v>303</v>
      </c>
      <c r="H45" s="19" t="s">
        <v>304</v>
      </c>
      <c r="I45" s="15"/>
      <c r="J45" s="4" t="s">
        <v>305</v>
      </c>
      <c r="K45" s="17"/>
    </row>
    <row r="46" customFormat="false" ht="29.85" hidden="false" customHeight="false" outlineLevel="0" collapsed="false">
      <c r="A46" s="12" t="s">
        <v>52</v>
      </c>
      <c r="B46" s="12" t="n">
        <v>45</v>
      </c>
      <c r="C46" s="13" t="s">
        <v>128</v>
      </c>
      <c r="D46" s="12" t="s">
        <v>93</v>
      </c>
      <c r="E46" s="13" t="s">
        <v>131</v>
      </c>
      <c r="F46" s="12" t="s">
        <v>266</v>
      </c>
      <c r="G46" s="12" t="s">
        <v>303</v>
      </c>
      <c r="H46" s="19" t="s">
        <v>304</v>
      </c>
      <c r="I46" s="15"/>
      <c r="J46" s="4" t="s">
        <v>305</v>
      </c>
      <c r="K46" s="17"/>
    </row>
    <row r="47" customFormat="false" ht="29.85" hidden="false" customHeight="false" outlineLevel="0" collapsed="false">
      <c r="A47" s="12" t="s">
        <v>52</v>
      </c>
      <c r="B47" s="12" t="n">
        <v>46</v>
      </c>
      <c r="C47" s="13" t="s">
        <v>128</v>
      </c>
      <c r="D47" s="12" t="s">
        <v>55</v>
      </c>
      <c r="E47" s="13" t="s">
        <v>132</v>
      </c>
      <c r="F47" s="12" t="s">
        <v>266</v>
      </c>
      <c r="G47" s="12" t="s">
        <v>303</v>
      </c>
      <c r="H47" s="19" t="s">
        <v>304</v>
      </c>
      <c r="I47" s="15"/>
      <c r="J47" s="4" t="s">
        <v>305</v>
      </c>
      <c r="K47" s="17"/>
    </row>
    <row r="48" customFormat="false" ht="29.85" hidden="false" customHeight="false" outlineLevel="0" collapsed="false">
      <c r="A48" s="12" t="s">
        <v>52</v>
      </c>
      <c r="B48" s="12" t="n">
        <v>47</v>
      </c>
      <c r="C48" s="13" t="s">
        <v>133</v>
      </c>
      <c r="D48" s="12" t="s">
        <v>135</v>
      </c>
      <c r="E48" s="13" t="s">
        <v>134</v>
      </c>
      <c r="F48" s="12" t="s">
        <v>266</v>
      </c>
      <c r="G48" s="12" t="s">
        <v>303</v>
      </c>
      <c r="H48" s="19" t="s">
        <v>304</v>
      </c>
      <c r="I48" s="15"/>
      <c r="J48" s="4" t="s">
        <v>305</v>
      </c>
      <c r="K48" s="17"/>
    </row>
    <row r="49" customFormat="false" ht="15" hidden="false" customHeight="false" outlineLevel="0" collapsed="false">
      <c r="A49" s="12" t="s">
        <v>52</v>
      </c>
      <c r="B49" s="12" t="n">
        <v>48</v>
      </c>
      <c r="C49" s="13" t="s">
        <v>137</v>
      </c>
      <c r="D49" s="12" t="s">
        <v>139</v>
      </c>
      <c r="E49" s="13" t="s">
        <v>138</v>
      </c>
      <c r="F49" s="12" t="s">
        <v>306</v>
      </c>
      <c r="G49" s="12" t="s">
        <v>306</v>
      </c>
      <c r="H49" s="16" t="s">
        <v>4</v>
      </c>
      <c r="I49" s="15"/>
      <c r="J49" s="4"/>
      <c r="K49" s="17"/>
    </row>
    <row r="50" customFormat="false" ht="15" hidden="false" customHeight="false" outlineLevel="0" collapsed="false">
      <c r="A50" s="12" t="s">
        <v>52</v>
      </c>
      <c r="B50" s="12" t="n">
        <v>49</v>
      </c>
      <c r="C50" s="13" t="s">
        <v>141</v>
      </c>
      <c r="D50" s="12" t="s">
        <v>55</v>
      </c>
      <c r="E50" s="13" t="s">
        <v>142</v>
      </c>
      <c r="F50" s="12" t="s">
        <v>306</v>
      </c>
      <c r="G50" s="12" t="s">
        <v>307</v>
      </c>
      <c r="H50" s="19" t="s">
        <v>304</v>
      </c>
      <c r="I50" s="15"/>
      <c r="J50" s="4" t="s">
        <v>308</v>
      </c>
      <c r="K50" s="17"/>
    </row>
    <row r="51" customFormat="false" ht="15" hidden="false" customHeight="false" outlineLevel="0" collapsed="false">
      <c r="A51" s="12" t="s">
        <v>52</v>
      </c>
      <c r="B51" s="12" t="n">
        <v>50</v>
      </c>
      <c r="C51" s="13" t="s">
        <v>141</v>
      </c>
      <c r="D51" s="12" t="s">
        <v>144</v>
      </c>
      <c r="E51" s="13" t="s">
        <v>143</v>
      </c>
      <c r="F51" s="12" t="s">
        <v>306</v>
      </c>
      <c r="G51" s="12" t="s">
        <v>306</v>
      </c>
      <c r="H51" s="16" t="s">
        <v>4</v>
      </c>
      <c r="I51" s="15"/>
      <c r="J51" s="4"/>
      <c r="K51" s="17"/>
    </row>
    <row r="52" customFormat="false" ht="15" hidden="false" customHeight="false" outlineLevel="0" collapsed="false">
      <c r="A52" s="12" t="s">
        <v>52</v>
      </c>
      <c r="B52" s="12" t="n">
        <v>51</v>
      </c>
      <c r="C52" s="13" t="s">
        <v>145</v>
      </c>
      <c r="D52" s="12" t="s">
        <v>147</v>
      </c>
      <c r="E52" s="13" t="s">
        <v>146</v>
      </c>
      <c r="F52" s="12" t="s">
        <v>306</v>
      </c>
      <c r="G52" s="12" t="s">
        <v>306</v>
      </c>
      <c r="H52" s="16" t="s">
        <v>4</v>
      </c>
      <c r="I52" s="15"/>
      <c r="J52" s="4"/>
      <c r="K52" s="17"/>
    </row>
    <row r="53" customFormat="false" ht="15" hidden="false" customHeight="false" outlineLevel="0" collapsed="false">
      <c r="A53" s="12" t="s">
        <v>52</v>
      </c>
      <c r="B53" s="12" t="n">
        <v>52</v>
      </c>
      <c r="C53" s="13" t="s">
        <v>145</v>
      </c>
      <c r="D53" s="12" t="s">
        <v>149</v>
      </c>
      <c r="E53" s="13" t="s">
        <v>148</v>
      </c>
      <c r="F53" s="12" t="s">
        <v>306</v>
      </c>
      <c r="G53" s="12" t="s">
        <v>306</v>
      </c>
      <c r="H53" s="16" t="s">
        <v>4</v>
      </c>
      <c r="I53" s="15"/>
      <c r="J53" s="4"/>
      <c r="K53" s="17"/>
    </row>
    <row r="54" customFormat="false" ht="15" hidden="false" customHeight="false" outlineLevel="0" collapsed="false">
      <c r="A54" s="12" t="s">
        <v>150</v>
      </c>
      <c r="B54" s="12" t="n">
        <v>2</v>
      </c>
      <c r="C54" s="13" t="s">
        <v>151</v>
      </c>
      <c r="D54" s="12" t="s">
        <v>73</v>
      </c>
      <c r="E54" s="13" t="s">
        <v>152</v>
      </c>
      <c r="F54" s="12" t="s">
        <v>307</v>
      </c>
      <c r="G54" s="12" t="s">
        <v>266</v>
      </c>
      <c r="H54" s="19" t="s">
        <v>304</v>
      </c>
      <c r="I54" s="15"/>
      <c r="J54" s="4" t="s">
        <v>309</v>
      </c>
      <c r="K54" s="17"/>
    </row>
    <row r="55" customFormat="false" ht="15" hidden="false" customHeight="false" outlineLevel="0" collapsed="false">
      <c r="A55" s="12" t="s">
        <v>150</v>
      </c>
      <c r="B55" s="12" t="n">
        <v>3</v>
      </c>
      <c r="C55" s="13" t="s">
        <v>153</v>
      </c>
      <c r="D55" s="12" t="s">
        <v>55</v>
      </c>
      <c r="E55" s="13" t="s">
        <v>154</v>
      </c>
      <c r="F55" s="12" t="s">
        <v>307</v>
      </c>
      <c r="G55" s="12" t="s">
        <v>307</v>
      </c>
      <c r="H55" s="16" t="s">
        <v>4</v>
      </c>
      <c r="I55" s="15"/>
      <c r="J55" s="4"/>
      <c r="K55" s="17"/>
    </row>
    <row r="56" customFormat="false" ht="15" hidden="false" customHeight="false" outlineLevel="0" collapsed="false">
      <c r="A56" s="12" t="s">
        <v>157</v>
      </c>
      <c r="B56" s="12" t="n">
        <v>2</v>
      </c>
      <c r="C56" s="13" t="s">
        <v>77</v>
      </c>
      <c r="D56" s="12" t="s">
        <v>55</v>
      </c>
      <c r="E56" s="13" t="s">
        <v>158</v>
      </c>
      <c r="F56" s="12" t="s">
        <v>307</v>
      </c>
      <c r="G56" s="12" t="s">
        <v>266</v>
      </c>
      <c r="H56" s="19" t="s">
        <v>304</v>
      </c>
      <c r="I56" s="15"/>
      <c r="J56" s="4" t="s">
        <v>309</v>
      </c>
      <c r="K56" s="17"/>
    </row>
    <row r="57" customFormat="false" ht="15" hidden="false" customHeight="false" outlineLevel="0" collapsed="false">
      <c r="A57" s="12" t="s">
        <v>157</v>
      </c>
      <c r="B57" s="12" t="n">
        <v>3</v>
      </c>
      <c r="C57" s="13" t="s">
        <v>151</v>
      </c>
      <c r="D57" s="12" t="s">
        <v>73</v>
      </c>
      <c r="E57" s="13" t="s">
        <v>159</v>
      </c>
      <c r="F57" s="12" t="s">
        <v>307</v>
      </c>
      <c r="G57" s="12" t="s">
        <v>266</v>
      </c>
      <c r="H57" s="19" t="s">
        <v>304</v>
      </c>
      <c r="I57" s="15"/>
      <c r="J57" s="4" t="s">
        <v>309</v>
      </c>
      <c r="K57" s="17"/>
    </row>
    <row r="58" customFormat="false" ht="15" hidden="false" customHeight="false" outlineLevel="0" collapsed="false">
      <c r="A58" s="12" t="s">
        <v>157</v>
      </c>
      <c r="B58" s="12" t="n">
        <v>4</v>
      </c>
      <c r="C58" s="13" t="s">
        <v>160</v>
      </c>
      <c r="D58" s="12" t="s">
        <v>55</v>
      </c>
      <c r="E58" s="13" t="s">
        <v>161</v>
      </c>
      <c r="F58" s="12" t="s">
        <v>307</v>
      </c>
      <c r="G58" s="12" t="s">
        <v>266</v>
      </c>
      <c r="H58" s="19" t="s">
        <v>304</v>
      </c>
      <c r="I58" s="15"/>
      <c r="J58" s="4" t="s">
        <v>309</v>
      </c>
      <c r="K58" s="17"/>
    </row>
    <row r="59" customFormat="false" ht="15" hidden="false" customHeight="false" outlineLevel="0" collapsed="false">
      <c r="A59" s="12" t="s">
        <v>157</v>
      </c>
      <c r="B59" s="12" t="n">
        <v>5</v>
      </c>
      <c r="C59" s="13" t="s">
        <v>153</v>
      </c>
      <c r="D59" s="12" t="s">
        <v>119</v>
      </c>
      <c r="E59" s="13" t="s">
        <v>162</v>
      </c>
      <c r="F59" s="12" t="s">
        <v>307</v>
      </c>
      <c r="G59" s="12" t="s">
        <v>307</v>
      </c>
      <c r="H59" s="16" t="s">
        <v>4</v>
      </c>
      <c r="I59" s="15"/>
      <c r="J59" s="4"/>
      <c r="K59" s="17"/>
    </row>
    <row r="60" customFormat="false" ht="15" hidden="false" customHeight="false" outlineLevel="0" collapsed="false">
      <c r="A60" s="12" t="s">
        <v>157</v>
      </c>
      <c r="B60" s="12" t="n">
        <v>6</v>
      </c>
      <c r="C60" s="13" t="s">
        <v>153</v>
      </c>
      <c r="D60" s="12" t="s">
        <v>73</v>
      </c>
      <c r="E60" s="13" t="s">
        <v>163</v>
      </c>
      <c r="F60" s="12" t="s">
        <v>307</v>
      </c>
      <c r="G60" s="12" t="s">
        <v>307</v>
      </c>
      <c r="H60" s="16" t="s">
        <v>4</v>
      </c>
      <c r="I60" s="15"/>
      <c r="J60" s="4"/>
      <c r="K60" s="17"/>
    </row>
    <row r="61" customFormat="false" ht="15" hidden="false" customHeight="false" outlineLevel="0" collapsed="false">
      <c r="A61" s="12" t="s">
        <v>157</v>
      </c>
      <c r="B61" s="12" t="n">
        <v>7</v>
      </c>
      <c r="C61" s="13" t="s">
        <v>164</v>
      </c>
      <c r="D61" s="12" t="s">
        <v>55</v>
      </c>
      <c r="E61" s="13" t="s">
        <v>165</v>
      </c>
      <c r="F61" s="12" t="s">
        <v>307</v>
      </c>
      <c r="G61" s="12" t="s">
        <v>307</v>
      </c>
      <c r="H61" s="16" t="s">
        <v>4</v>
      </c>
      <c r="I61" s="15"/>
      <c r="J61" s="4"/>
      <c r="K61" s="17"/>
    </row>
    <row r="62" customFormat="false" ht="15" hidden="false" customHeight="false" outlineLevel="0" collapsed="false">
      <c r="A62" s="12" t="s">
        <v>157</v>
      </c>
      <c r="B62" s="12" t="n">
        <v>8</v>
      </c>
      <c r="C62" s="13" t="s">
        <v>141</v>
      </c>
      <c r="D62" s="12" t="s">
        <v>73</v>
      </c>
      <c r="E62" s="13" t="s">
        <v>166</v>
      </c>
      <c r="F62" s="12" t="s">
        <v>307</v>
      </c>
      <c r="G62" s="12" t="s">
        <v>307</v>
      </c>
      <c r="H62" s="16" t="s">
        <v>4</v>
      </c>
      <c r="I62" s="15"/>
      <c r="J62" s="4"/>
      <c r="K62" s="17"/>
    </row>
    <row r="63" customFormat="false" ht="15" hidden="false" customHeight="false" outlineLevel="0" collapsed="false">
      <c r="A63" s="12" t="s">
        <v>157</v>
      </c>
      <c r="B63" s="12" t="n">
        <v>9</v>
      </c>
      <c r="C63" s="13" t="s">
        <v>141</v>
      </c>
      <c r="D63" s="12" t="s">
        <v>55</v>
      </c>
      <c r="E63" s="13" t="s">
        <v>167</v>
      </c>
      <c r="F63" s="12" t="s">
        <v>307</v>
      </c>
      <c r="G63" s="12" t="s">
        <v>307</v>
      </c>
      <c r="H63" s="16" t="s">
        <v>4</v>
      </c>
      <c r="I63" s="15"/>
      <c r="J63" s="4"/>
      <c r="K63" s="17"/>
    </row>
    <row r="64" customFormat="false" ht="15" hidden="false" customHeight="false" outlineLevel="0" collapsed="false">
      <c r="A64" s="12" t="s">
        <v>157</v>
      </c>
      <c r="B64" s="12" t="n">
        <v>10</v>
      </c>
      <c r="C64" s="13" t="s">
        <v>168</v>
      </c>
      <c r="D64" s="12" t="s">
        <v>55</v>
      </c>
      <c r="E64" s="13" t="s">
        <v>169</v>
      </c>
      <c r="F64" s="12" t="s">
        <v>307</v>
      </c>
      <c r="G64" s="12" t="s">
        <v>307</v>
      </c>
      <c r="H64" s="16" t="s">
        <v>4</v>
      </c>
      <c r="I64" s="15"/>
      <c r="J64" s="4"/>
      <c r="K64" s="17"/>
    </row>
    <row r="65" customFormat="false" ht="15" hidden="false" customHeight="false" outlineLevel="0" collapsed="false">
      <c r="A65" s="12" t="s">
        <v>157</v>
      </c>
      <c r="B65" s="12" t="n">
        <v>11</v>
      </c>
      <c r="C65" s="13" t="s">
        <v>168</v>
      </c>
      <c r="D65" s="12" t="s">
        <v>73</v>
      </c>
      <c r="E65" s="13" t="s">
        <v>170</v>
      </c>
      <c r="F65" s="12" t="s">
        <v>307</v>
      </c>
      <c r="G65" s="12" t="s">
        <v>307</v>
      </c>
      <c r="H65" s="16" t="s">
        <v>4</v>
      </c>
      <c r="I65" s="15"/>
      <c r="J65" s="4"/>
      <c r="K65" s="17"/>
    </row>
    <row r="66" customFormat="false" ht="15" hidden="false" customHeight="false" outlineLevel="0" collapsed="false">
      <c r="A66" s="12" t="s">
        <v>171</v>
      </c>
      <c r="B66" s="12" t="n">
        <v>2</v>
      </c>
      <c r="C66" s="13" t="s">
        <v>172</v>
      </c>
      <c r="D66" s="12" t="s">
        <v>73</v>
      </c>
      <c r="E66" s="13" t="s">
        <v>173</v>
      </c>
      <c r="F66" s="12" t="s">
        <v>307</v>
      </c>
      <c r="G66" s="12" t="s">
        <v>266</v>
      </c>
      <c r="H66" s="19" t="s">
        <v>304</v>
      </c>
      <c r="I66" s="15"/>
      <c r="J66" s="4" t="s">
        <v>309</v>
      </c>
      <c r="K66" s="17"/>
    </row>
    <row r="67" customFormat="false" ht="15" hidden="false" customHeight="false" outlineLevel="0" collapsed="false">
      <c r="A67" s="12" t="s">
        <v>171</v>
      </c>
      <c r="B67" s="12" t="n">
        <v>3</v>
      </c>
      <c r="C67" s="13" t="s">
        <v>174</v>
      </c>
      <c r="D67" s="12" t="s">
        <v>55</v>
      </c>
      <c r="E67" s="13" t="s">
        <v>175</v>
      </c>
      <c r="F67" s="12" t="s">
        <v>307</v>
      </c>
      <c r="G67" s="12" t="s">
        <v>266</v>
      </c>
      <c r="H67" s="19" t="s">
        <v>304</v>
      </c>
      <c r="I67" s="15"/>
      <c r="J67" s="4" t="s">
        <v>309</v>
      </c>
      <c r="K67" s="17"/>
    </row>
    <row r="68" customFormat="false" ht="15" hidden="false" customHeight="false" outlineLevel="0" collapsed="false">
      <c r="A68" s="12" t="s">
        <v>171</v>
      </c>
      <c r="B68" s="12" t="n">
        <v>4</v>
      </c>
      <c r="C68" s="13" t="s">
        <v>174</v>
      </c>
      <c r="D68" s="12" t="s">
        <v>119</v>
      </c>
      <c r="E68" s="13" t="s">
        <v>176</v>
      </c>
      <c r="F68" s="12" t="s">
        <v>307</v>
      </c>
      <c r="G68" s="12" t="s">
        <v>266</v>
      </c>
      <c r="H68" s="19" t="s">
        <v>304</v>
      </c>
      <c r="I68" s="15"/>
      <c r="J68" s="4" t="s">
        <v>309</v>
      </c>
      <c r="K68" s="17"/>
    </row>
    <row r="69" customFormat="false" ht="15" hidden="false" customHeight="false" outlineLevel="0" collapsed="false">
      <c r="A69" s="12" t="s">
        <v>171</v>
      </c>
      <c r="B69" s="12" t="n">
        <v>5</v>
      </c>
      <c r="C69" s="13" t="s">
        <v>160</v>
      </c>
      <c r="D69" s="12" t="s">
        <v>119</v>
      </c>
      <c r="E69" s="13" t="s">
        <v>178</v>
      </c>
      <c r="F69" s="12" t="s">
        <v>307</v>
      </c>
      <c r="G69" s="12" t="s">
        <v>266</v>
      </c>
      <c r="H69" s="19" t="s">
        <v>304</v>
      </c>
      <c r="I69" s="15"/>
      <c r="J69" s="4" t="s">
        <v>309</v>
      </c>
      <c r="K69" s="17"/>
    </row>
    <row r="70" customFormat="false" ht="15" hidden="false" customHeight="false" outlineLevel="0" collapsed="false">
      <c r="A70" s="12" t="s">
        <v>171</v>
      </c>
      <c r="B70" s="12" t="n">
        <v>6</v>
      </c>
      <c r="C70" s="13" t="s">
        <v>164</v>
      </c>
      <c r="D70" s="12" t="s">
        <v>73</v>
      </c>
      <c r="E70" s="13" t="s">
        <v>179</v>
      </c>
      <c r="F70" s="12" t="s">
        <v>307</v>
      </c>
      <c r="G70" s="12" t="s">
        <v>307</v>
      </c>
      <c r="H70" s="16" t="s">
        <v>4</v>
      </c>
      <c r="I70" s="15"/>
      <c r="J70" s="4"/>
      <c r="K70" s="17"/>
    </row>
    <row r="71" customFormat="false" ht="15" hidden="false" customHeight="false" outlineLevel="0" collapsed="false">
      <c r="A71" s="12" t="s">
        <v>171</v>
      </c>
      <c r="B71" s="12" t="n">
        <v>7</v>
      </c>
      <c r="C71" s="13" t="s">
        <v>164</v>
      </c>
      <c r="D71" s="12" t="s">
        <v>73</v>
      </c>
      <c r="E71" s="13" t="s">
        <v>181</v>
      </c>
      <c r="F71" s="12" t="s">
        <v>307</v>
      </c>
      <c r="G71" s="12" t="s">
        <v>307</v>
      </c>
      <c r="H71" s="16" t="s">
        <v>4</v>
      </c>
      <c r="I71" s="15"/>
      <c r="J71" s="4"/>
      <c r="K71" s="17"/>
    </row>
    <row r="72" customFormat="false" ht="15" hidden="false" customHeight="false" outlineLevel="0" collapsed="false">
      <c r="A72" s="12" t="s">
        <v>182</v>
      </c>
      <c r="B72" s="12" t="n">
        <v>2</v>
      </c>
      <c r="C72" s="13" t="s">
        <v>145</v>
      </c>
      <c r="D72" s="12" t="s">
        <v>184</v>
      </c>
      <c r="E72" s="13" t="s">
        <v>183</v>
      </c>
      <c r="F72" s="12" t="s">
        <v>307</v>
      </c>
      <c r="G72" s="12" t="s">
        <v>307</v>
      </c>
      <c r="H72" s="16" t="s">
        <v>4</v>
      </c>
      <c r="I72" s="15"/>
      <c r="J72" s="4"/>
      <c r="K72" s="17"/>
    </row>
    <row r="73" customFormat="false" ht="15" hidden="false" customHeight="false" outlineLevel="0" collapsed="false">
      <c r="A73" s="12" t="s">
        <v>182</v>
      </c>
      <c r="B73" s="12" t="n">
        <v>3</v>
      </c>
      <c r="C73" s="13" t="s">
        <v>168</v>
      </c>
      <c r="D73" s="12" t="s">
        <v>186</v>
      </c>
      <c r="E73" s="13" t="s">
        <v>185</v>
      </c>
      <c r="F73" s="12" t="s">
        <v>307</v>
      </c>
      <c r="G73" s="12" t="s">
        <v>307</v>
      </c>
      <c r="H73" s="16" t="s">
        <v>4</v>
      </c>
      <c r="I73" s="15"/>
      <c r="J73" s="4"/>
      <c r="K73" s="17"/>
    </row>
    <row r="74" customFormat="false" ht="15" hidden="false" customHeight="false" outlineLevel="0" collapsed="false">
      <c r="A74" s="12" t="s">
        <v>182</v>
      </c>
      <c r="B74" s="12" t="n">
        <v>4</v>
      </c>
      <c r="C74" s="13" t="s">
        <v>168</v>
      </c>
      <c r="D74" s="12" t="s">
        <v>103</v>
      </c>
      <c r="E74" s="13" t="s">
        <v>187</v>
      </c>
      <c r="F74" s="12" t="s">
        <v>307</v>
      </c>
      <c r="G74" s="12" t="s">
        <v>307</v>
      </c>
      <c r="H74" s="16" t="s">
        <v>4</v>
      </c>
      <c r="I74" s="15"/>
      <c r="J74" s="4"/>
      <c r="K74" s="17"/>
    </row>
    <row r="75" customFormat="false" ht="15" hidden="false" customHeight="false" outlineLevel="0" collapsed="false">
      <c r="A75" s="12" t="s">
        <v>182</v>
      </c>
      <c r="B75" s="12" t="n">
        <v>5</v>
      </c>
      <c r="C75" s="13" t="s">
        <v>168</v>
      </c>
      <c r="D75" s="12" t="s">
        <v>55</v>
      </c>
      <c r="E75" s="13" t="s">
        <v>188</v>
      </c>
      <c r="F75" s="12" t="s">
        <v>307</v>
      </c>
      <c r="G75" s="12" t="s">
        <v>307</v>
      </c>
      <c r="H75" s="16" t="s">
        <v>4</v>
      </c>
      <c r="I75" s="15"/>
      <c r="J75" s="4"/>
      <c r="K75" s="17"/>
    </row>
    <row r="76" customFormat="false" ht="15" hidden="false" customHeight="false" outlineLevel="0" collapsed="false">
      <c r="A76" s="12" t="s">
        <v>189</v>
      </c>
      <c r="B76" s="12" t="n">
        <v>2</v>
      </c>
      <c r="C76" s="13" t="s">
        <v>112</v>
      </c>
      <c r="D76" s="12" t="s">
        <v>191</v>
      </c>
      <c r="E76" s="13" t="s">
        <v>190</v>
      </c>
      <c r="F76" s="12" t="s">
        <v>266</v>
      </c>
      <c r="G76" s="12" t="s">
        <v>266</v>
      </c>
      <c r="H76" s="16" t="s">
        <v>4</v>
      </c>
      <c r="I76" s="15"/>
      <c r="J76" s="4"/>
      <c r="K76" s="17"/>
    </row>
    <row r="77" customFormat="false" ht="15" hidden="false" customHeight="false" outlineLevel="0" collapsed="false">
      <c r="A77" s="12" t="s">
        <v>189</v>
      </c>
      <c r="B77" s="12" t="n">
        <v>3</v>
      </c>
      <c r="C77" s="13" t="s">
        <v>192</v>
      </c>
      <c r="D77" s="12" t="s">
        <v>194</v>
      </c>
      <c r="E77" s="13" t="s">
        <v>193</v>
      </c>
      <c r="F77" s="12" t="s">
        <v>266</v>
      </c>
      <c r="G77" s="12" t="s">
        <v>266</v>
      </c>
      <c r="H77" s="16" t="s">
        <v>4</v>
      </c>
      <c r="I77" s="15"/>
      <c r="J77" s="4"/>
      <c r="K77" s="17"/>
    </row>
    <row r="78" customFormat="false" ht="29.85" hidden="false" customHeight="false" outlineLevel="0" collapsed="false">
      <c r="A78" s="12" t="s">
        <v>189</v>
      </c>
      <c r="B78" s="12" t="n">
        <v>4</v>
      </c>
      <c r="C78" s="13" t="s">
        <v>195</v>
      </c>
      <c r="D78" s="12" t="s">
        <v>197</v>
      </c>
      <c r="E78" s="13" t="s">
        <v>196</v>
      </c>
      <c r="F78" s="12" t="s">
        <v>266</v>
      </c>
      <c r="G78" s="12" t="s">
        <v>303</v>
      </c>
      <c r="H78" s="19" t="s">
        <v>304</v>
      </c>
      <c r="I78" s="15"/>
      <c r="J78" s="4" t="s">
        <v>305</v>
      </c>
      <c r="K78" s="17"/>
    </row>
    <row r="79" customFormat="false" ht="29.85" hidden="false" customHeight="false" outlineLevel="0" collapsed="false">
      <c r="A79" s="12" t="s">
        <v>189</v>
      </c>
      <c r="B79" s="12" t="n">
        <v>5</v>
      </c>
      <c r="C79" s="13" t="s">
        <v>195</v>
      </c>
      <c r="D79" s="12" t="s">
        <v>199</v>
      </c>
      <c r="E79" s="13" t="s">
        <v>198</v>
      </c>
      <c r="F79" s="12" t="s">
        <v>266</v>
      </c>
      <c r="G79" s="12" t="s">
        <v>303</v>
      </c>
      <c r="H79" s="19" t="s">
        <v>304</v>
      </c>
      <c r="I79" s="15"/>
      <c r="J79" s="4" t="s">
        <v>305</v>
      </c>
      <c r="K79" s="17"/>
    </row>
    <row r="80" customFormat="false" ht="15" hidden="false" customHeight="false" outlineLevel="0" collapsed="false">
      <c r="A80" s="12" t="s">
        <v>200</v>
      </c>
      <c r="B80" s="12" t="n">
        <v>2</v>
      </c>
      <c r="C80" s="13" t="s">
        <v>67</v>
      </c>
      <c r="D80" s="12" t="s">
        <v>202</v>
      </c>
      <c r="E80" s="13" t="s">
        <v>201</v>
      </c>
      <c r="F80" s="12" t="s">
        <v>266</v>
      </c>
      <c r="G80" s="12" t="s">
        <v>266</v>
      </c>
      <c r="H80" s="16" t="s">
        <v>4</v>
      </c>
      <c r="I80" s="15"/>
      <c r="J80" s="4"/>
      <c r="K80" s="17"/>
    </row>
    <row r="81" customFormat="false" ht="15" hidden="false" customHeight="false" outlineLevel="0" collapsed="false">
      <c r="A81" s="12" t="s">
        <v>200</v>
      </c>
      <c r="B81" s="12" t="n">
        <v>3</v>
      </c>
      <c r="C81" s="13" t="s">
        <v>77</v>
      </c>
      <c r="D81" s="12" t="s">
        <v>204</v>
      </c>
      <c r="E81" s="13" t="s">
        <v>203</v>
      </c>
      <c r="F81" s="12" t="s">
        <v>266</v>
      </c>
      <c r="G81" s="12" t="s">
        <v>266</v>
      </c>
      <c r="H81" s="16" t="s">
        <v>4</v>
      </c>
      <c r="I81" s="15"/>
      <c r="J81" s="4"/>
      <c r="K81" s="17"/>
    </row>
    <row r="82" customFormat="false" ht="15" hidden="false" customHeight="false" outlineLevel="0" collapsed="false">
      <c r="A82" s="12" t="s">
        <v>200</v>
      </c>
      <c r="B82" s="12" t="n">
        <v>4</v>
      </c>
      <c r="C82" s="13" t="s">
        <v>104</v>
      </c>
      <c r="D82" s="12" t="s">
        <v>206</v>
      </c>
      <c r="E82" s="13" t="s">
        <v>205</v>
      </c>
      <c r="F82" s="12" t="s">
        <v>266</v>
      </c>
      <c r="G82" s="12" t="s">
        <v>266</v>
      </c>
      <c r="H82" s="16" t="s">
        <v>4</v>
      </c>
      <c r="I82" s="15"/>
      <c r="J82" s="4"/>
      <c r="K82" s="17"/>
    </row>
    <row r="83" customFormat="false" ht="44" hidden="false" customHeight="false" outlineLevel="0" collapsed="false">
      <c r="A83" s="12" t="s">
        <v>200</v>
      </c>
      <c r="B83" s="12" t="n">
        <v>5</v>
      </c>
      <c r="C83" s="13" t="s">
        <v>151</v>
      </c>
      <c r="D83" s="12" t="s">
        <v>208</v>
      </c>
      <c r="E83" s="13" t="s">
        <v>207</v>
      </c>
      <c r="F83" s="12" t="s">
        <v>306</v>
      </c>
      <c r="G83" s="12" t="s">
        <v>266</v>
      </c>
      <c r="H83" s="19" t="s">
        <v>304</v>
      </c>
      <c r="I83" s="15" t="n">
        <v>279.32127</v>
      </c>
      <c r="J83" s="4" t="s">
        <v>310</v>
      </c>
      <c r="K83" s="17"/>
    </row>
    <row r="84" customFormat="false" ht="15" hidden="false" customHeight="false" outlineLevel="0" collapsed="false">
      <c r="A84" s="12" t="s">
        <v>200</v>
      </c>
      <c r="B84" s="12" t="n">
        <v>6</v>
      </c>
      <c r="C84" s="13" t="s">
        <v>153</v>
      </c>
      <c r="D84" s="12" t="s">
        <v>210</v>
      </c>
      <c r="E84" s="13" t="s">
        <v>209</v>
      </c>
      <c r="F84" s="12" t="s">
        <v>306</v>
      </c>
      <c r="G84" s="12" t="s">
        <v>306</v>
      </c>
      <c r="H84" s="16" t="s">
        <v>4</v>
      </c>
      <c r="I84" s="15"/>
      <c r="J84" s="4"/>
      <c r="K84" s="17"/>
    </row>
    <row r="85" customFormat="false" ht="15" hidden="false" customHeight="false" outlineLevel="0" collapsed="false">
      <c r="A85" s="12" t="s">
        <v>200</v>
      </c>
      <c r="B85" s="12" t="n">
        <v>7</v>
      </c>
      <c r="C85" s="13" t="s">
        <v>211</v>
      </c>
      <c r="D85" s="12" t="s">
        <v>213</v>
      </c>
      <c r="E85" s="13" t="s">
        <v>212</v>
      </c>
      <c r="F85" s="12" t="s">
        <v>306</v>
      </c>
      <c r="G85" s="12" t="s">
        <v>306</v>
      </c>
      <c r="H85" s="16" t="s">
        <v>4</v>
      </c>
      <c r="I85" s="15"/>
      <c r="J85" s="4"/>
      <c r="K85" s="17"/>
    </row>
    <row r="86" customFormat="false" ht="15" hidden="false" customHeight="false" outlineLevel="0" collapsed="false">
      <c r="A86" s="12" t="s">
        <v>214</v>
      </c>
      <c r="B86" s="12" t="n">
        <v>2</v>
      </c>
      <c r="C86" s="13" t="s">
        <v>89</v>
      </c>
      <c r="D86" s="12" t="s">
        <v>216</v>
      </c>
      <c r="E86" s="13" t="s">
        <v>215</v>
      </c>
      <c r="F86" s="12" t="s">
        <v>266</v>
      </c>
      <c r="G86" s="12" t="s">
        <v>266</v>
      </c>
      <c r="H86" s="16" t="s">
        <v>4</v>
      </c>
      <c r="I86" s="15"/>
      <c r="J86" s="4"/>
      <c r="K86" s="17"/>
    </row>
    <row r="87" customFormat="false" ht="15" hidden="false" customHeight="false" outlineLevel="0" collapsed="false">
      <c r="A87" s="12" t="s">
        <v>214</v>
      </c>
      <c r="B87" s="12" t="n">
        <v>3</v>
      </c>
      <c r="C87" s="13" t="s">
        <v>160</v>
      </c>
      <c r="D87" s="12" t="s">
        <v>218</v>
      </c>
      <c r="E87" s="13" t="s">
        <v>217</v>
      </c>
      <c r="F87" s="12" t="s">
        <v>306</v>
      </c>
      <c r="G87" s="12" t="s">
        <v>306</v>
      </c>
      <c r="H87" s="16" t="s">
        <v>4</v>
      </c>
      <c r="I87" s="15"/>
      <c r="J87" s="4"/>
      <c r="K87" s="17"/>
    </row>
    <row r="88" customFormat="false" ht="15" hidden="false" customHeight="false" outlineLevel="0" collapsed="false">
      <c r="A88" s="12" t="s">
        <v>214</v>
      </c>
      <c r="B88" s="12" t="n">
        <v>4</v>
      </c>
      <c r="C88" s="13" t="s">
        <v>153</v>
      </c>
      <c r="D88" s="12" t="s">
        <v>220</v>
      </c>
      <c r="E88" s="13" t="s">
        <v>219</v>
      </c>
      <c r="F88" s="12" t="s">
        <v>306</v>
      </c>
      <c r="G88" s="12" t="s">
        <v>306</v>
      </c>
      <c r="H88" s="16" t="s">
        <v>4</v>
      </c>
      <c r="I88" s="15"/>
      <c r="J88" s="4"/>
      <c r="K88" s="17"/>
    </row>
    <row r="89" customFormat="false" ht="15" hidden="false" customHeight="false" outlineLevel="0" collapsed="false">
      <c r="A89" s="12" t="s">
        <v>221</v>
      </c>
      <c r="B89" s="12" t="n">
        <v>2</v>
      </c>
      <c r="C89" s="13" t="s">
        <v>222</v>
      </c>
      <c r="D89" s="12" t="s">
        <v>224</v>
      </c>
      <c r="E89" s="13" t="s">
        <v>223</v>
      </c>
      <c r="F89" s="12" t="s">
        <v>311</v>
      </c>
      <c r="G89" s="12" t="s">
        <v>266</v>
      </c>
      <c r="H89" s="19" t="s">
        <v>312</v>
      </c>
      <c r="I89" s="15"/>
      <c r="J89" s="4" t="s">
        <v>313</v>
      </c>
      <c r="K89" s="17"/>
    </row>
    <row r="90" customFormat="false" ht="15" hidden="false" customHeight="false" outlineLevel="0" collapsed="false">
      <c r="A90" s="12" t="s">
        <v>221</v>
      </c>
      <c r="B90" s="12" t="n">
        <v>3</v>
      </c>
      <c r="C90" s="13" t="s">
        <v>160</v>
      </c>
      <c r="D90" s="12" t="s">
        <v>226</v>
      </c>
      <c r="E90" s="13" t="s">
        <v>225</v>
      </c>
      <c r="F90" s="12" t="s">
        <v>314</v>
      </c>
      <c r="G90" s="12" t="s">
        <v>315</v>
      </c>
      <c r="H90" s="16" t="s">
        <v>4</v>
      </c>
      <c r="I90" s="15"/>
      <c r="J90" s="4"/>
      <c r="K90" s="17"/>
    </row>
    <row r="91" customFormat="false" ht="15" hidden="false" customHeight="false" outlineLevel="0" collapsed="false">
      <c r="A91" s="12" t="s">
        <v>221</v>
      </c>
      <c r="B91" s="12" t="n">
        <v>4</v>
      </c>
      <c r="C91" s="13" t="s">
        <v>153</v>
      </c>
      <c r="D91" s="12" t="s">
        <v>226</v>
      </c>
      <c r="E91" s="13" t="s">
        <v>227</v>
      </c>
      <c r="F91" s="12" t="s">
        <v>314</v>
      </c>
      <c r="G91" s="12" t="s">
        <v>315</v>
      </c>
      <c r="H91" s="16" t="s">
        <v>4</v>
      </c>
      <c r="I91" s="15"/>
      <c r="J91" s="4"/>
      <c r="K91" s="17"/>
    </row>
    <row r="92" customFormat="false" ht="15" hidden="false" customHeight="false" outlineLevel="0" collapsed="false">
      <c r="A92" s="12" t="s">
        <v>221</v>
      </c>
      <c r="B92" s="12" t="n">
        <v>5</v>
      </c>
      <c r="C92" s="13" t="s">
        <v>153</v>
      </c>
      <c r="D92" s="12" t="s">
        <v>229</v>
      </c>
      <c r="E92" s="13" t="s">
        <v>228</v>
      </c>
      <c r="F92" s="12" t="s">
        <v>314</v>
      </c>
      <c r="G92" s="12" t="s">
        <v>315</v>
      </c>
      <c r="H92" s="16" t="s">
        <v>4</v>
      </c>
      <c r="I92" s="15"/>
      <c r="J92" s="4"/>
      <c r="K92" s="17"/>
    </row>
    <row r="93" customFormat="false" ht="15" hidden="false" customHeight="false" outlineLevel="0" collapsed="false">
      <c r="A93" s="12" t="s">
        <v>221</v>
      </c>
      <c r="B93" s="12" t="n">
        <v>6</v>
      </c>
      <c r="C93" s="13" t="s">
        <v>211</v>
      </c>
      <c r="D93" s="12" t="s">
        <v>231</v>
      </c>
      <c r="E93" s="13" t="s">
        <v>230</v>
      </c>
      <c r="F93" s="12" t="s">
        <v>314</v>
      </c>
      <c r="G93" s="12" t="s">
        <v>315</v>
      </c>
      <c r="H93" s="16" t="s">
        <v>4</v>
      </c>
      <c r="I93" s="15"/>
      <c r="J93" s="4"/>
      <c r="K93" s="17"/>
    </row>
    <row r="94" customFormat="false" ht="15" hidden="false" customHeight="false" outlineLevel="0" collapsed="false">
      <c r="A94" s="12" t="s">
        <v>221</v>
      </c>
      <c r="B94" s="12" t="n">
        <v>7</v>
      </c>
      <c r="C94" s="13" t="s">
        <v>164</v>
      </c>
      <c r="D94" s="12" t="s">
        <v>226</v>
      </c>
      <c r="E94" s="13" t="s">
        <v>232</v>
      </c>
      <c r="F94" s="12" t="s">
        <v>314</v>
      </c>
      <c r="G94" s="12" t="s">
        <v>315</v>
      </c>
      <c r="H94" s="16" t="s">
        <v>4</v>
      </c>
      <c r="I94" s="15"/>
      <c r="J94" s="4"/>
      <c r="K94" s="17"/>
    </row>
    <row r="95" customFormat="false" ht="15" hidden="false" customHeight="false" outlineLevel="0" collapsed="false">
      <c r="A95" s="12" t="s">
        <v>221</v>
      </c>
      <c r="B95" s="12" t="n">
        <v>8</v>
      </c>
      <c r="C95" s="13" t="s">
        <v>164</v>
      </c>
      <c r="D95" s="12" t="s">
        <v>234</v>
      </c>
      <c r="E95" s="13" t="s">
        <v>233</v>
      </c>
      <c r="F95" s="12" t="s">
        <v>314</v>
      </c>
      <c r="G95" s="12" t="s">
        <v>315</v>
      </c>
      <c r="H95" s="16" t="s">
        <v>4</v>
      </c>
      <c r="I95" s="15"/>
      <c r="J95" s="4"/>
      <c r="K95" s="17"/>
    </row>
    <row r="96" customFormat="false" ht="15" hidden="false" customHeight="false" outlineLevel="0" collapsed="false">
      <c r="A96" s="12" t="s">
        <v>221</v>
      </c>
      <c r="B96" s="12" t="n">
        <v>9</v>
      </c>
      <c r="C96" s="13" t="s">
        <v>145</v>
      </c>
      <c r="D96" s="12" t="s">
        <v>236</v>
      </c>
      <c r="E96" s="13" t="s">
        <v>235</v>
      </c>
      <c r="F96" s="12" t="s">
        <v>314</v>
      </c>
      <c r="G96" s="12" t="s">
        <v>315</v>
      </c>
      <c r="H96" s="16" t="s">
        <v>4</v>
      </c>
      <c r="I96" s="15"/>
      <c r="J96" s="4"/>
      <c r="K96" s="17"/>
    </row>
    <row r="97" customFormat="false" ht="29.85" hidden="false" customHeight="false" outlineLevel="0" collapsed="false">
      <c r="A97" s="12" t="s">
        <v>241</v>
      </c>
      <c r="B97" s="12" t="n">
        <v>2</v>
      </c>
      <c r="C97" s="13" t="s">
        <v>192</v>
      </c>
      <c r="D97" s="12" t="s">
        <v>243</v>
      </c>
      <c r="E97" s="13" t="s">
        <v>242</v>
      </c>
      <c r="F97" s="12" t="s">
        <v>303</v>
      </c>
      <c r="G97" s="12" t="s">
        <v>266</v>
      </c>
      <c r="H97" s="19" t="s">
        <v>304</v>
      </c>
      <c r="I97" s="15"/>
      <c r="J97" s="4" t="s">
        <v>305</v>
      </c>
      <c r="K97" s="17"/>
    </row>
    <row r="98" customFormat="false" ht="15" hidden="false" customHeight="false" outlineLevel="0" collapsed="false">
      <c r="A98" s="12" t="s">
        <v>241</v>
      </c>
      <c r="B98" s="12" t="n">
        <v>3</v>
      </c>
      <c r="C98" s="13" t="s">
        <v>136</v>
      </c>
      <c r="D98" s="12" t="s">
        <v>246</v>
      </c>
      <c r="E98" s="13" t="s">
        <v>245</v>
      </c>
      <c r="F98" s="12" t="s">
        <v>306</v>
      </c>
      <c r="G98" s="12" t="s">
        <v>306</v>
      </c>
      <c r="H98" s="16" t="s">
        <v>4</v>
      </c>
      <c r="I98" s="15"/>
      <c r="J98" s="4"/>
      <c r="K98" s="17"/>
    </row>
    <row r="99" customFormat="false" ht="15" hidden="false" customHeight="false" outlineLevel="0" collapsed="false">
      <c r="A99" s="12" t="s">
        <v>241</v>
      </c>
      <c r="B99" s="12" t="n">
        <v>4</v>
      </c>
      <c r="C99" s="13" t="s">
        <v>211</v>
      </c>
      <c r="D99" s="12" t="s">
        <v>248</v>
      </c>
      <c r="E99" s="13" t="s">
        <v>247</v>
      </c>
      <c r="F99" s="12" t="s">
        <v>306</v>
      </c>
      <c r="G99" s="12" t="s">
        <v>306</v>
      </c>
      <c r="H99" s="16" t="s">
        <v>4</v>
      </c>
      <c r="I99" s="15"/>
      <c r="J99" s="4"/>
      <c r="K99" s="17"/>
    </row>
    <row r="100" customFormat="false" ht="15" hidden="false" customHeight="false" outlineLevel="0" collapsed="false">
      <c r="A100" s="12" t="s">
        <v>241</v>
      </c>
      <c r="B100" s="12" t="n">
        <v>5</v>
      </c>
      <c r="C100" s="13" t="s">
        <v>145</v>
      </c>
      <c r="D100" s="12" t="s">
        <v>250</v>
      </c>
      <c r="E100" s="13" t="s">
        <v>249</v>
      </c>
      <c r="F100" s="12" t="s">
        <v>314</v>
      </c>
      <c r="G100" s="12" t="s">
        <v>316</v>
      </c>
      <c r="H100" s="16" t="s">
        <v>4</v>
      </c>
      <c r="I100" s="15"/>
      <c r="J100" s="4"/>
      <c r="K100" s="17"/>
    </row>
    <row r="101" customFormat="false" ht="15" hidden="false" customHeight="false" outlineLevel="0" collapsed="false">
      <c r="A101" s="12" t="s">
        <v>251</v>
      </c>
      <c r="B101" s="12" t="n">
        <v>2</v>
      </c>
      <c r="C101" s="13" t="s">
        <v>104</v>
      </c>
      <c r="D101" s="12" t="s">
        <v>253</v>
      </c>
      <c r="E101" s="13" t="s">
        <v>252</v>
      </c>
      <c r="F101" s="12" t="s">
        <v>266</v>
      </c>
      <c r="G101" s="12" t="s">
        <v>266</v>
      </c>
      <c r="H101" s="16" t="s">
        <v>4</v>
      </c>
      <c r="I101" s="15"/>
      <c r="J101" s="4"/>
      <c r="K101" s="17"/>
    </row>
    <row r="102" customFormat="false" ht="44" hidden="false" customHeight="false" outlineLevel="0" collapsed="false">
      <c r="A102" s="12" t="s">
        <v>254</v>
      </c>
      <c r="B102" s="12" t="n">
        <v>2</v>
      </c>
      <c r="C102" s="13" t="s">
        <v>195</v>
      </c>
      <c r="D102" s="12" t="s">
        <v>256</v>
      </c>
      <c r="E102" s="13" t="s">
        <v>255</v>
      </c>
      <c r="F102" s="12" t="s">
        <v>306</v>
      </c>
      <c r="G102" s="12" t="s">
        <v>303</v>
      </c>
      <c r="H102" s="19" t="s">
        <v>304</v>
      </c>
      <c r="I102" s="15" t="n">
        <v>266.05512</v>
      </c>
      <c r="J102" s="4" t="s">
        <v>317</v>
      </c>
      <c r="K102" s="17"/>
    </row>
  </sheetData>
  <autoFilter ref="A1:K102"/>
  <dataValidations count="1">
    <dataValidation allowBlank="true" errorStyle="stop" operator="between" showDropDown="false" showErrorMessage="false" showInputMessage="false" sqref="K2:K102" type="list">
      <formula1>"俊兴,益周,煌烽,反向-闫东朋,反向-尹鹏飞,自带票"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5"/>
    <col collapsed="false" customWidth="true" hidden="false" outlineLevel="0" max="3" min="3" style="0" width="10"/>
    <col collapsed="false" customWidth="true" hidden="false" outlineLevel="0" max="4" min="4" style="0" width="20"/>
    <col collapsed="false" customWidth="true" hidden="false" outlineLevel="0" max="6" min="5" style="0" width="9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10" min="9" style="0" width="12"/>
    <col collapsed="false" customWidth="true" hidden="false" outlineLevel="0" max="11" min="11" style="0" width="58"/>
    <col collapsed="false" customWidth="true" hidden="false" outlineLevel="0" max="12" min="12" style="0" width="16"/>
  </cols>
  <sheetData>
    <row r="1" customFormat="false" ht="31.5" hidden="false" customHeight="true" outlineLevel="0" collapsed="false">
      <c r="A1" s="3" t="s">
        <v>40</v>
      </c>
      <c r="B1" s="3" t="s">
        <v>41</v>
      </c>
      <c r="C1" s="3" t="s">
        <v>42</v>
      </c>
      <c r="D1" s="3" t="s">
        <v>45</v>
      </c>
      <c r="E1" s="3" t="s">
        <v>11</v>
      </c>
      <c r="F1" s="3" t="s">
        <v>318</v>
      </c>
      <c r="G1" s="3" t="s">
        <v>319</v>
      </c>
      <c r="H1" s="3" t="s">
        <v>261</v>
      </c>
      <c r="I1" s="3" t="s">
        <v>320</v>
      </c>
      <c r="J1" s="3" t="s">
        <v>321</v>
      </c>
      <c r="K1" s="3" t="s">
        <v>6</v>
      </c>
      <c r="L1" s="3" t="s">
        <v>322</v>
      </c>
    </row>
    <row r="2" customFormat="false" ht="15" hidden="false" customHeight="false" outlineLevel="0" collapsed="false">
      <c r="A2" s="12" t="s">
        <v>52</v>
      </c>
      <c r="B2" s="12" t="n">
        <v>2</v>
      </c>
      <c r="C2" s="13" t="s">
        <v>53</v>
      </c>
      <c r="D2" s="12" t="s">
        <v>55</v>
      </c>
      <c r="E2" s="13" t="s">
        <v>54</v>
      </c>
      <c r="F2" s="12" t="s">
        <v>323</v>
      </c>
      <c r="G2" s="12" t="s">
        <v>323</v>
      </c>
      <c r="H2" s="16" t="s">
        <v>4</v>
      </c>
      <c r="I2" s="15" t="n">
        <v>482.768899999984</v>
      </c>
      <c r="J2" s="15" t="n">
        <v>482.316899999994</v>
      </c>
      <c r="K2" s="4"/>
      <c r="L2" s="17"/>
    </row>
    <row r="3" customFormat="false" ht="15" hidden="false" customHeight="false" outlineLevel="0" collapsed="false">
      <c r="A3" s="12" t="s">
        <v>52</v>
      </c>
      <c r="B3" s="12" t="n">
        <v>3</v>
      </c>
      <c r="C3" s="13" t="s">
        <v>56</v>
      </c>
      <c r="D3" s="12" t="s">
        <v>58</v>
      </c>
      <c r="E3" s="13" t="s">
        <v>57</v>
      </c>
      <c r="F3" s="12" t="s">
        <v>323</v>
      </c>
      <c r="G3" s="12" t="s">
        <v>323</v>
      </c>
      <c r="H3" s="16" t="s">
        <v>4</v>
      </c>
      <c r="I3" s="15" t="n">
        <v>252.51400000001</v>
      </c>
      <c r="J3" s="15" t="n">
        <v>252.474000000017</v>
      </c>
      <c r="K3" s="4"/>
      <c r="L3" s="17"/>
    </row>
    <row r="4" customFormat="false" ht="15" hidden="false" customHeight="false" outlineLevel="0" collapsed="false">
      <c r="A4" s="12" t="s">
        <v>52</v>
      </c>
      <c r="B4" s="12" t="n">
        <v>4</v>
      </c>
      <c r="C4" s="13" t="s">
        <v>59</v>
      </c>
      <c r="D4" s="12" t="s">
        <v>55</v>
      </c>
      <c r="E4" s="13" t="s">
        <v>60</v>
      </c>
      <c r="F4" s="12" t="s">
        <v>323</v>
      </c>
      <c r="G4" s="12" t="s">
        <v>323</v>
      </c>
      <c r="H4" s="16" t="s">
        <v>4</v>
      </c>
      <c r="I4" s="15" t="n">
        <v>608.153800000006</v>
      </c>
      <c r="J4" s="15" t="n">
        <v>609.105800000025</v>
      </c>
      <c r="K4" s="4"/>
      <c r="L4" s="17"/>
    </row>
    <row r="5" customFormat="false" ht="15" hidden="false" customHeight="false" outlineLevel="0" collapsed="false">
      <c r="A5" s="12" t="s">
        <v>52</v>
      </c>
      <c r="B5" s="12" t="n">
        <v>5</v>
      </c>
      <c r="C5" s="13" t="s">
        <v>59</v>
      </c>
      <c r="D5" s="12" t="s">
        <v>62</v>
      </c>
      <c r="E5" s="13" t="s">
        <v>61</v>
      </c>
      <c r="F5" s="12" t="s">
        <v>323</v>
      </c>
      <c r="G5" s="12" t="s">
        <v>323</v>
      </c>
      <c r="H5" s="16" t="s">
        <v>4</v>
      </c>
      <c r="I5" s="15" t="n">
        <v>238.723799999998</v>
      </c>
      <c r="J5" s="15" t="n">
        <v>420.139800000007</v>
      </c>
      <c r="K5" s="4"/>
      <c r="L5" s="17"/>
    </row>
    <row r="6" customFormat="false" ht="15" hidden="false" customHeight="false" outlineLevel="0" collapsed="false">
      <c r="A6" s="12" t="s">
        <v>52</v>
      </c>
      <c r="B6" s="12" t="n">
        <v>6</v>
      </c>
      <c r="C6" s="13" t="s">
        <v>59</v>
      </c>
      <c r="D6" s="12" t="s">
        <v>64</v>
      </c>
      <c r="E6" s="13" t="s">
        <v>63</v>
      </c>
      <c r="F6" s="12" t="s">
        <v>323</v>
      </c>
      <c r="G6" s="12" t="s">
        <v>323</v>
      </c>
      <c r="H6" s="16" t="s">
        <v>4</v>
      </c>
      <c r="I6" s="15" t="n">
        <v>215.957699999993</v>
      </c>
      <c r="J6" s="15" t="n">
        <v>380.6217</v>
      </c>
      <c r="K6" s="4"/>
      <c r="L6" s="17"/>
    </row>
    <row r="7" customFormat="false" ht="15" hidden="false" customHeight="false" outlineLevel="0" collapsed="false">
      <c r="A7" s="12" t="s">
        <v>52</v>
      </c>
      <c r="B7" s="12" t="n">
        <v>7</v>
      </c>
      <c r="C7" s="13" t="s">
        <v>59</v>
      </c>
      <c r="D7" s="12" t="s">
        <v>66</v>
      </c>
      <c r="E7" s="13" t="s">
        <v>65</v>
      </c>
      <c r="F7" s="12" t="s">
        <v>323</v>
      </c>
      <c r="G7" s="12" t="s">
        <v>323</v>
      </c>
      <c r="H7" s="16" t="s">
        <v>4</v>
      </c>
      <c r="I7" s="15" t="n">
        <v>175.736749999995</v>
      </c>
      <c r="J7" s="15" t="n">
        <v>175.629950000001</v>
      </c>
      <c r="K7" s="4"/>
      <c r="L7" s="17"/>
    </row>
    <row r="8" customFormat="false" ht="15" hidden="false" customHeight="false" outlineLevel="0" collapsed="false">
      <c r="A8" s="12" t="s">
        <v>52</v>
      </c>
      <c r="B8" s="12" t="n">
        <v>8</v>
      </c>
      <c r="C8" s="13" t="s">
        <v>67</v>
      </c>
      <c r="D8" s="12" t="s">
        <v>55</v>
      </c>
      <c r="E8" s="13" t="s">
        <v>68</v>
      </c>
      <c r="F8" s="12" t="s">
        <v>323</v>
      </c>
      <c r="G8" s="12" t="s">
        <v>323</v>
      </c>
      <c r="H8" s="16" t="s">
        <v>4</v>
      </c>
      <c r="I8" s="15" t="n">
        <v>455.872499999998</v>
      </c>
      <c r="J8" s="15" t="n">
        <v>455.572500000009</v>
      </c>
      <c r="K8" s="4"/>
      <c r="L8" s="17"/>
    </row>
    <row r="9" customFormat="false" ht="15" hidden="false" customHeight="false" outlineLevel="0" collapsed="false">
      <c r="A9" s="12" t="s">
        <v>52</v>
      </c>
      <c r="B9" s="12" t="n">
        <v>9</v>
      </c>
      <c r="C9" s="13" t="s">
        <v>67</v>
      </c>
      <c r="D9" s="12" t="s">
        <v>70</v>
      </c>
      <c r="E9" s="13" t="s">
        <v>69</v>
      </c>
      <c r="F9" s="12" t="s">
        <v>323</v>
      </c>
      <c r="G9" s="12" t="s">
        <v>323</v>
      </c>
      <c r="H9" s="16" t="s">
        <v>4</v>
      </c>
      <c r="I9" s="15" t="n">
        <v>224.699199999997</v>
      </c>
      <c r="J9" s="15" t="n">
        <v>395.643199999988</v>
      </c>
      <c r="K9" s="4"/>
      <c r="L9" s="17"/>
    </row>
    <row r="10" customFormat="false" ht="15" hidden="false" customHeight="false" outlineLevel="0" collapsed="false">
      <c r="A10" s="12" t="s">
        <v>52</v>
      </c>
      <c r="B10" s="12" t="n">
        <v>10</v>
      </c>
      <c r="C10" s="13" t="s">
        <v>71</v>
      </c>
      <c r="D10" s="12" t="s">
        <v>73</v>
      </c>
      <c r="E10" s="13" t="s">
        <v>72</v>
      </c>
      <c r="F10" s="12" t="s">
        <v>323</v>
      </c>
      <c r="G10" s="12" t="s">
        <v>323</v>
      </c>
      <c r="H10" s="16" t="s">
        <v>4</v>
      </c>
      <c r="I10" s="15" t="n">
        <v>524.184999999998</v>
      </c>
      <c r="J10" s="15" t="n">
        <v>523.665000000008</v>
      </c>
      <c r="K10" s="4"/>
      <c r="L10" s="17"/>
    </row>
    <row r="11" customFormat="false" ht="15" hidden="false" customHeight="false" outlineLevel="0" collapsed="false">
      <c r="A11" s="12" t="s">
        <v>52</v>
      </c>
      <c r="B11" s="12" t="n">
        <v>11</v>
      </c>
      <c r="C11" s="13" t="s">
        <v>74</v>
      </c>
      <c r="D11" s="12" t="s">
        <v>76</v>
      </c>
      <c r="E11" s="13" t="s">
        <v>75</v>
      </c>
      <c r="F11" s="12" t="s">
        <v>323</v>
      </c>
      <c r="G11" s="12" t="s">
        <v>323</v>
      </c>
      <c r="H11" s="16" t="s">
        <v>4</v>
      </c>
      <c r="I11" s="15" t="n">
        <v>3978.13579999995</v>
      </c>
      <c r="J11" s="15" t="n">
        <v>9581.37040000013</v>
      </c>
      <c r="K11" s="4"/>
      <c r="L11" s="17"/>
    </row>
    <row r="12" customFormat="false" ht="15" hidden="false" customHeight="false" outlineLevel="0" collapsed="false">
      <c r="A12" s="12" t="s">
        <v>52</v>
      </c>
      <c r="B12" s="12" t="n">
        <v>12</v>
      </c>
      <c r="C12" s="13" t="s">
        <v>77</v>
      </c>
      <c r="D12" s="12" t="s">
        <v>81</v>
      </c>
      <c r="E12" s="13" t="s">
        <v>80</v>
      </c>
      <c r="F12" s="12" t="s">
        <v>323</v>
      </c>
      <c r="G12" s="12" t="s">
        <v>323</v>
      </c>
      <c r="H12" s="16" t="s">
        <v>4</v>
      </c>
      <c r="I12" s="15" t="n">
        <v>270.714350000006</v>
      </c>
      <c r="J12" s="15" t="n">
        <v>471.360349999994</v>
      </c>
      <c r="K12" s="4"/>
      <c r="L12" s="17"/>
    </row>
    <row r="13" customFormat="false" ht="15" hidden="false" customHeight="false" outlineLevel="0" collapsed="false">
      <c r="A13" s="12" t="s">
        <v>52</v>
      </c>
      <c r="B13" s="12" t="n">
        <v>13</v>
      </c>
      <c r="C13" s="13" t="s">
        <v>77</v>
      </c>
      <c r="D13" s="12" t="s">
        <v>58</v>
      </c>
      <c r="E13" s="13" t="s">
        <v>82</v>
      </c>
      <c r="F13" s="12" t="s">
        <v>323</v>
      </c>
      <c r="G13" s="12" t="s">
        <v>323</v>
      </c>
      <c r="H13" s="16" t="s">
        <v>4</v>
      </c>
      <c r="I13" s="15" t="n">
        <v>253.724000000002</v>
      </c>
      <c r="J13" s="15" t="n">
        <v>424.634000000006</v>
      </c>
      <c r="K13" s="4"/>
      <c r="L13" s="17"/>
    </row>
    <row r="14" customFormat="false" ht="15" hidden="false" customHeight="false" outlineLevel="0" collapsed="false">
      <c r="A14" s="12" t="s">
        <v>52</v>
      </c>
      <c r="B14" s="12" t="n">
        <v>14</v>
      </c>
      <c r="C14" s="13" t="s">
        <v>77</v>
      </c>
      <c r="D14" s="12" t="s">
        <v>84</v>
      </c>
      <c r="E14" s="13" t="s">
        <v>83</v>
      </c>
      <c r="F14" s="12" t="s">
        <v>323</v>
      </c>
      <c r="G14" s="12" t="s">
        <v>323</v>
      </c>
      <c r="H14" s="16" t="s">
        <v>4</v>
      </c>
      <c r="I14" s="15" t="n">
        <v>236.694000000003</v>
      </c>
      <c r="J14" s="15" t="n">
        <v>396.77900000001</v>
      </c>
      <c r="K14" s="4"/>
      <c r="L14" s="17"/>
    </row>
    <row r="15" customFormat="false" ht="15" hidden="false" customHeight="false" outlineLevel="0" collapsed="false">
      <c r="A15" s="12" t="s">
        <v>52</v>
      </c>
      <c r="B15" s="12" t="n">
        <v>15</v>
      </c>
      <c r="C15" s="13" t="s">
        <v>77</v>
      </c>
      <c r="D15" s="12" t="s">
        <v>86</v>
      </c>
      <c r="E15" s="13" t="s">
        <v>85</v>
      </c>
      <c r="F15" s="12" t="s">
        <v>323</v>
      </c>
      <c r="G15" s="12" t="s">
        <v>323</v>
      </c>
      <c r="H15" s="16" t="s">
        <v>4</v>
      </c>
      <c r="I15" s="15" t="n">
        <v>204.377949999999</v>
      </c>
      <c r="J15" s="15" t="n">
        <v>246.337550000002</v>
      </c>
      <c r="K15" s="4"/>
      <c r="L15" s="17"/>
    </row>
    <row r="16" customFormat="false" ht="15" hidden="false" customHeight="false" outlineLevel="0" collapsed="false">
      <c r="A16" s="12" t="s">
        <v>52</v>
      </c>
      <c r="B16" s="12" t="n">
        <v>16</v>
      </c>
      <c r="C16" s="13" t="s">
        <v>77</v>
      </c>
      <c r="D16" s="12" t="s">
        <v>88</v>
      </c>
      <c r="E16" s="13" t="s">
        <v>87</v>
      </c>
      <c r="F16" s="12" t="s">
        <v>323</v>
      </c>
      <c r="G16" s="12" t="s">
        <v>323</v>
      </c>
      <c r="H16" s="16" t="s">
        <v>4</v>
      </c>
      <c r="I16" s="15" t="n">
        <v>344.059899999996</v>
      </c>
      <c r="J16" s="15" t="n">
        <v>585.639900000003</v>
      </c>
      <c r="K16" s="4"/>
      <c r="L16" s="17"/>
    </row>
    <row r="17" customFormat="false" ht="15" hidden="false" customHeight="false" outlineLevel="0" collapsed="false">
      <c r="A17" s="12" t="s">
        <v>52</v>
      </c>
      <c r="B17" s="12" t="n">
        <v>17</v>
      </c>
      <c r="C17" s="13" t="s">
        <v>89</v>
      </c>
      <c r="D17" s="12" t="s">
        <v>91</v>
      </c>
      <c r="E17" s="13" t="s">
        <v>90</v>
      </c>
      <c r="F17" s="12" t="s">
        <v>323</v>
      </c>
      <c r="G17" s="12" t="s">
        <v>323</v>
      </c>
      <c r="H17" s="16" t="s">
        <v>4</v>
      </c>
      <c r="I17" s="15" t="n">
        <v>557.88949999999</v>
      </c>
      <c r="J17" s="15" t="n">
        <v>966.829499999993</v>
      </c>
      <c r="K17" s="4"/>
      <c r="L17" s="17"/>
    </row>
    <row r="18" customFormat="false" ht="15" hidden="false" customHeight="false" outlineLevel="0" collapsed="false">
      <c r="A18" s="12" t="s">
        <v>52</v>
      </c>
      <c r="B18" s="12" t="n">
        <v>18</v>
      </c>
      <c r="C18" s="13" t="s">
        <v>89</v>
      </c>
      <c r="D18" s="12" t="s">
        <v>93</v>
      </c>
      <c r="E18" s="13" t="s">
        <v>92</v>
      </c>
      <c r="F18" s="12" t="s">
        <v>323</v>
      </c>
      <c r="G18" s="12" t="s">
        <v>323</v>
      </c>
      <c r="H18" s="16" t="s">
        <v>4</v>
      </c>
      <c r="I18" s="15" t="n">
        <v>131.864599999998</v>
      </c>
      <c r="J18" s="15" t="n">
        <v>224.184599999999</v>
      </c>
      <c r="K18" s="4"/>
      <c r="L18" s="17"/>
    </row>
    <row r="19" customFormat="false" ht="15" hidden="false" customHeight="false" outlineLevel="0" collapsed="false">
      <c r="A19" s="12" t="s">
        <v>52</v>
      </c>
      <c r="B19" s="12" t="n">
        <v>19</v>
      </c>
      <c r="C19" s="13" t="s">
        <v>89</v>
      </c>
      <c r="D19" s="12" t="s">
        <v>73</v>
      </c>
      <c r="E19" s="13" t="s">
        <v>94</v>
      </c>
      <c r="F19" s="12" t="s">
        <v>323</v>
      </c>
      <c r="G19" s="12" t="s">
        <v>323</v>
      </c>
      <c r="H19" s="16" t="s">
        <v>4</v>
      </c>
      <c r="I19" s="15" t="n">
        <v>256.770999999993</v>
      </c>
      <c r="J19" s="15" t="n">
        <v>447.130999999994</v>
      </c>
      <c r="K19" s="4"/>
      <c r="L19" s="17"/>
    </row>
    <row r="20" customFormat="false" ht="15" hidden="false" customHeight="false" outlineLevel="0" collapsed="false">
      <c r="A20" s="12" t="s">
        <v>52</v>
      </c>
      <c r="B20" s="12" t="n">
        <v>20</v>
      </c>
      <c r="C20" s="13" t="s">
        <v>89</v>
      </c>
      <c r="D20" s="12" t="s">
        <v>58</v>
      </c>
      <c r="E20" s="13" t="s">
        <v>95</v>
      </c>
      <c r="F20" s="12" t="s">
        <v>323</v>
      </c>
      <c r="G20" s="12" t="s">
        <v>323</v>
      </c>
      <c r="H20" s="16" t="s">
        <v>4</v>
      </c>
      <c r="I20" s="15" t="n">
        <v>381.345900000003</v>
      </c>
      <c r="J20" s="15" t="n">
        <v>656.917900000009</v>
      </c>
      <c r="K20" s="4"/>
      <c r="L20" s="17"/>
    </row>
    <row r="21" customFormat="false" ht="15" hidden="false" customHeight="false" outlineLevel="0" collapsed="false">
      <c r="A21" s="12" t="s">
        <v>52</v>
      </c>
      <c r="B21" s="12" t="n">
        <v>21</v>
      </c>
      <c r="C21" s="13" t="s">
        <v>89</v>
      </c>
      <c r="D21" s="12" t="s">
        <v>55</v>
      </c>
      <c r="E21" s="13" t="s">
        <v>96</v>
      </c>
      <c r="F21" s="12" t="s">
        <v>323</v>
      </c>
      <c r="G21" s="12" t="s">
        <v>323</v>
      </c>
      <c r="H21" s="16" t="s">
        <v>4</v>
      </c>
      <c r="I21" s="15" t="n">
        <v>457.72699999999</v>
      </c>
      <c r="J21" s="15" t="n">
        <v>773.394199999998</v>
      </c>
      <c r="K21" s="4"/>
      <c r="L21" s="17"/>
    </row>
    <row r="22" customFormat="false" ht="15" hidden="false" customHeight="false" outlineLevel="0" collapsed="false">
      <c r="A22" s="12" t="s">
        <v>52</v>
      </c>
      <c r="B22" s="12" t="n">
        <v>22</v>
      </c>
      <c r="C22" s="13" t="s">
        <v>89</v>
      </c>
      <c r="D22" s="12" t="s">
        <v>66</v>
      </c>
      <c r="E22" s="13" t="s">
        <v>97</v>
      </c>
      <c r="F22" s="12" t="s">
        <v>323</v>
      </c>
      <c r="G22" s="12" t="s">
        <v>323</v>
      </c>
      <c r="H22" s="16" t="s">
        <v>4</v>
      </c>
      <c r="I22" s="15" t="n">
        <v>199.290100000003</v>
      </c>
      <c r="J22" s="15" t="n">
        <v>334.942099999999</v>
      </c>
      <c r="K22" s="4"/>
      <c r="L22" s="17"/>
    </row>
    <row r="23" customFormat="false" ht="15" hidden="false" customHeight="false" outlineLevel="0" collapsed="false">
      <c r="A23" s="12" t="s">
        <v>52</v>
      </c>
      <c r="B23" s="12" t="n">
        <v>23</v>
      </c>
      <c r="C23" s="13" t="s">
        <v>89</v>
      </c>
      <c r="D23" s="12" t="s">
        <v>84</v>
      </c>
      <c r="E23" s="13" t="s">
        <v>98</v>
      </c>
      <c r="F23" s="12" t="s">
        <v>323</v>
      </c>
      <c r="G23" s="12" t="s">
        <v>323</v>
      </c>
      <c r="H23" s="16" t="s">
        <v>4</v>
      </c>
      <c r="I23" s="15" t="n">
        <v>250.225100000008</v>
      </c>
      <c r="J23" s="15" t="n">
        <v>421.077100000001</v>
      </c>
      <c r="K23" s="4"/>
      <c r="L23" s="17"/>
    </row>
    <row r="24" customFormat="false" ht="15" hidden="false" customHeight="false" outlineLevel="0" collapsed="false">
      <c r="A24" s="12" t="s">
        <v>52</v>
      </c>
      <c r="B24" s="12" t="n">
        <v>24</v>
      </c>
      <c r="C24" s="13" t="s">
        <v>89</v>
      </c>
      <c r="D24" s="12" t="s">
        <v>73</v>
      </c>
      <c r="E24" s="13" t="s">
        <v>99</v>
      </c>
      <c r="F24" s="12" t="s">
        <v>323</v>
      </c>
      <c r="G24" s="12" t="s">
        <v>323</v>
      </c>
      <c r="H24" s="16" t="s">
        <v>4</v>
      </c>
      <c r="I24" s="15" t="n">
        <v>428.399000000005</v>
      </c>
      <c r="J24" s="15" t="n">
        <v>766.479000000007</v>
      </c>
      <c r="K24" s="4"/>
      <c r="L24" s="17"/>
    </row>
    <row r="25" customFormat="false" ht="15" hidden="false" customHeight="false" outlineLevel="0" collapsed="false">
      <c r="A25" s="12" t="s">
        <v>52</v>
      </c>
      <c r="B25" s="12" t="n">
        <v>25</v>
      </c>
      <c r="C25" s="13" t="s">
        <v>89</v>
      </c>
      <c r="D25" s="12" t="s">
        <v>101</v>
      </c>
      <c r="E25" s="13" t="s">
        <v>100</v>
      </c>
      <c r="F25" s="12" t="s">
        <v>323</v>
      </c>
      <c r="G25" s="12" t="s">
        <v>323</v>
      </c>
      <c r="H25" s="16" t="s">
        <v>4</v>
      </c>
      <c r="I25" s="15" t="n">
        <v>231.334599999999</v>
      </c>
      <c r="J25" s="15" t="n">
        <v>393.6546</v>
      </c>
      <c r="K25" s="4"/>
      <c r="L25" s="17"/>
    </row>
    <row r="26" customFormat="false" ht="15" hidden="false" customHeight="false" outlineLevel="0" collapsed="false">
      <c r="A26" s="12" t="s">
        <v>52</v>
      </c>
      <c r="B26" s="12" t="n">
        <v>26</v>
      </c>
      <c r="C26" s="13" t="s">
        <v>89</v>
      </c>
      <c r="D26" s="12" t="s">
        <v>103</v>
      </c>
      <c r="E26" s="13" t="s">
        <v>102</v>
      </c>
      <c r="F26" s="12" t="s">
        <v>323</v>
      </c>
      <c r="G26" s="12" t="s">
        <v>323</v>
      </c>
      <c r="H26" s="16" t="s">
        <v>4</v>
      </c>
      <c r="I26" s="15" t="n">
        <v>215.229999999996</v>
      </c>
      <c r="J26" s="15" t="n">
        <v>359.889999999999</v>
      </c>
      <c r="K26" s="4"/>
      <c r="L26" s="17"/>
    </row>
    <row r="27" customFormat="false" ht="15" hidden="false" customHeight="false" outlineLevel="0" collapsed="false">
      <c r="A27" s="12" t="s">
        <v>52</v>
      </c>
      <c r="B27" s="12" t="n">
        <v>27</v>
      </c>
      <c r="C27" s="13" t="s">
        <v>104</v>
      </c>
      <c r="D27" s="12" t="s">
        <v>55</v>
      </c>
      <c r="E27" s="13" t="s">
        <v>105</v>
      </c>
      <c r="F27" s="12" t="s">
        <v>323</v>
      </c>
      <c r="G27" s="12" t="s">
        <v>323</v>
      </c>
      <c r="H27" s="16" t="s">
        <v>4</v>
      </c>
      <c r="I27" s="15" t="n">
        <v>623.506800000009</v>
      </c>
      <c r="J27" s="15" t="n">
        <v>1029.61080000001</v>
      </c>
      <c r="K27" s="4"/>
      <c r="L27" s="17"/>
    </row>
    <row r="28" customFormat="false" ht="15" hidden="false" customHeight="false" outlineLevel="0" collapsed="false">
      <c r="A28" s="12" t="s">
        <v>52</v>
      </c>
      <c r="B28" s="12" t="n">
        <v>28</v>
      </c>
      <c r="C28" s="13" t="s">
        <v>104</v>
      </c>
      <c r="D28" s="12" t="s">
        <v>88</v>
      </c>
      <c r="E28" s="13" t="s">
        <v>106</v>
      </c>
      <c r="F28" s="12" t="s">
        <v>323</v>
      </c>
      <c r="G28" s="12" t="s">
        <v>323</v>
      </c>
      <c r="H28" s="16" t="s">
        <v>4</v>
      </c>
      <c r="I28" s="15" t="n">
        <v>346.368749999994</v>
      </c>
      <c r="J28" s="15" t="n">
        <v>590.118749999994</v>
      </c>
      <c r="K28" s="4"/>
      <c r="L28" s="17"/>
    </row>
    <row r="29" customFormat="false" ht="15" hidden="false" customHeight="false" outlineLevel="0" collapsed="false">
      <c r="A29" s="12" t="s">
        <v>52</v>
      </c>
      <c r="B29" s="12" t="n">
        <v>29</v>
      </c>
      <c r="C29" s="13" t="s">
        <v>104</v>
      </c>
      <c r="D29" s="12" t="s">
        <v>73</v>
      </c>
      <c r="E29" s="13" t="s">
        <v>269</v>
      </c>
      <c r="F29" s="12" t="s">
        <v>323</v>
      </c>
      <c r="G29" s="12" t="s">
        <v>323</v>
      </c>
      <c r="H29" s="16" t="s">
        <v>4</v>
      </c>
      <c r="I29" s="15"/>
      <c r="J29" s="15" t="n">
        <v>1008.35039999999</v>
      </c>
      <c r="K29" s="4"/>
      <c r="L29" s="17"/>
    </row>
    <row r="30" customFormat="false" ht="15" hidden="false" customHeight="false" outlineLevel="0" collapsed="false">
      <c r="A30" s="12" t="s">
        <v>52</v>
      </c>
      <c r="B30" s="12" t="n">
        <v>29</v>
      </c>
      <c r="C30" s="13" t="s">
        <v>104</v>
      </c>
      <c r="D30" s="12" t="s">
        <v>103</v>
      </c>
      <c r="E30" s="13" t="s">
        <v>271</v>
      </c>
      <c r="F30" s="12" t="s">
        <v>323</v>
      </c>
      <c r="G30" s="12" t="s">
        <v>323</v>
      </c>
      <c r="H30" s="16" t="s">
        <v>4</v>
      </c>
      <c r="I30" s="15"/>
      <c r="J30" s="15" t="n">
        <v>346.099999999999</v>
      </c>
      <c r="K30" s="4"/>
      <c r="L30" s="17"/>
    </row>
    <row r="31" customFormat="false" ht="15" hidden="false" customHeight="false" outlineLevel="0" collapsed="false">
      <c r="A31" s="12" t="s">
        <v>52</v>
      </c>
      <c r="B31" s="12" t="n">
        <v>30</v>
      </c>
      <c r="C31" s="13" t="s">
        <v>104</v>
      </c>
      <c r="D31" s="12" t="s">
        <v>55</v>
      </c>
      <c r="E31" s="13" t="s">
        <v>111</v>
      </c>
      <c r="F31" s="12" t="s">
        <v>323</v>
      </c>
      <c r="G31" s="12" t="s">
        <v>323</v>
      </c>
      <c r="H31" s="16" t="s">
        <v>4</v>
      </c>
      <c r="I31" s="15" t="n">
        <v>417.492299999989</v>
      </c>
      <c r="J31" s="15" t="n">
        <v>746.808299999993</v>
      </c>
      <c r="K31" s="4"/>
      <c r="L31" s="17"/>
    </row>
    <row r="32" customFormat="false" ht="15" hidden="false" customHeight="false" outlineLevel="0" collapsed="false">
      <c r="A32" s="12" t="s">
        <v>52</v>
      </c>
      <c r="B32" s="12" t="n">
        <v>31</v>
      </c>
      <c r="C32" s="13" t="s">
        <v>112</v>
      </c>
      <c r="D32" s="12" t="s">
        <v>55</v>
      </c>
      <c r="E32" s="13" t="s">
        <v>113</v>
      </c>
      <c r="F32" s="12" t="s">
        <v>323</v>
      </c>
      <c r="G32" s="12" t="s">
        <v>323</v>
      </c>
      <c r="H32" s="16" t="s">
        <v>4</v>
      </c>
      <c r="I32" s="15" t="n">
        <v>428.631800000009</v>
      </c>
      <c r="J32" s="15" t="n">
        <v>768.287800000009</v>
      </c>
      <c r="K32" s="4"/>
      <c r="L32" s="17"/>
    </row>
    <row r="33" customFormat="false" ht="15" hidden="false" customHeight="false" outlineLevel="0" collapsed="false">
      <c r="A33" s="12" t="s">
        <v>52</v>
      </c>
      <c r="B33" s="12" t="n">
        <v>32</v>
      </c>
      <c r="C33" s="13" t="s">
        <v>112</v>
      </c>
      <c r="D33" s="12" t="s">
        <v>103</v>
      </c>
      <c r="E33" s="13" t="s">
        <v>114</v>
      </c>
      <c r="F33" s="12" t="s">
        <v>323</v>
      </c>
      <c r="G33" s="12" t="s">
        <v>323</v>
      </c>
      <c r="H33" s="16" t="s">
        <v>4</v>
      </c>
      <c r="I33" s="15" t="n">
        <v>313.549799999996</v>
      </c>
      <c r="J33" s="15" t="n">
        <v>775.884199999986</v>
      </c>
      <c r="K33" s="4"/>
      <c r="L33" s="17"/>
    </row>
    <row r="34" customFormat="false" ht="15" hidden="false" customHeight="false" outlineLevel="0" collapsed="false">
      <c r="A34" s="12" t="s">
        <v>52</v>
      </c>
      <c r="B34" s="12" t="n">
        <v>33</v>
      </c>
      <c r="C34" s="13" t="s">
        <v>112</v>
      </c>
      <c r="D34" s="12" t="s">
        <v>55</v>
      </c>
      <c r="E34" s="13" t="s">
        <v>115</v>
      </c>
      <c r="F34" s="12" t="s">
        <v>323</v>
      </c>
      <c r="G34" s="12" t="s">
        <v>323</v>
      </c>
      <c r="H34" s="16" t="s">
        <v>4</v>
      </c>
      <c r="I34" s="15" t="n">
        <v>645.54090000001</v>
      </c>
      <c r="J34" s="15" t="n">
        <v>1064.42490000001</v>
      </c>
      <c r="K34" s="4"/>
      <c r="L34" s="17"/>
    </row>
    <row r="35" customFormat="false" ht="15" hidden="false" customHeight="false" outlineLevel="0" collapsed="false">
      <c r="A35" s="12" t="s">
        <v>52</v>
      </c>
      <c r="B35" s="12" t="n">
        <v>34</v>
      </c>
      <c r="C35" s="13" t="s">
        <v>112</v>
      </c>
      <c r="D35" s="12" t="s">
        <v>117</v>
      </c>
      <c r="E35" s="13" t="s">
        <v>116</v>
      </c>
      <c r="F35" s="12" t="s">
        <v>323</v>
      </c>
      <c r="G35" s="12" t="s">
        <v>323</v>
      </c>
      <c r="H35" s="16" t="s">
        <v>4</v>
      </c>
      <c r="I35" s="15" t="n">
        <v>293.43189999999</v>
      </c>
      <c r="J35" s="15" t="n">
        <v>509.895099999991</v>
      </c>
      <c r="K35" s="4"/>
      <c r="L35" s="17"/>
    </row>
    <row r="36" customFormat="false" ht="15" hidden="false" customHeight="false" outlineLevel="0" collapsed="false">
      <c r="A36" s="12" t="s">
        <v>52</v>
      </c>
      <c r="B36" s="12" t="n">
        <v>35</v>
      </c>
      <c r="C36" s="13" t="s">
        <v>112</v>
      </c>
      <c r="D36" s="12" t="s">
        <v>119</v>
      </c>
      <c r="E36" s="13" t="s">
        <v>118</v>
      </c>
      <c r="F36" s="12" t="s">
        <v>323</v>
      </c>
      <c r="G36" s="12" t="s">
        <v>323</v>
      </c>
      <c r="H36" s="16" t="s">
        <v>4</v>
      </c>
      <c r="I36" s="15" t="n">
        <v>523.526000000007</v>
      </c>
      <c r="J36" s="15" t="n">
        <v>1308.96280000001</v>
      </c>
      <c r="K36" s="4"/>
      <c r="L36" s="17"/>
    </row>
    <row r="37" customFormat="false" ht="15" hidden="false" customHeight="false" outlineLevel="0" collapsed="false">
      <c r="A37" s="12" t="s">
        <v>52</v>
      </c>
      <c r="B37" s="12" t="n">
        <v>36</v>
      </c>
      <c r="C37" s="13" t="s">
        <v>112</v>
      </c>
      <c r="D37" s="12" t="s">
        <v>91</v>
      </c>
      <c r="E37" s="13" t="s">
        <v>120</v>
      </c>
      <c r="F37" s="12" t="s">
        <v>323</v>
      </c>
      <c r="G37" s="12" t="s">
        <v>323</v>
      </c>
      <c r="H37" s="16" t="s">
        <v>4</v>
      </c>
      <c r="I37" s="15" t="n">
        <v>553.371500000014</v>
      </c>
      <c r="J37" s="15" t="n">
        <v>1385.8627</v>
      </c>
      <c r="K37" s="4"/>
      <c r="L37" s="17"/>
    </row>
    <row r="38" customFormat="false" ht="15" hidden="false" customHeight="false" outlineLevel="0" collapsed="false">
      <c r="A38" s="12" t="s">
        <v>52</v>
      </c>
      <c r="B38" s="12" t="n">
        <v>37</v>
      </c>
      <c r="C38" s="13" t="s">
        <v>112</v>
      </c>
      <c r="D38" s="12" t="s">
        <v>73</v>
      </c>
      <c r="E38" s="13" t="s">
        <v>121</v>
      </c>
      <c r="F38" s="12" t="s">
        <v>323</v>
      </c>
      <c r="G38" s="12" t="s">
        <v>323</v>
      </c>
      <c r="H38" s="16" t="s">
        <v>4</v>
      </c>
      <c r="I38" s="15" t="n">
        <v>627.609600000008</v>
      </c>
      <c r="J38" s="15" t="n">
        <v>1036.69759999999</v>
      </c>
      <c r="K38" s="4"/>
      <c r="L38" s="17"/>
    </row>
    <row r="39" customFormat="false" ht="15" hidden="false" customHeight="false" outlineLevel="0" collapsed="false">
      <c r="A39" s="12" t="s">
        <v>52</v>
      </c>
      <c r="B39" s="12" t="n">
        <v>38</v>
      </c>
      <c r="C39" s="13" t="s">
        <v>122</v>
      </c>
      <c r="D39" s="12" t="s">
        <v>58</v>
      </c>
      <c r="E39" s="13" t="s">
        <v>123</v>
      </c>
      <c r="F39" s="12" t="s">
        <v>323</v>
      </c>
      <c r="G39" s="12" t="s">
        <v>323</v>
      </c>
      <c r="H39" s="16" t="s">
        <v>4</v>
      </c>
      <c r="I39" s="15" t="n">
        <v>179.157599999996</v>
      </c>
      <c r="J39" s="15" t="n">
        <v>304.077599999995</v>
      </c>
      <c r="K39" s="4"/>
      <c r="L39" s="17"/>
    </row>
    <row r="40" customFormat="false" ht="15" hidden="false" customHeight="false" outlineLevel="0" collapsed="false">
      <c r="A40" s="12" t="s">
        <v>52</v>
      </c>
      <c r="B40" s="12" t="n">
        <v>39</v>
      </c>
      <c r="C40" s="13" t="s">
        <v>122</v>
      </c>
      <c r="D40" s="12" t="s">
        <v>103</v>
      </c>
      <c r="E40" s="13" t="s">
        <v>124</v>
      </c>
      <c r="F40" s="12" t="s">
        <v>323</v>
      </c>
      <c r="G40" s="12" t="s">
        <v>323</v>
      </c>
      <c r="H40" s="16" t="s">
        <v>4</v>
      </c>
      <c r="I40" s="15" t="n">
        <v>214.289200000002</v>
      </c>
      <c r="J40" s="15" t="n">
        <v>359.138000000008</v>
      </c>
      <c r="K40" s="4"/>
      <c r="L40" s="17"/>
    </row>
    <row r="41" customFormat="false" ht="15" hidden="false" customHeight="false" outlineLevel="0" collapsed="false">
      <c r="A41" s="12" t="s">
        <v>52</v>
      </c>
      <c r="B41" s="12" t="n">
        <v>40</v>
      </c>
      <c r="C41" s="13" t="s">
        <v>122</v>
      </c>
      <c r="D41" s="12" t="s">
        <v>58</v>
      </c>
      <c r="E41" s="13" t="s">
        <v>125</v>
      </c>
      <c r="F41" s="12" t="s">
        <v>323</v>
      </c>
      <c r="G41" s="12" t="s">
        <v>323</v>
      </c>
      <c r="H41" s="16" t="s">
        <v>4</v>
      </c>
      <c r="I41" s="15" t="n">
        <v>409.635899999997</v>
      </c>
      <c r="J41" s="15" t="n">
        <v>692.99989999999</v>
      </c>
      <c r="K41" s="4"/>
      <c r="L41" s="17"/>
    </row>
    <row r="42" customFormat="false" ht="15" hidden="false" customHeight="false" outlineLevel="0" collapsed="false">
      <c r="A42" s="12" t="s">
        <v>52</v>
      </c>
      <c r="B42" s="12" t="n">
        <v>41</v>
      </c>
      <c r="C42" s="13" t="s">
        <v>122</v>
      </c>
      <c r="D42" s="12" t="s">
        <v>55</v>
      </c>
      <c r="E42" s="13" t="s">
        <v>126</v>
      </c>
      <c r="F42" s="12" t="s">
        <v>323</v>
      </c>
      <c r="G42" s="12" t="s">
        <v>323</v>
      </c>
      <c r="H42" s="16" t="s">
        <v>4</v>
      </c>
      <c r="I42" s="15" t="n">
        <v>620.004800000001</v>
      </c>
      <c r="J42" s="15" t="n">
        <v>1024.54880000001</v>
      </c>
      <c r="K42" s="4"/>
      <c r="L42" s="17"/>
    </row>
    <row r="43" customFormat="false" ht="15" hidden="false" customHeight="false" outlineLevel="0" collapsed="false">
      <c r="A43" s="12" t="s">
        <v>52</v>
      </c>
      <c r="B43" s="12" t="n">
        <v>42</v>
      </c>
      <c r="C43" s="13" t="s">
        <v>122</v>
      </c>
      <c r="D43" s="12" t="s">
        <v>55</v>
      </c>
      <c r="E43" s="13" t="s">
        <v>127</v>
      </c>
      <c r="F43" s="12" t="s">
        <v>323</v>
      </c>
      <c r="G43" s="12" t="s">
        <v>323</v>
      </c>
      <c r="H43" s="16" t="s">
        <v>4</v>
      </c>
      <c r="I43" s="15" t="n">
        <v>439.230300000001</v>
      </c>
      <c r="J43" s="15" t="n">
        <v>787.506299999997</v>
      </c>
      <c r="K43" s="4"/>
      <c r="L43" s="17"/>
    </row>
    <row r="44" customFormat="false" ht="15" hidden="false" customHeight="false" outlineLevel="0" collapsed="false">
      <c r="A44" s="12" t="s">
        <v>52</v>
      </c>
      <c r="B44" s="12" t="n">
        <v>43</v>
      </c>
      <c r="C44" s="13" t="s">
        <v>128</v>
      </c>
      <c r="D44" s="12" t="s">
        <v>88</v>
      </c>
      <c r="E44" s="13" t="s">
        <v>129</v>
      </c>
      <c r="F44" s="12" t="s">
        <v>323</v>
      </c>
      <c r="G44" s="12" t="s">
        <v>323</v>
      </c>
      <c r="H44" s="16" t="s">
        <v>4</v>
      </c>
      <c r="I44" s="15" t="n">
        <v>349.255499999999</v>
      </c>
      <c r="J44" s="15" t="n">
        <v>594.355500000005</v>
      </c>
      <c r="K44" s="4"/>
      <c r="L44" s="17"/>
    </row>
    <row r="45" customFormat="false" ht="15" hidden="false" customHeight="false" outlineLevel="0" collapsed="false">
      <c r="A45" s="12" t="s">
        <v>52</v>
      </c>
      <c r="B45" s="12" t="n">
        <v>44</v>
      </c>
      <c r="C45" s="13" t="s">
        <v>128</v>
      </c>
      <c r="D45" s="12" t="s">
        <v>58</v>
      </c>
      <c r="E45" s="13" t="s">
        <v>130</v>
      </c>
      <c r="F45" s="12" t="s">
        <v>323</v>
      </c>
      <c r="G45" s="12" t="s">
        <v>323</v>
      </c>
      <c r="H45" s="16" t="s">
        <v>4</v>
      </c>
      <c r="I45" s="15" t="n">
        <v>179.669799999995</v>
      </c>
      <c r="J45" s="15" t="n">
        <v>309.053799999997</v>
      </c>
      <c r="K45" s="4"/>
      <c r="L45" s="17"/>
    </row>
    <row r="46" customFormat="false" ht="15" hidden="false" customHeight="false" outlineLevel="0" collapsed="false">
      <c r="A46" s="12" t="s">
        <v>52</v>
      </c>
      <c r="B46" s="12" t="n">
        <v>45</v>
      </c>
      <c r="C46" s="13" t="s">
        <v>128</v>
      </c>
      <c r="D46" s="12" t="s">
        <v>93</v>
      </c>
      <c r="E46" s="13" t="s">
        <v>131</v>
      </c>
      <c r="F46" s="12" t="s">
        <v>323</v>
      </c>
      <c r="G46" s="12" t="s">
        <v>323</v>
      </c>
      <c r="H46" s="16" t="s">
        <v>4</v>
      </c>
      <c r="I46" s="15" t="n">
        <v>321.660349999997</v>
      </c>
      <c r="J46" s="15" t="n">
        <v>558.955150000012</v>
      </c>
      <c r="K46" s="4"/>
      <c r="L46" s="17"/>
    </row>
    <row r="47" customFormat="false" ht="15" hidden="false" customHeight="false" outlineLevel="0" collapsed="false">
      <c r="A47" s="12" t="s">
        <v>52</v>
      </c>
      <c r="B47" s="12" t="n">
        <v>46</v>
      </c>
      <c r="C47" s="13" t="s">
        <v>128</v>
      </c>
      <c r="D47" s="12" t="s">
        <v>55</v>
      </c>
      <c r="E47" s="13" t="s">
        <v>132</v>
      </c>
      <c r="F47" s="12" t="s">
        <v>323</v>
      </c>
      <c r="G47" s="12" t="s">
        <v>323</v>
      </c>
      <c r="H47" s="16" t="s">
        <v>4</v>
      </c>
      <c r="I47" s="15" t="n">
        <v>446.205800000002</v>
      </c>
      <c r="J47" s="15" t="n">
        <v>799.941799999989</v>
      </c>
      <c r="K47" s="4"/>
      <c r="L47" s="17"/>
    </row>
    <row r="48" customFormat="false" ht="15" hidden="false" customHeight="false" outlineLevel="0" collapsed="false">
      <c r="A48" s="12" t="s">
        <v>52</v>
      </c>
      <c r="B48" s="12" t="n">
        <v>47</v>
      </c>
      <c r="C48" s="13" t="s">
        <v>133</v>
      </c>
      <c r="D48" s="12" t="s">
        <v>135</v>
      </c>
      <c r="E48" s="13" t="s">
        <v>134</v>
      </c>
      <c r="F48" s="12" t="s">
        <v>323</v>
      </c>
      <c r="G48" s="12" t="s">
        <v>323</v>
      </c>
      <c r="H48" s="16" t="s">
        <v>4</v>
      </c>
      <c r="I48" s="15" t="n">
        <v>12790.1806999999</v>
      </c>
      <c r="J48" s="15" t="n">
        <v>12789.3367000001</v>
      </c>
      <c r="K48" s="4"/>
      <c r="L48" s="17"/>
    </row>
    <row r="49" customFormat="false" ht="15" hidden="false" customHeight="false" outlineLevel="0" collapsed="false">
      <c r="A49" s="12" t="s">
        <v>52</v>
      </c>
      <c r="B49" s="12" t="n">
        <v>48</v>
      </c>
      <c r="C49" s="13" t="s">
        <v>137</v>
      </c>
      <c r="D49" s="12" t="s">
        <v>139</v>
      </c>
      <c r="E49" s="13" t="s">
        <v>138</v>
      </c>
      <c r="F49" s="12" t="s">
        <v>323</v>
      </c>
      <c r="G49" s="12" t="s">
        <v>323</v>
      </c>
      <c r="H49" s="16" t="s">
        <v>4</v>
      </c>
      <c r="I49" s="15" t="n">
        <v>14834.5475999999</v>
      </c>
      <c r="J49" s="15" t="n">
        <v>14833.6816</v>
      </c>
      <c r="K49" s="4"/>
      <c r="L49" s="17"/>
    </row>
    <row r="50" customFormat="false" ht="15" hidden="false" customHeight="false" outlineLevel="0" collapsed="false">
      <c r="A50" s="12" t="s">
        <v>52</v>
      </c>
      <c r="B50" s="12" t="n">
        <v>49</v>
      </c>
      <c r="C50" s="13" t="s">
        <v>141</v>
      </c>
      <c r="D50" s="12" t="s">
        <v>55</v>
      </c>
      <c r="E50" s="13" t="s">
        <v>142</v>
      </c>
      <c r="F50" s="12" t="s">
        <v>323</v>
      </c>
      <c r="G50" s="12" t="s">
        <v>324</v>
      </c>
      <c r="H50" s="19" t="s">
        <v>304</v>
      </c>
      <c r="I50" s="15" t="n">
        <v>2043.60904000001</v>
      </c>
      <c r="J50" s="15" t="n">
        <v>2260.98</v>
      </c>
      <c r="K50" s="4" t="s">
        <v>325</v>
      </c>
      <c r="L50" s="17"/>
    </row>
    <row r="51" customFormat="false" ht="15" hidden="false" customHeight="false" outlineLevel="0" collapsed="false">
      <c r="A51" s="12" t="s">
        <v>52</v>
      </c>
      <c r="B51" s="12" t="n">
        <v>50</v>
      </c>
      <c r="C51" s="13" t="s">
        <v>141</v>
      </c>
      <c r="D51" s="12" t="s">
        <v>144</v>
      </c>
      <c r="E51" s="13" t="s">
        <v>143</v>
      </c>
      <c r="F51" s="12" t="s">
        <v>323</v>
      </c>
      <c r="G51" s="12" t="s">
        <v>323</v>
      </c>
      <c r="H51" s="16" t="s">
        <v>4</v>
      </c>
      <c r="I51" s="15" t="n">
        <v>805.733519999994</v>
      </c>
      <c r="J51" s="15" t="n">
        <v>805.457519999996</v>
      </c>
      <c r="K51" s="4"/>
      <c r="L51" s="17"/>
    </row>
    <row r="52" customFormat="false" ht="15" hidden="false" customHeight="false" outlineLevel="0" collapsed="false">
      <c r="A52" s="12" t="s">
        <v>52</v>
      </c>
      <c r="B52" s="12" t="n">
        <v>51</v>
      </c>
      <c r="C52" s="13" t="s">
        <v>145</v>
      </c>
      <c r="D52" s="12" t="s">
        <v>147</v>
      </c>
      <c r="E52" s="13" t="s">
        <v>146</v>
      </c>
      <c r="F52" s="12" t="s">
        <v>323</v>
      </c>
      <c r="G52" s="12" t="s">
        <v>323</v>
      </c>
      <c r="H52" s="16" t="s">
        <v>4</v>
      </c>
      <c r="I52" s="15" t="n">
        <v>801.537360000002</v>
      </c>
      <c r="J52" s="15" t="n">
        <v>700.869359999997</v>
      </c>
      <c r="K52" s="4"/>
      <c r="L52" s="17"/>
    </row>
    <row r="53" customFormat="false" ht="15" hidden="false" customHeight="false" outlineLevel="0" collapsed="false">
      <c r="A53" s="12" t="s">
        <v>52</v>
      </c>
      <c r="B53" s="12" t="n">
        <v>52</v>
      </c>
      <c r="C53" s="13" t="s">
        <v>145</v>
      </c>
      <c r="D53" s="12" t="s">
        <v>149</v>
      </c>
      <c r="E53" s="13" t="s">
        <v>148</v>
      </c>
      <c r="F53" s="12" t="s">
        <v>323</v>
      </c>
      <c r="G53" s="12" t="s">
        <v>323</v>
      </c>
      <c r="H53" s="16" t="s">
        <v>4</v>
      </c>
      <c r="I53" s="15" t="n">
        <v>800.5576</v>
      </c>
      <c r="J53" s="15" t="n">
        <v>699.976800000004</v>
      </c>
      <c r="K53" s="4"/>
      <c r="L53" s="17"/>
    </row>
    <row r="54" customFormat="false" ht="29.85" hidden="false" customHeight="false" outlineLevel="0" collapsed="false">
      <c r="A54" s="12" t="s">
        <v>150</v>
      </c>
      <c r="B54" s="12" t="n">
        <v>2</v>
      </c>
      <c r="C54" s="13" t="s">
        <v>151</v>
      </c>
      <c r="D54" s="12" t="s">
        <v>73</v>
      </c>
      <c r="E54" s="13" t="s">
        <v>152</v>
      </c>
      <c r="F54" s="12" t="s">
        <v>326</v>
      </c>
      <c r="G54" s="12" t="s">
        <v>327</v>
      </c>
      <c r="H54" s="16" t="s">
        <v>4</v>
      </c>
      <c r="I54" s="15" t="n">
        <v>2107.28</v>
      </c>
      <c r="J54" s="15" t="n">
        <v>1607.08</v>
      </c>
      <c r="K54" s="4" t="s">
        <v>328</v>
      </c>
      <c r="L54" s="17"/>
    </row>
    <row r="55" customFormat="false" ht="15" hidden="false" customHeight="false" outlineLevel="0" collapsed="false">
      <c r="A55" s="12" t="s">
        <v>150</v>
      </c>
      <c r="B55" s="12" t="n">
        <v>3</v>
      </c>
      <c r="C55" s="13" t="s">
        <v>153</v>
      </c>
      <c r="D55" s="12" t="s">
        <v>55</v>
      </c>
      <c r="E55" s="13" t="s">
        <v>154</v>
      </c>
      <c r="F55" s="12" t="s">
        <v>326</v>
      </c>
      <c r="G55" s="12" t="s">
        <v>324</v>
      </c>
      <c r="H55" s="16" t="s">
        <v>4</v>
      </c>
      <c r="I55" s="15" t="n">
        <v>1931.29999999999</v>
      </c>
      <c r="J55" s="15" t="n">
        <v>1930.5</v>
      </c>
      <c r="K55" s="4"/>
      <c r="L55" s="17"/>
    </row>
    <row r="56" customFormat="false" ht="15" hidden="false" customHeight="false" outlineLevel="0" collapsed="false">
      <c r="A56" s="12" t="s">
        <v>157</v>
      </c>
      <c r="B56" s="12" t="n">
        <v>2</v>
      </c>
      <c r="C56" s="13" t="s">
        <v>77</v>
      </c>
      <c r="D56" s="12" t="s">
        <v>55</v>
      </c>
      <c r="E56" s="13" t="s">
        <v>158</v>
      </c>
      <c r="F56" s="12" t="s">
        <v>326</v>
      </c>
      <c r="G56" s="12" t="s">
        <v>323</v>
      </c>
      <c r="H56" s="19" t="s">
        <v>304</v>
      </c>
      <c r="I56" s="15" t="n">
        <v>1787.93999999999</v>
      </c>
      <c r="J56" s="15" t="n">
        <v>748.617100000009</v>
      </c>
      <c r="K56" s="4" t="s">
        <v>329</v>
      </c>
      <c r="L56" s="17"/>
    </row>
    <row r="57" customFormat="false" ht="29.85" hidden="false" customHeight="false" outlineLevel="0" collapsed="false">
      <c r="A57" s="12" t="s">
        <v>157</v>
      </c>
      <c r="B57" s="12" t="n">
        <v>3</v>
      </c>
      <c r="C57" s="13" t="s">
        <v>151</v>
      </c>
      <c r="D57" s="12" t="s">
        <v>73</v>
      </c>
      <c r="E57" s="13" t="s">
        <v>159</v>
      </c>
      <c r="F57" s="12" t="s">
        <v>326</v>
      </c>
      <c r="G57" s="12" t="s">
        <v>327</v>
      </c>
      <c r="H57" s="16" t="s">
        <v>4</v>
      </c>
      <c r="I57" s="15" t="n">
        <v>1767.28</v>
      </c>
      <c r="J57" s="15" t="n">
        <v>1766.88</v>
      </c>
      <c r="K57" s="4" t="s">
        <v>328</v>
      </c>
      <c r="L57" s="17"/>
    </row>
    <row r="58" customFormat="false" ht="15" hidden="false" customHeight="false" outlineLevel="0" collapsed="false">
      <c r="A58" s="12" t="s">
        <v>157</v>
      </c>
      <c r="B58" s="12" t="n">
        <v>4</v>
      </c>
      <c r="C58" s="13" t="s">
        <v>160</v>
      </c>
      <c r="D58" s="12" t="s">
        <v>55</v>
      </c>
      <c r="E58" s="13" t="s">
        <v>161</v>
      </c>
      <c r="F58" s="12" t="s">
        <v>326</v>
      </c>
      <c r="G58" s="12" t="s">
        <v>323</v>
      </c>
      <c r="H58" s="19" t="s">
        <v>304</v>
      </c>
      <c r="I58" s="15" t="n">
        <v>1644.29999999999</v>
      </c>
      <c r="J58" s="15" t="n">
        <v>996.019499999995</v>
      </c>
      <c r="K58" s="4" t="s">
        <v>330</v>
      </c>
      <c r="L58" s="17"/>
    </row>
    <row r="59" customFormat="false" ht="15" hidden="false" customHeight="false" outlineLevel="0" collapsed="false">
      <c r="A59" s="12" t="s">
        <v>157</v>
      </c>
      <c r="B59" s="12" t="n">
        <v>5</v>
      </c>
      <c r="C59" s="13" t="s">
        <v>153</v>
      </c>
      <c r="D59" s="12" t="s">
        <v>119</v>
      </c>
      <c r="E59" s="13" t="s">
        <v>162</v>
      </c>
      <c r="F59" s="12" t="s">
        <v>326</v>
      </c>
      <c r="G59" s="12" t="s">
        <v>324</v>
      </c>
      <c r="H59" s="16" t="s">
        <v>4</v>
      </c>
      <c r="I59" s="15" t="n">
        <v>848.059999999995</v>
      </c>
      <c r="J59" s="15" t="n">
        <v>847.26</v>
      </c>
      <c r="K59" s="4"/>
      <c r="L59" s="17"/>
    </row>
    <row r="60" customFormat="false" ht="15" hidden="false" customHeight="false" outlineLevel="0" collapsed="false">
      <c r="A60" s="12" t="s">
        <v>157</v>
      </c>
      <c r="B60" s="12" t="n">
        <v>6</v>
      </c>
      <c r="C60" s="13" t="s">
        <v>153</v>
      </c>
      <c r="D60" s="12" t="s">
        <v>73</v>
      </c>
      <c r="E60" s="13" t="s">
        <v>163</v>
      </c>
      <c r="F60" s="12" t="s">
        <v>326</v>
      </c>
      <c r="G60" s="12" t="s">
        <v>324</v>
      </c>
      <c r="H60" s="16" t="s">
        <v>4</v>
      </c>
      <c r="I60" s="15" t="n">
        <v>850.019999999998</v>
      </c>
      <c r="J60" s="15" t="n">
        <v>849.42</v>
      </c>
      <c r="K60" s="4"/>
      <c r="L60" s="17"/>
    </row>
    <row r="61" customFormat="false" ht="15" hidden="false" customHeight="false" outlineLevel="0" collapsed="false">
      <c r="A61" s="12" t="s">
        <v>157</v>
      </c>
      <c r="B61" s="12" t="n">
        <v>7</v>
      </c>
      <c r="C61" s="13" t="s">
        <v>164</v>
      </c>
      <c r="D61" s="12" t="s">
        <v>55</v>
      </c>
      <c r="E61" s="13" t="s">
        <v>165</v>
      </c>
      <c r="F61" s="12" t="s">
        <v>326</v>
      </c>
      <c r="G61" s="12" t="s">
        <v>324</v>
      </c>
      <c r="H61" s="16" t="s">
        <v>4</v>
      </c>
      <c r="I61" s="15" t="n">
        <v>778.760000000001</v>
      </c>
      <c r="J61" s="15" t="n">
        <v>778.68</v>
      </c>
      <c r="K61" s="4"/>
      <c r="L61" s="17"/>
    </row>
    <row r="62" customFormat="false" ht="15" hidden="false" customHeight="false" outlineLevel="0" collapsed="false">
      <c r="A62" s="12" t="s">
        <v>157</v>
      </c>
      <c r="B62" s="12" t="n">
        <v>8</v>
      </c>
      <c r="C62" s="13" t="s">
        <v>141</v>
      </c>
      <c r="D62" s="12" t="s">
        <v>73</v>
      </c>
      <c r="E62" s="13" t="s">
        <v>166</v>
      </c>
      <c r="F62" s="12" t="s">
        <v>326</v>
      </c>
      <c r="G62" s="12" t="s">
        <v>324</v>
      </c>
      <c r="H62" s="16" t="s">
        <v>4</v>
      </c>
      <c r="I62" s="15" t="n">
        <v>830.080000000005</v>
      </c>
      <c r="J62" s="15" t="n">
        <v>829.44</v>
      </c>
      <c r="K62" s="4"/>
      <c r="L62" s="17"/>
    </row>
    <row r="63" customFormat="false" ht="15" hidden="false" customHeight="false" outlineLevel="0" collapsed="false">
      <c r="A63" s="12" t="s">
        <v>157</v>
      </c>
      <c r="B63" s="12" t="n">
        <v>9</v>
      </c>
      <c r="C63" s="13" t="s">
        <v>141</v>
      </c>
      <c r="D63" s="12" t="s">
        <v>55</v>
      </c>
      <c r="E63" s="13" t="s">
        <v>167</v>
      </c>
      <c r="F63" s="12" t="s">
        <v>326</v>
      </c>
      <c r="G63" s="12" t="s">
        <v>324</v>
      </c>
      <c r="H63" s="16" t="s">
        <v>4</v>
      </c>
      <c r="I63" s="15" t="n">
        <v>846.479999999999</v>
      </c>
      <c r="J63" s="15" t="n">
        <v>845.64</v>
      </c>
      <c r="K63" s="4"/>
      <c r="L63" s="17"/>
    </row>
    <row r="64" customFormat="false" ht="15" hidden="false" customHeight="false" outlineLevel="0" collapsed="false">
      <c r="A64" s="12" t="s">
        <v>157</v>
      </c>
      <c r="B64" s="12" t="n">
        <v>10</v>
      </c>
      <c r="C64" s="13" t="s">
        <v>168</v>
      </c>
      <c r="D64" s="12" t="s">
        <v>55</v>
      </c>
      <c r="E64" s="13" t="s">
        <v>169</v>
      </c>
      <c r="F64" s="12" t="s">
        <v>326</v>
      </c>
      <c r="G64" s="12" t="s">
        <v>324</v>
      </c>
      <c r="H64" s="16" t="s">
        <v>4</v>
      </c>
      <c r="I64" s="15" t="n">
        <v>867.679999999996</v>
      </c>
      <c r="J64" s="15" t="n">
        <v>867.24</v>
      </c>
      <c r="K64" s="4"/>
      <c r="L64" s="17"/>
    </row>
    <row r="65" customFormat="false" ht="15" hidden="false" customHeight="false" outlineLevel="0" collapsed="false">
      <c r="A65" s="12" t="s">
        <v>157</v>
      </c>
      <c r="B65" s="12" t="n">
        <v>11</v>
      </c>
      <c r="C65" s="13" t="s">
        <v>168</v>
      </c>
      <c r="D65" s="12" t="s">
        <v>73</v>
      </c>
      <c r="E65" s="13" t="s">
        <v>170</v>
      </c>
      <c r="F65" s="12" t="s">
        <v>326</v>
      </c>
      <c r="G65" s="12" t="s">
        <v>324</v>
      </c>
      <c r="H65" s="16" t="s">
        <v>4</v>
      </c>
      <c r="I65" s="15" t="n">
        <v>884.080000000005</v>
      </c>
      <c r="J65" s="15" t="n">
        <v>883.44</v>
      </c>
      <c r="K65" s="4"/>
      <c r="L65" s="17"/>
    </row>
    <row r="66" customFormat="false" ht="29.85" hidden="false" customHeight="false" outlineLevel="0" collapsed="false">
      <c r="A66" s="12" t="s">
        <v>171</v>
      </c>
      <c r="B66" s="12" t="n">
        <v>2</v>
      </c>
      <c r="C66" s="13" t="s">
        <v>172</v>
      </c>
      <c r="D66" s="12" t="s">
        <v>73</v>
      </c>
      <c r="E66" s="13" t="s">
        <v>173</v>
      </c>
      <c r="F66" s="12" t="s">
        <v>326</v>
      </c>
      <c r="G66" s="12" t="s">
        <v>327</v>
      </c>
      <c r="H66" s="16" t="s">
        <v>4</v>
      </c>
      <c r="I66" s="15" t="n">
        <v>2221.42000000001</v>
      </c>
      <c r="J66" s="15" t="n">
        <v>2221.02</v>
      </c>
      <c r="K66" s="4" t="s">
        <v>328</v>
      </c>
      <c r="L66" s="17"/>
    </row>
    <row r="67" customFormat="false" ht="29.85" hidden="false" customHeight="false" outlineLevel="0" collapsed="false">
      <c r="A67" s="12" t="s">
        <v>171</v>
      </c>
      <c r="B67" s="12" t="n">
        <v>3</v>
      </c>
      <c r="C67" s="13" t="s">
        <v>174</v>
      </c>
      <c r="D67" s="12" t="s">
        <v>55</v>
      </c>
      <c r="E67" s="13" t="s">
        <v>175</v>
      </c>
      <c r="F67" s="12" t="s">
        <v>326</v>
      </c>
      <c r="G67" s="12" t="s">
        <v>327</v>
      </c>
      <c r="H67" s="16" t="s">
        <v>4</v>
      </c>
      <c r="I67" s="15" t="n">
        <v>2219.39999999999</v>
      </c>
      <c r="J67" s="15" t="n">
        <v>2219.4</v>
      </c>
      <c r="K67" s="4" t="s">
        <v>328</v>
      </c>
      <c r="L67" s="17"/>
    </row>
    <row r="68" customFormat="false" ht="29.85" hidden="false" customHeight="false" outlineLevel="0" collapsed="false">
      <c r="A68" s="12" t="s">
        <v>171</v>
      </c>
      <c r="B68" s="12" t="n">
        <v>4</v>
      </c>
      <c r="C68" s="13" t="s">
        <v>174</v>
      </c>
      <c r="D68" s="12" t="s">
        <v>119</v>
      </c>
      <c r="E68" s="13" t="s">
        <v>176</v>
      </c>
      <c r="F68" s="12" t="s">
        <v>326</v>
      </c>
      <c r="G68" s="12" t="s">
        <v>327</v>
      </c>
      <c r="H68" s="16" t="s">
        <v>4</v>
      </c>
      <c r="I68" s="15" t="n">
        <v>2153.92000000001</v>
      </c>
      <c r="J68" s="15" t="n">
        <v>2153.52</v>
      </c>
      <c r="K68" s="4" t="s">
        <v>328</v>
      </c>
      <c r="L68" s="17"/>
    </row>
    <row r="69" customFormat="false" ht="29.85" hidden="false" customHeight="false" outlineLevel="0" collapsed="false">
      <c r="A69" s="12" t="s">
        <v>171</v>
      </c>
      <c r="B69" s="12" t="n">
        <v>5</v>
      </c>
      <c r="C69" s="13" t="s">
        <v>160</v>
      </c>
      <c r="D69" s="12" t="s">
        <v>119</v>
      </c>
      <c r="E69" s="13" t="s">
        <v>178</v>
      </c>
      <c r="F69" s="12" t="s">
        <v>326</v>
      </c>
      <c r="G69" s="12" t="s">
        <v>327</v>
      </c>
      <c r="H69" s="16" t="s">
        <v>4</v>
      </c>
      <c r="I69" s="15" t="n">
        <v>2048.96</v>
      </c>
      <c r="J69" s="15" t="n">
        <v>2048.76</v>
      </c>
      <c r="K69" s="4" t="s">
        <v>328</v>
      </c>
      <c r="L69" s="17"/>
    </row>
    <row r="70" customFormat="false" ht="15" hidden="false" customHeight="false" outlineLevel="0" collapsed="false">
      <c r="A70" s="12" t="s">
        <v>171</v>
      </c>
      <c r="B70" s="12" t="n">
        <v>6</v>
      </c>
      <c r="C70" s="13" t="s">
        <v>164</v>
      </c>
      <c r="D70" s="12" t="s">
        <v>73</v>
      </c>
      <c r="E70" s="13" t="s">
        <v>179</v>
      </c>
      <c r="F70" s="12" t="s">
        <v>326</v>
      </c>
      <c r="G70" s="12" t="s">
        <v>324</v>
      </c>
      <c r="H70" s="16" t="s">
        <v>4</v>
      </c>
      <c r="I70" s="15" t="n">
        <v>809.970000000004</v>
      </c>
      <c r="J70" s="15" t="n">
        <v>804.33</v>
      </c>
      <c r="K70" s="4"/>
      <c r="L70" s="17"/>
    </row>
    <row r="71" customFormat="false" ht="15" hidden="false" customHeight="false" outlineLevel="0" collapsed="false">
      <c r="A71" s="12" t="s">
        <v>171</v>
      </c>
      <c r="B71" s="12" t="n">
        <v>7</v>
      </c>
      <c r="C71" s="13" t="s">
        <v>164</v>
      </c>
      <c r="D71" s="12" t="s">
        <v>73</v>
      </c>
      <c r="E71" s="13" t="s">
        <v>181</v>
      </c>
      <c r="F71" s="12" t="s">
        <v>326</v>
      </c>
      <c r="G71" s="12" t="s">
        <v>324</v>
      </c>
      <c r="H71" s="16" t="s">
        <v>4</v>
      </c>
      <c r="I71" s="15" t="n">
        <v>2199.82</v>
      </c>
      <c r="J71" s="15" t="n">
        <v>2199.42</v>
      </c>
      <c r="K71" s="4"/>
      <c r="L71" s="17"/>
    </row>
    <row r="72" customFormat="false" ht="15" hidden="false" customHeight="false" outlineLevel="0" collapsed="false">
      <c r="A72" s="12" t="s">
        <v>182</v>
      </c>
      <c r="B72" s="12" t="n">
        <v>2</v>
      </c>
      <c r="C72" s="13" t="s">
        <v>145</v>
      </c>
      <c r="D72" s="12" t="s">
        <v>184</v>
      </c>
      <c r="E72" s="13" t="s">
        <v>183</v>
      </c>
      <c r="F72" s="12" t="s">
        <v>326</v>
      </c>
      <c r="G72" s="12" t="s">
        <v>324</v>
      </c>
      <c r="H72" s="16" t="s">
        <v>4</v>
      </c>
      <c r="I72" s="15" t="n">
        <v>811.820000000001</v>
      </c>
      <c r="J72" s="15" t="n">
        <v>811.62</v>
      </c>
      <c r="K72" s="4"/>
      <c r="L72" s="17"/>
    </row>
    <row r="73" customFormat="false" ht="15" hidden="false" customHeight="false" outlineLevel="0" collapsed="false">
      <c r="A73" s="12" t="s">
        <v>182</v>
      </c>
      <c r="B73" s="12" t="n">
        <v>3</v>
      </c>
      <c r="C73" s="13" t="s">
        <v>168</v>
      </c>
      <c r="D73" s="12" t="s">
        <v>186</v>
      </c>
      <c r="E73" s="13" t="s">
        <v>185</v>
      </c>
      <c r="F73" s="12" t="s">
        <v>326</v>
      </c>
      <c r="G73" s="12" t="s">
        <v>324</v>
      </c>
      <c r="H73" s="16" t="s">
        <v>4</v>
      </c>
      <c r="I73" s="15" t="n">
        <v>1562.82</v>
      </c>
      <c r="J73" s="15" t="n">
        <v>1562.22</v>
      </c>
      <c r="K73" s="4"/>
      <c r="L73" s="17"/>
    </row>
    <row r="74" customFormat="false" ht="15" hidden="false" customHeight="false" outlineLevel="0" collapsed="false">
      <c r="A74" s="12" t="s">
        <v>182</v>
      </c>
      <c r="B74" s="12" t="n">
        <v>4</v>
      </c>
      <c r="C74" s="13" t="s">
        <v>168</v>
      </c>
      <c r="D74" s="12" t="s">
        <v>103</v>
      </c>
      <c r="E74" s="13" t="s">
        <v>187</v>
      </c>
      <c r="F74" s="12" t="s">
        <v>326</v>
      </c>
      <c r="G74" s="12" t="s">
        <v>324</v>
      </c>
      <c r="H74" s="16" t="s">
        <v>4</v>
      </c>
      <c r="I74" s="15" t="n">
        <v>1159.78</v>
      </c>
      <c r="J74" s="15" t="n">
        <v>1159.38</v>
      </c>
      <c r="K74" s="4"/>
      <c r="L74" s="17"/>
    </row>
    <row r="75" customFormat="false" ht="15" hidden="false" customHeight="false" outlineLevel="0" collapsed="false">
      <c r="A75" s="12" t="s">
        <v>182</v>
      </c>
      <c r="B75" s="12" t="n">
        <v>5</v>
      </c>
      <c r="C75" s="13" t="s">
        <v>168</v>
      </c>
      <c r="D75" s="12" t="s">
        <v>55</v>
      </c>
      <c r="E75" s="13" t="s">
        <v>188</v>
      </c>
      <c r="F75" s="12" t="s">
        <v>326</v>
      </c>
      <c r="G75" s="12" t="s">
        <v>324</v>
      </c>
      <c r="H75" s="16" t="s">
        <v>4</v>
      </c>
      <c r="I75" s="15" t="n">
        <v>2037.68</v>
      </c>
      <c r="J75" s="15" t="n">
        <v>2036.88</v>
      </c>
      <c r="K75" s="4"/>
      <c r="L75" s="17"/>
    </row>
    <row r="76" customFormat="false" ht="15" hidden="false" customHeight="false" outlineLevel="0" collapsed="false">
      <c r="A76" s="12" t="s">
        <v>189</v>
      </c>
      <c r="B76" s="12" t="n">
        <v>2</v>
      </c>
      <c r="C76" s="13" t="s">
        <v>112</v>
      </c>
      <c r="D76" s="12" t="s">
        <v>191</v>
      </c>
      <c r="E76" s="13" t="s">
        <v>190</v>
      </c>
      <c r="F76" s="12" t="s">
        <v>323</v>
      </c>
      <c r="G76" s="12" t="s">
        <v>323</v>
      </c>
      <c r="H76" s="16" t="s">
        <v>4</v>
      </c>
      <c r="I76" s="15" t="n">
        <v>555.424099999989</v>
      </c>
      <c r="J76" s="15" t="n">
        <v>554.544099999985</v>
      </c>
      <c r="K76" s="4"/>
      <c r="L76" s="17"/>
    </row>
    <row r="77" customFormat="false" ht="15" hidden="false" customHeight="false" outlineLevel="0" collapsed="false">
      <c r="A77" s="12" t="s">
        <v>189</v>
      </c>
      <c r="B77" s="12" t="n">
        <v>3</v>
      </c>
      <c r="C77" s="13" t="s">
        <v>192</v>
      </c>
      <c r="D77" s="12" t="s">
        <v>194</v>
      </c>
      <c r="E77" s="13" t="s">
        <v>193</v>
      </c>
      <c r="F77" s="12" t="s">
        <v>323</v>
      </c>
      <c r="G77" s="12" t="s">
        <v>323</v>
      </c>
      <c r="H77" s="16" t="s">
        <v>4</v>
      </c>
      <c r="I77" s="15" t="n">
        <v>615.026599999997</v>
      </c>
      <c r="J77" s="15" t="n">
        <v>614.562600000005</v>
      </c>
      <c r="K77" s="4"/>
      <c r="L77" s="17"/>
    </row>
    <row r="78" customFormat="false" ht="15" hidden="false" customHeight="false" outlineLevel="0" collapsed="false">
      <c r="A78" s="12" t="s">
        <v>189</v>
      </c>
      <c r="B78" s="12" t="n">
        <v>4</v>
      </c>
      <c r="C78" s="13" t="s">
        <v>195</v>
      </c>
      <c r="D78" s="12" t="s">
        <v>197</v>
      </c>
      <c r="E78" s="13" t="s">
        <v>196</v>
      </c>
      <c r="F78" s="12" t="s">
        <v>323</v>
      </c>
      <c r="G78" s="12" t="s">
        <v>323</v>
      </c>
      <c r="H78" s="16" t="s">
        <v>4</v>
      </c>
      <c r="I78" s="15" t="n">
        <v>652.972849999991</v>
      </c>
      <c r="J78" s="15" t="n">
        <v>653.090849999993</v>
      </c>
      <c r="K78" s="4"/>
      <c r="L78" s="17"/>
    </row>
    <row r="79" customFormat="false" ht="15" hidden="false" customHeight="false" outlineLevel="0" collapsed="false">
      <c r="A79" s="12" t="s">
        <v>189</v>
      </c>
      <c r="B79" s="12" t="n">
        <v>5</v>
      </c>
      <c r="C79" s="13" t="s">
        <v>195</v>
      </c>
      <c r="D79" s="12" t="s">
        <v>199</v>
      </c>
      <c r="E79" s="13" t="s">
        <v>198</v>
      </c>
      <c r="F79" s="12" t="s">
        <v>323</v>
      </c>
      <c r="G79" s="12" t="s">
        <v>323</v>
      </c>
      <c r="H79" s="16" t="s">
        <v>4</v>
      </c>
      <c r="I79" s="15" t="n">
        <v>524.4064</v>
      </c>
      <c r="J79" s="15" t="n">
        <v>523.678399999997</v>
      </c>
      <c r="K79" s="4"/>
      <c r="L79" s="17"/>
    </row>
    <row r="80" customFormat="false" ht="15" hidden="false" customHeight="false" outlineLevel="0" collapsed="false">
      <c r="A80" s="12" t="s">
        <v>200</v>
      </c>
      <c r="B80" s="12" t="n">
        <v>2</v>
      </c>
      <c r="C80" s="13" t="s">
        <v>67</v>
      </c>
      <c r="D80" s="12" t="s">
        <v>202</v>
      </c>
      <c r="E80" s="13" t="s">
        <v>201</v>
      </c>
      <c r="F80" s="12" t="s">
        <v>323</v>
      </c>
      <c r="G80" s="12" t="s">
        <v>323</v>
      </c>
      <c r="H80" s="16" t="s">
        <v>4</v>
      </c>
      <c r="I80" s="15" t="n">
        <v>461.133799999996</v>
      </c>
      <c r="J80" s="15" t="n">
        <v>460.325800000009</v>
      </c>
      <c r="K80" s="4"/>
      <c r="L80" s="17"/>
    </row>
    <row r="81" customFormat="false" ht="15" hidden="false" customHeight="false" outlineLevel="0" collapsed="false">
      <c r="A81" s="12" t="s">
        <v>200</v>
      </c>
      <c r="B81" s="12" t="n">
        <v>3</v>
      </c>
      <c r="C81" s="13" t="s">
        <v>77</v>
      </c>
      <c r="D81" s="12" t="s">
        <v>204</v>
      </c>
      <c r="E81" s="13" t="s">
        <v>203</v>
      </c>
      <c r="F81" s="12" t="s">
        <v>323</v>
      </c>
      <c r="G81" s="12" t="s">
        <v>323</v>
      </c>
      <c r="H81" s="16" t="s">
        <v>4</v>
      </c>
      <c r="I81" s="15" t="n">
        <v>454.775900000008</v>
      </c>
      <c r="J81" s="15" t="n">
        <v>647.819900000002</v>
      </c>
      <c r="K81" s="4"/>
      <c r="L81" s="17"/>
    </row>
    <row r="82" customFormat="false" ht="15" hidden="false" customHeight="false" outlineLevel="0" collapsed="false">
      <c r="A82" s="12" t="s">
        <v>200</v>
      </c>
      <c r="B82" s="12" t="n">
        <v>4</v>
      </c>
      <c r="C82" s="13" t="s">
        <v>104</v>
      </c>
      <c r="D82" s="12" t="s">
        <v>206</v>
      </c>
      <c r="E82" s="13" t="s">
        <v>205</v>
      </c>
      <c r="F82" s="12" t="s">
        <v>323</v>
      </c>
      <c r="G82" s="12" t="s">
        <v>323</v>
      </c>
      <c r="H82" s="16" t="s">
        <v>4</v>
      </c>
      <c r="I82" s="15" t="n">
        <v>470.708599999998</v>
      </c>
      <c r="J82" s="15" t="n">
        <v>669.929400000008</v>
      </c>
      <c r="K82" s="4"/>
      <c r="L82" s="17"/>
    </row>
    <row r="83" customFormat="false" ht="15" hidden="false" customHeight="false" outlineLevel="0" collapsed="false">
      <c r="A83" s="12" t="s">
        <v>200</v>
      </c>
      <c r="B83" s="12" t="n">
        <v>5</v>
      </c>
      <c r="C83" s="13" t="s">
        <v>151</v>
      </c>
      <c r="D83" s="12" t="s">
        <v>208</v>
      </c>
      <c r="E83" s="13" t="s">
        <v>207</v>
      </c>
      <c r="F83" s="12" t="s">
        <v>323</v>
      </c>
      <c r="G83" s="12" t="s">
        <v>323</v>
      </c>
      <c r="H83" s="16" t="s">
        <v>4</v>
      </c>
      <c r="I83" s="15" t="n">
        <v>670.882849999995</v>
      </c>
      <c r="J83" s="15" t="n">
        <v>670.00284999999</v>
      </c>
      <c r="K83" s="4"/>
      <c r="L83" s="17"/>
    </row>
    <row r="84" customFormat="false" ht="15" hidden="false" customHeight="false" outlineLevel="0" collapsed="false">
      <c r="A84" s="12" t="s">
        <v>200</v>
      </c>
      <c r="B84" s="12" t="n">
        <v>6</v>
      </c>
      <c r="C84" s="13" t="s">
        <v>153</v>
      </c>
      <c r="D84" s="12" t="s">
        <v>210</v>
      </c>
      <c r="E84" s="13" t="s">
        <v>209</v>
      </c>
      <c r="F84" s="12" t="s">
        <v>323</v>
      </c>
      <c r="G84" s="12" t="s">
        <v>323</v>
      </c>
      <c r="H84" s="16" t="s">
        <v>4</v>
      </c>
      <c r="I84" s="15" t="n">
        <v>587.901100000003</v>
      </c>
      <c r="J84" s="15" t="n">
        <v>831.449519999995</v>
      </c>
      <c r="K84" s="4"/>
      <c r="L84" s="17"/>
    </row>
    <row r="85" customFormat="false" ht="15" hidden="false" customHeight="false" outlineLevel="0" collapsed="false">
      <c r="A85" s="12" t="s">
        <v>200</v>
      </c>
      <c r="B85" s="12" t="n">
        <v>7</v>
      </c>
      <c r="C85" s="13" t="s">
        <v>211</v>
      </c>
      <c r="D85" s="12" t="s">
        <v>213</v>
      </c>
      <c r="E85" s="13" t="s">
        <v>212</v>
      </c>
      <c r="F85" s="12" t="s">
        <v>323</v>
      </c>
      <c r="G85" s="12" t="s">
        <v>323</v>
      </c>
      <c r="H85" s="16" t="s">
        <v>4</v>
      </c>
      <c r="I85" s="15" t="n">
        <v>692.105100000001</v>
      </c>
      <c r="J85" s="15" t="n">
        <v>977.346319999997</v>
      </c>
      <c r="K85" s="4"/>
      <c r="L85" s="17"/>
    </row>
    <row r="86" customFormat="false" ht="15" hidden="false" customHeight="false" outlineLevel="0" collapsed="false">
      <c r="A86" s="12" t="s">
        <v>214</v>
      </c>
      <c r="B86" s="12" t="n">
        <v>2</v>
      </c>
      <c r="C86" s="13" t="s">
        <v>89</v>
      </c>
      <c r="D86" s="12" t="s">
        <v>216</v>
      </c>
      <c r="E86" s="13" t="s">
        <v>215</v>
      </c>
      <c r="F86" s="12" t="s">
        <v>323</v>
      </c>
      <c r="G86" s="12" t="s">
        <v>323</v>
      </c>
      <c r="H86" s="16" t="s">
        <v>4</v>
      </c>
      <c r="I86" s="15" t="n">
        <v>578.609649999984</v>
      </c>
      <c r="J86" s="15" t="n">
        <v>578.224849999984</v>
      </c>
      <c r="K86" s="4"/>
      <c r="L86" s="17"/>
    </row>
    <row r="87" customFormat="false" ht="29.85" hidden="false" customHeight="false" outlineLevel="0" collapsed="false">
      <c r="A87" s="12" t="s">
        <v>214</v>
      </c>
      <c r="B87" s="12" t="n">
        <v>3</v>
      </c>
      <c r="C87" s="13" t="s">
        <v>160</v>
      </c>
      <c r="D87" s="12" t="s">
        <v>218</v>
      </c>
      <c r="E87" s="13" t="s">
        <v>217</v>
      </c>
      <c r="F87" s="12" t="s">
        <v>323</v>
      </c>
      <c r="G87" s="12" t="s">
        <v>327</v>
      </c>
      <c r="H87" s="19" t="s">
        <v>304</v>
      </c>
      <c r="I87" s="15" t="n">
        <v>744.010599999994</v>
      </c>
      <c r="J87" s="15" t="n">
        <v>915.331200000007</v>
      </c>
      <c r="K87" s="4" t="s">
        <v>331</v>
      </c>
      <c r="L87" s="17"/>
    </row>
    <row r="88" customFormat="false" ht="15" hidden="false" customHeight="false" outlineLevel="0" collapsed="false">
      <c r="A88" s="12" t="s">
        <v>214</v>
      </c>
      <c r="B88" s="12" t="n">
        <v>4</v>
      </c>
      <c r="C88" s="13" t="s">
        <v>153</v>
      </c>
      <c r="D88" s="12" t="s">
        <v>220</v>
      </c>
      <c r="E88" s="13" t="s">
        <v>219</v>
      </c>
      <c r="F88" s="12" t="s">
        <v>323</v>
      </c>
      <c r="G88" s="12" t="s">
        <v>323</v>
      </c>
      <c r="H88" s="16" t="s">
        <v>4</v>
      </c>
      <c r="I88" s="15" t="n">
        <v>552.103100000008</v>
      </c>
      <c r="J88" s="15" t="n">
        <v>779.139919999987</v>
      </c>
      <c r="K88" s="4"/>
      <c r="L88" s="17"/>
    </row>
    <row r="89" customFormat="false" ht="15" hidden="false" customHeight="false" outlineLevel="0" collapsed="false">
      <c r="A89" s="12" t="s">
        <v>221</v>
      </c>
      <c r="B89" s="12" t="n">
        <v>2</v>
      </c>
      <c r="C89" s="13" t="s">
        <v>222</v>
      </c>
      <c r="D89" s="12" t="s">
        <v>224</v>
      </c>
      <c r="E89" s="13" t="s">
        <v>223</v>
      </c>
      <c r="F89" s="12" t="s">
        <v>323</v>
      </c>
      <c r="G89" s="12" t="s">
        <v>323</v>
      </c>
      <c r="H89" s="16" t="s">
        <v>4</v>
      </c>
      <c r="I89" s="15" t="n">
        <v>952.27949999999</v>
      </c>
      <c r="J89" s="15" t="n">
        <v>951.292300000001</v>
      </c>
      <c r="K89" s="4"/>
      <c r="L89" s="17"/>
    </row>
    <row r="90" customFormat="false" ht="29.85" hidden="false" customHeight="false" outlineLevel="0" collapsed="false">
      <c r="A90" s="12" t="s">
        <v>221</v>
      </c>
      <c r="B90" s="12" t="n">
        <v>3</v>
      </c>
      <c r="C90" s="13" t="s">
        <v>160</v>
      </c>
      <c r="D90" s="12" t="s">
        <v>226</v>
      </c>
      <c r="E90" s="13" t="s">
        <v>225</v>
      </c>
      <c r="F90" s="12" t="s">
        <v>314</v>
      </c>
      <c r="G90" s="12" t="s">
        <v>327</v>
      </c>
      <c r="H90" s="19" t="s">
        <v>304</v>
      </c>
      <c r="I90" s="15" t="n">
        <v>2356.18959999998</v>
      </c>
      <c r="J90" s="15" t="n">
        <v>2355.5016</v>
      </c>
      <c r="K90" s="4" t="s">
        <v>332</v>
      </c>
      <c r="L90" s="17"/>
    </row>
    <row r="91" customFormat="false" ht="15" hidden="false" customHeight="false" outlineLevel="0" collapsed="false">
      <c r="A91" s="12" t="s">
        <v>221</v>
      </c>
      <c r="B91" s="12" t="n">
        <v>4</v>
      </c>
      <c r="C91" s="13" t="s">
        <v>153</v>
      </c>
      <c r="D91" s="12" t="s">
        <v>226</v>
      </c>
      <c r="E91" s="13" t="s">
        <v>227</v>
      </c>
      <c r="F91" s="12" t="s">
        <v>314</v>
      </c>
      <c r="G91" s="12" t="s">
        <v>314</v>
      </c>
      <c r="H91" s="16" t="s">
        <v>4</v>
      </c>
      <c r="I91" s="15" t="n">
        <v>2389.37959999999</v>
      </c>
      <c r="J91" s="15" t="n">
        <v>2388.99160000001</v>
      </c>
      <c r="K91" s="4"/>
      <c r="L91" s="17"/>
    </row>
    <row r="92" customFormat="false" ht="15" hidden="false" customHeight="false" outlineLevel="0" collapsed="false">
      <c r="A92" s="12" t="s">
        <v>221</v>
      </c>
      <c r="B92" s="12" t="n">
        <v>5</v>
      </c>
      <c r="C92" s="13" t="s">
        <v>153</v>
      </c>
      <c r="D92" s="12" t="s">
        <v>229</v>
      </c>
      <c r="E92" s="13" t="s">
        <v>228</v>
      </c>
      <c r="F92" s="12" t="s">
        <v>314</v>
      </c>
      <c r="G92" s="12" t="s">
        <v>314</v>
      </c>
      <c r="H92" s="16" t="s">
        <v>4</v>
      </c>
      <c r="I92" s="15" t="n">
        <v>1446.5132</v>
      </c>
      <c r="J92" s="15" t="n">
        <v>1446.11719999999</v>
      </c>
      <c r="K92" s="4"/>
      <c r="L92" s="17"/>
    </row>
    <row r="93" customFormat="false" ht="15" hidden="false" customHeight="false" outlineLevel="0" collapsed="false">
      <c r="A93" s="12" t="s">
        <v>221</v>
      </c>
      <c r="B93" s="12" t="n">
        <v>6</v>
      </c>
      <c r="C93" s="13" t="s">
        <v>211</v>
      </c>
      <c r="D93" s="12" t="s">
        <v>231</v>
      </c>
      <c r="E93" s="13" t="s">
        <v>230</v>
      </c>
      <c r="F93" s="12" t="s">
        <v>314</v>
      </c>
      <c r="G93" s="12" t="s">
        <v>314</v>
      </c>
      <c r="H93" s="16" t="s">
        <v>4</v>
      </c>
      <c r="I93" s="15" t="n">
        <v>1524.89535999999</v>
      </c>
      <c r="J93" s="15" t="n">
        <v>1524.03456</v>
      </c>
      <c r="K93" s="4"/>
      <c r="L93" s="17"/>
    </row>
    <row r="94" customFormat="false" ht="15" hidden="false" customHeight="false" outlineLevel="0" collapsed="false">
      <c r="A94" s="12" t="s">
        <v>221</v>
      </c>
      <c r="B94" s="12" t="n">
        <v>7</v>
      </c>
      <c r="C94" s="13" t="s">
        <v>164</v>
      </c>
      <c r="D94" s="12" t="s">
        <v>226</v>
      </c>
      <c r="E94" s="13" t="s">
        <v>232</v>
      </c>
      <c r="F94" s="12" t="s">
        <v>314</v>
      </c>
      <c r="G94" s="12" t="s">
        <v>314</v>
      </c>
      <c r="H94" s="16" t="s">
        <v>4</v>
      </c>
      <c r="I94" s="15" t="n">
        <v>2210.94440000001</v>
      </c>
      <c r="J94" s="15" t="n">
        <v>2210.61240000001</v>
      </c>
      <c r="K94" s="4"/>
      <c r="L94" s="17"/>
    </row>
    <row r="95" customFormat="false" ht="15" hidden="false" customHeight="false" outlineLevel="0" collapsed="false">
      <c r="A95" s="12" t="s">
        <v>221</v>
      </c>
      <c r="B95" s="12" t="n">
        <v>8</v>
      </c>
      <c r="C95" s="13" t="s">
        <v>164</v>
      </c>
      <c r="D95" s="12" t="s">
        <v>234</v>
      </c>
      <c r="E95" s="13" t="s">
        <v>233</v>
      </c>
      <c r="F95" s="12" t="s">
        <v>314</v>
      </c>
      <c r="G95" s="12" t="s">
        <v>314</v>
      </c>
      <c r="H95" s="16" t="s">
        <v>4</v>
      </c>
      <c r="I95" s="15" t="n">
        <v>1553.496</v>
      </c>
      <c r="J95" s="15" t="n">
        <v>1552.616</v>
      </c>
      <c r="K95" s="4"/>
      <c r="L95" s="17"/>
    </row>
    <row r="96" customFormat="false" ht="15" hidden="false" customHeight="false" outlineLevel="0" collapsed="false">
      <c r="A96" s="12" t="s">
        <v>221</v>
      </c>
      <c r="B96" s="12" t="n">
        <v>9</v>
      </c>
      <c r="C96" s="13" t="s">
        <v>145</v>
      </c>
      <c r="D96" s="12" t="s">
        <v>236</v>
      </c>
      <c r="E96" s="13" t="s">
        <v>235</v>
      </c>
      <c r="F96" s="12" t="s">
        <v>314</v>
      </c>
      <c r="G96" s="12" t="s">
        <v>314</v>
      </c>
      <c r="H96" s="16" t="s">
        <v>4</v>
      </c>
      <c r="I96" s="15" t="n">
        <v>908.096399999995</v>
      </c>
      <c r="J96" s="15" t="n">
        <v>907.204399999995</v>
      </c>
      <c r="K96" s="4"/>
      <c r="L96" s="17"/>
    </row>
    <row r="97" customFormat="false" ht="15" hidden="false" customHeight="false" outlineLevel="0" collapsed="false">
      <c r="A97" s="12" t="s">
        <v>241</v>
      </c>
      <c r="B97" s="12" t="n">
        <v>2</v>
      </c>
      <c r="C97" s="13" t="s">
        <v>192</v>
      </c>
      <c r="D97" s="12" t="s">
        <v>243</v>
      </c>
      <c r="E97" s="13" t="s">
        <v>242</v>
      </c>
      <c r="F97" s="12" t="s">
        <v>323</v>
      </c>
      <c r="G97" s="12" t="s">
        <v>323</v>
      </c>
      <c r="H97" s="16" t="s">
        <v>4</v>
      </c>
      <c r="I97" s="15" t="n">
        <v>8369.19985000009</v>
      </c>
      <c r="J97" s="15" t="n">
        <v>8368.50384999998</v>
      </c>
      <c r="K97" s="4"/>
      <c r="L97" s="17"/>
    </row>
    <row r="98" customFormat="false" ht="15" hidden="false" customHeight="false" outlineLevel="0" collapsed="false">
      <c r="A98" s="12" t="s">
        <v>241</v>
      </c>
      <c r="B98" s="12" t="n">
        <v>3</v>
      </c>
      <c r="C98" s="13" t="s">
        <v>136</v>
      </c>
      <c r="D98" s="12" t="s">
        <v>246</v>
      </c>
      <c r="E98" s="13" t="s">
        <v>245</v>
      </c>
      <c r="F98" s="12" t="s">
        <v>323</v>
      </c>
      <c r="G98" s="12" t="s">
        <v>323</v>
      </c>
      <c r="H98" s="16" t="s">
        <v>4</v>
      </c>
      <c r="I98" s="15" t="n">
        <v>9769.36179999984</v>
      </c>
      <c r="J98" s="15" t="n">
        <v>13876.1307599999</v>
      </c>
      <c r="K98" s="4"/>
      <c r="L98" s="17"/>
    </row>
    <row r="99" customFormat="false" ht="15" hidden="false" customHeight="false" outlineLevel="0" collapsed="false">
      <c r="A99" s="12" t="s">
        <v>241</v>
      </c>
      <c r="B99" s="12" t="n">
        <v>4</v>
      </c>
      <c r="C99" s="13" t="s">
        <v>211</v>
      </c>
      <c r="D99" s="12" t="s">
        <v>248</v>
      </c>
      <c r="E99" s="13" t="s">
        <v>247</v>
      </c>
      <c r="F99" s="12" t="s">
        <v>323</v>
      </c>
      <c r="G99" s="12" t="s">
        <v>323</v>
      </c>
      <c r="H99" s="16" t="s">
        <v>4</v>
      </c>
      <c r="I99" s="15" t="n">
        <v>10231.6794</v>
      </c>
      <c r="J99" s="15" t="n">
        <v>14524.1812799999</v>
      </c>
      <c r="K99" s="4"/>
      <c r="L99" s="17"/>
    </row>
    <row r="100" customFormat="false" ht="15" hidden="false" customHeight="false" outlineLevel="0" collapsed="false">
      <c r="A100" s="12" t="s">
        <v>241</v>
      </c>
      <c r="B100" s="12" t="n">
        <v>5</v>
      </c>
      <c r="C100" s="13" t="s">
        <v>145</v>
      </c>
      <c r="D100" s="12" t="s">
        <v>250</v>
      </c>
      <c r="E100" s="13" t="s">
        <v>249</v>
      </c>
      <c r="F100" s="12" t="s">
        <v>314</v>
      </c>
      <c r="G100" s="12" t="s">
        <v>314</v>
      </c>
      <c r="H100" s="16" t="s">
        <v>4</v>
      </c>
      <c r="I100" s="15" t="n">
        <v>19299.5640800002</v>
      </c>
      <c r="J100" s="15" t="n">
        <v>19299.1416800001</v>
      </c>
      <c r="K100" s="4"/>
      <c r="L100" s="17"/>
    </row>
    <row r="101" customFormat="false" ht="15" hidden="false" customHeight="false" outlineLevel="0" collapsed="false">
      <c r="A101" s="12" t="s">
        <v>251</v>
      </c>
      <c r="B101" s="12" t="n">
        <v>2</v>
      </c>
      <c r="C101" s="13" t="s">
        <v>104</v>
      </c>
      <c r="D101" s="12" t="s">
        <v>253</v>
      </c>
      <c r="E101" s="13" t="s">
        <v>252</v>
      </c>
      <c r="F101" s="12" t="s">
        <v>323</v>
      </c>
      <c r="G101" s="12" t="s">
        <v>323</v>
      </c>
      <c r="H101" s="16" t="s">
        <v>4</v>
      </c>
      <c r="I101" s="15" t="n">
        <v>6460.84079999989</v>
      </c>
      <c r="J101" s="15" t="n">
        <v>9003.1351999999</v>
      </c>
      <c r="K101" s="4"/>
      <c r="L101" s="17"/>
    </row>
    <row r="102" customFormat="false" ht="15" hidden="false" customHeight="false" outlineLevel="0" collapsed="false">
      <c r="A102" s="12" t="s">
        <v>254</v>
      </c>
      <c r="B102" s="12" t="n">
        <v>2</v>
      </c>
      <c r="C102" s="13" t="s">
        <v>195</v>
      </c>
      <c r="D102" s="12" t="s">
        <v>256</v>
      </c>
      <c r="E102" s="13" t="s">
        <v>255</v>
      </c>
      <c r="F102" s="12" t="s">
        <v>323</v>
      </c>
      <c r="G102" s="12" t="s">
        <v>323</v>
      </c>
      <c r="H102" s="16" t="s">
        <v>4</v>
      </c>
      <c r="I102" s="15" t="n">
        <v>648.559599999993</v>
      </c>
      <c r="J102" s="15" t="n">
        <v>647.631600000008</v>
      </c>
      <c r="K102" s="4"/>
      <c r="L102" s="17"/>
    </row>
  </sheetData>
  <autoFilter ref="A1:L102"/>
  <dataValidations count="1">
    <dataValidation allowBlank="true" errorStyle="stop" operator="between" showDropDown="false" showErrorMessage="false" showInputMessage="false" sqref="L2:L102" type="list">
      <formula1>"配票,反向,直签带票,户头通道,调货对接"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2" topLeftCell="E3" activePane="bottomRight" state="frozen"/>
      <selection pane="topLeft" activeCell="A1" activeCellId="0" sqref="A1"/>
      <selection pane="topRight" activeCell="E1" activeCellId="0" sqref="E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5"/>
    <col collapsed="false" customWidth="true" hidden="false" outlineLevel="0" max="3" min="3" style="0" width="18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false" outlineLevel="0" max="6" min="6" style="0" width="9"/>
    <col collapsed="false" customWidth="true" hidden="false" outlineLevel="0" max="7" min="7" style="0" width="13"/>
    <col collapsed="false" customWidth="true" hidden="false" outlineLevel="0" max="9" min="8" style="0" width="11"/>
    <col collapsed="false" customWidth="true" hidden="false" outlineLevel="0" max="10" min="10" style="0" width="12"/>
    <col collapsed="false" customWidth="true" hidden="false" outlineLevel="0" max="12" min="11" style="0" width="9"/>
    <col collapsed="false" customWidth="true" hidden="false" outlineLevel="0" max="13" min="13" style="0" width="10"/>
    <col collapsed="false" customWidth="true" hidden="false" outlineLevel="0" max="15" min="14" style="0" width="9"/>
    <col collapsed="false" customWidth="true" hidden="false" outlineLevel="0" max="16" min="16" style="0" width="10"/>
    <col collapsed="false" customWidth="true" hidden="false" outlineLevel="0" max="18" min="17" style="0" width="9"/>
    <col collapsed="false" customWidth="true" hidden="false" outlineLevel="0" max="19" min="19" style="0" width="10"/>
    <col collapsed="false" customWidth="true" hidden="false" outlineLevel="0" max="21" min="20" style="0" width="9"/>
    <col collapsed="false" customWidth="true" hidden="false" outlineLevel="0" max="22" min="22" style="0" width="10"/>
    <col collapsed="false" customWidth="true" hidden="false" outlineLevel="0" max="23" min="23" style="0" width="9"/>
    <col collapsed="false" customWidth="true" hidden="false" outlineLevel="0" max="24" min="24" style="0" width="10"/>
    <col collapsed="false" customWidth="true" hidden="false" outlineLevel="0" max="26" min="25" style="0" width="9"/>
  </cols>
  <sheetData>
    <row r="1" customFormat="false" ht="30" hidden="false" customHeight="true" outlineLevel="0" collapsed="false">
      <c r="A1" s="2" t="s">
        <v>333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customFormat="false" ht="43.5" hidden="false" customHeight="true" outlineLevel="0" collapsed="false">
      <c r="A2" s="3" t="s">
        <v>40</v>
      </c>
      <c r="B2" s="3" t="s">
        <v>41</v>
      </c>
      <c r="C2" s="3" t="s">
        <v>45</v>
      </c>
      <c r="D2" s="3" t="s">
        <v>11</v>
      </c>
      <c r="E2" s="3" t="s">
        <v>334</v>
      </c>
      <c r="F2" s="3" t="s">
        <v>335</v>
      </c>
      <c r="G2" s="3" t="s">
        <v>336</v>
      </c>
      <c r="H2" s="3" t="s">
        <v>320</v>
      </c>
      <c r="I2" s="3" t="s">
        <v>321</v>
      </c>
      <c r="J2" s="3" t="s">
        <v>337</v>
      </c>
      <c r="K2" s="3" t="s">
        <v>338</v>
      </c>
      <c r="L2" s="3" t="s">
        <v>339</v>
      </c>
      <c r="M2" s="3" t="s">
        <v>340</v>
      </c>
      <c r="N2" s="3" t="s">
        <v>341</v>
      </c>
      <c r="O2" s="3" t="s">
        <v>342</v>
      </c>
      <c r="P2" s="3" t="s">
        <v>343</v>
      </c>
      <c r="Q2" s="3" t="s">
        <v>344</v>
      </c>
      <c r="R2" s="3" t="s">
        <v>345</v>
      </c>
      <c r="S2" s="3" t="s">
        <v>346</v>
      </c>
      <c r="T2" s="3" t="s">
        <v>347</v>
      </c>
      <c r="U2" s="3" t="s">
        <v>348</v>
      </c>
      <c r="V2" s="3" t="s">
        <v>349</v>
      </c>
      <c r="W2" s="3" t="s">
        <v>350</v>
      </c>
      <c r="X2" s="3" t="s">
        <v>351</v>
      </c>
      <c r="Y2" s="3" t="s">
        <v>352</v>
      </c>
      <c r="Z2" s="3" t="s">
        <v>353</v>
      </c>
    </row>
    <row r="3" customFormat="false" ht="15" hidden="false" customHeight="false" outlineLevel="0" collapsed="false">
      <c r="A3" s="12" t="s">
        <v>52</v>
      </c>
      <c r="B3" s="12" t="n">
        <v>2</v>
      </c>
      <c r="C3" s="12" t="s">
        <v>55</v>
      </c>
      <c r="D3" s="13" t="s">
        <v>54</v>
      </c>
      <c r="E3" s="12" t="s">
        <v>323</v>
      </c>
      <c r="F3" s="14" t="n">
        <v>73.58</v>
      </c>
      <c r="G3" s="15" t="n">
        <v>168498.2</v>
      </c>
      <c r="H3" s="15" t="n">
        <v>482.768899999984</v>
      </c>
      <c r="I3" s="15" t="n">
        <v>482.316899999994</v>
      </c>
      <c r="J3" s="15" t="n">
        <f aca="false">I3-H3</f>
        <v>-0.451999999990392</v>
      </c>
      <c r="K3" s="12" t="n">
        <v>20</v>
      </c>
      <c r="L3" s="12" t="n">
        <v>20</v>
      </c>
      <c r="M3" s="15" t="n">
        <f aca="false">(L3-K3)*F3</f>
        <v>0</v>
      </c>
      <c r="N3" s="12" t="n">
        <v>5</v>
      </c>
      <c r="O3" s="12" t="n">
        <v>5</v>
      </c>
      <c r="P3" s="15" t="n">
        <f aca="false">(N3-O3)*F3</f>
        <v>0</v>
      </c>
      <c r="Q3" s="21" t="n">
        <v>0.865</v>
      </c>
      <c r="R3" s="21" t="n">
        <v>0.865</v>
      </c>
      <c r="S3" s="15" t="n">
        <f aca="false">(R3-Q3)*(G3-23*F3)</f>
        <v>0</v>
      </c>
      <c r="T3" s="21" t="n">
        <v>0.86</v>
      </c>
      <c r="U3" s="21" t="n">
        <v>0.86</v>
      </c>
      <c r="V3" s="15" t="n">
        <f aca="false">(T3-U3)*G3</f>
        <v>0</v>
      </c>
      <c r="W3" s="15" t="n">
        <v>0</v>
      </c>
      <c r="X3" s="15" t="n">
        <f aca="false">-W3</f>
        <v>-0</v>
      </c>
      <c r="Y3" s="15" t="n">
        <f aca="false">J3-M3-P3-S3-V3-X3</f>
        <v>-0.451999999990392</v>
      </c>
      <c r="Z3" s="12" t="str">
        <f aca="false">IF(OR(ABS(M3)&gt;0.5,ABS(P3)&gt;0.5,ABS(S3)&gt;0.5,ABS(V3)&gt;0.5,ABS(X3)&gt;0.5),"是","")</f>
        <v/>
      </c>
    </row>
    <row r="4" customFormat="false" ht="15" hidden="false" customHeight="false" outlineLevel="0" collapsed="false">
      <c r="A4" s="12" t="s">
        <v>52</v>
      </c>
      <c r="B4" s="12" t="n">
        <v>3</v>
      </c>
      <c r="C4" s="12" t="s">
        <v>58</v>
      </c>
      <c r="D4" s="13" t="s">
        <v>57</v>
      </c>
      <c r="E4" s="12" t="s">
        <v>323</v>
      </c>
      <c r="F4" s="14" t="n">
        <v>34.8</v>
      </c>
      <c r="G4" s="15" t="n">
        <v>84564</v>
      </c>
      <c r="H4" s="15" t="n">
        <v>252.51400000001</v>
      </c>
      <c r="I4" s="15" t="n">
        <v>252.474000000017</v>
      </c>
      <c r="J4" s="15" t="n">
        <f aca="false">I4-H4</f>
        <v>-0.0399999999934835</v>
      </c>
      <c r="K4" s="12" t="n">
        <v>20</v>
      </c>
      <c r="L4" s="12" t="n">
        <v>20</v>
      </c>
      <c r="M4" s="15" t="n">
        <f aca="false">(L4-K4)*F4</f>
        <v>0</v>
      </c>
      <c r="N4" s="12" t="n">
        <v>5</v>
      </c>
      <c r="O4" s="12" t="n">
        <v>5</v>
      </c>
      <c r="P4" s="15" t="n">
        <f aca="false">(N4-O4)*F4</f>
        <v>0</v>
      </c>
      <c r="Q4" s="21" t="n">
        <v>0.865</v>
      </c>
      <c r="R4" s="21" t="n">
        <v>0.865</v>
      </c>
      <c r="S4" s="15" t="n">
        <f aca="false">(R4-Q4)*(G4-23*F4)</f>
        <v>0</v>
      </c>
      <c r="T4" s="21" t="n">
        <v>0.86</v>
      </c>
      <c r="U4" s="21" t="n">
        <v>0.86</v>
      </c>
      <c r="V4" s="15" t="n">
        <f aca="false">(T4-U4)*G4</f>
        <v>0</v>
      </c>
      <c r="W4" s="15" t="n">
        <v>0</v>
      </c>
      <c r="X4" s="15" t="n">
        <f aca="false">-W4</f>
        <v>-0</v>
      </c>
      <c r="Y4" s="15" t="n">
        <f aca="false">J4-M4-P4-S4-V4-X4</f>
        <v>-0.0399999999934835</v>
      </c>
      <c r="Z4" s="12" t="str">
        <f aca="false">IF(OR(ABS(M4)&gt;0.5,ABS(P4)&gt;0.5,ABS(S4)&gt;0.5,ABS(V4)&gt;0.5,ABS(X4)&gt;0.5),"是","")</f>
        <v/>
      </c>
    </row>
    <row r="5" customFormat="false" ht="15" hidden="false" customHeight="false" outlineLevel="0" collapsed="false">
      <c r="A5" s="12" t="s">
        <v>52</v>
      </c>
      <c r="B5" s="12" t="n">
        <v>4</v>
      </c>
      <c r="C5" s="12" t="s">
        <v>55</v>
      </c>
      <c r="D5" s="13" t="s">
        <v>60</v>
      </c>
      <c r="E5" s="12" t="s">
        <v>323</v>
      </c>
      <c r="F5" s="14" t="n">
        <v>81.16</v>
      </c>
      <c r="G5" s="15" t="n">
        <v>201276.8</v>
      </c>
      <c r="H5" s="15" t="n">
        <v>608.153800000006</v>
      </c>
      <c r="I5" s="15" t="n">
        <v>609.105800000025</v>
      </c>
      <c r="J5" s="15" t="n">
        <f aca="false">I5-H5</f>
        <v>0.952000000019098</v>
      </c>
      <c r="K5" s="12" t="n">
        <v>20</v>
      </c>
      <c r="L5" s="12" t="n">
        <v>20</v>
      </c>
      <c r="M5" s="15" t="n">
        <f aca="false">(L5-K5)*F5</f>
        <v>0</v>
      </c>
      <c r="N5" s="12" t="n">
        <v>5</v>
      </c>
      <c r="O5" s="12" t="n">
        <v>5</v>
      </c>
      <c r="P5" s="15" t="n">
        <f aca="false">(N5-O5)*F5</f>
        <v>0</v>
      </c>
      <c r="Q5" s="21" t="n">
        <v>0.865</v>
      </c>
      <c r="R5" s="21" t="n">
        <v>0.865</v>
      </c>
      <c r="S5" s="15" t="n">
        <f aca="false">(R5-Q5)*(G5-23*F5)</f>
        <v>0</v>
      </c>
      <c r="T5" s="21" t="n">
        <v>0.86</v>
      </c>
      <c r="U5" s="21" t="n">
        <v>0.86</v>
      </c>
      <c r="V5" s="15" t="n">
        <f aca="false">(T5-U5)*G5</f>
        <v>0</v>
      </c>
      <c r="W5" s="15" t="n">
        <v>0</v>
      </c>
      <c r="X5" s="15" t="n">
        <f aca="false">-W5</f>
        <v>-0</v>
      </c>
      <c r="Y5" s="15" t="n">
        <f aca="false">J5-M5-P5-S5-V5-X5</f>
        <v>0.952000000019098</v>
      </c>
      <c r="Z5" s="12" t="str">
        <f aca="false">IF(OR(ABS(M5)&gt;0.5,ABS(P5)&gt;0.5,ABS(S5)&gt;0.5,ABS(V5)&gt;0.5,ABS(X5)&gt;0.5),"是","")</f>
        <v/>
      </c>
    </row>
    <row r="6" customFormat="false" ht="15" hidden="false" customHeight="false" outlineLevel="0" collapsed="false">
      <c r="A6" s="12" t="s">
        <v>52</v>
      </c>
      <c r="B6" s="12" t="n">
        <v>5</v>
      </c>
      <c r="C6" s="12" t="s">
        <v>62</v>
      </c>
      <c r="D6" s="13" t="s">
        <v>61</v>
      </c>
      <c r="E6" s="12" t="s">
        <v>323</v>
      </c>
      <c r="F6" s="14" t="n">
        <v>36.36</v>
      </c>
      <c r="G6" s="15" t="n">
        <v>83264.4</v>
      </c>
      <c r="H6" s="15" t="n">
        <v>238.723799999998</v>
      </c>
      <c r="I6" s="15" t="n">
        <v>420.139800000007</v>
      </c>
      <c r="J6" s="15" t="n">
        <f aca="false">I6-H6</f>
        <v>181.416000000009</v>
      </c>
      <c r="K6" s="12" t="n">
        <v>20</v>
      </c>
      <c r="L6" s="12" t="n">
        <v>20</v>
      </c>
      <c r="M6" s="15" t="n">
        <f aca="false">(L6-K6)*F6</f>
        <v>0</v>
      </c>
      <c r="N6" s="12" t="n">
        <v>5</v>
      </c>
      <c r="O6" s="12" t="n">
        <v>0</v>
      </c>
      <c r="P6" s="15" t="n">
        <f aca="false">(N6-O6)*F6</f>
        <v>181.8</v>
      </c>
      <c r="Q6" s="21" t="n">
        <v>0.865</v>
      </c>
      <c r="R6" s="21" t="n">
        <v>0.865</v>
      </c>
      <c r="S6" s="15" t="n">
        <f aca="false">(R6-Q6)*(G6-23*F6)</f>
        <v>0</v>
      </c>
      <c r="T6" s="21" t="n">
        <v>0.86</v>
      </c>
      <c r="U6" s="21" t="n">
        <v>0.86</v>
      </c>
      <c r="V6" s="15" t="n">
        <f aca="false">(T6-U6)*G6</f>
        <v>0</v>
      </c>
      <c r="W6" s="15" t="n">
        <v>0</v>
      </c>
      <c r="X6" s="15" t="n">
        <f aca="false">-W6</f>
        <v>-0</v>
      </c>
      <c r="Y6" s="15" t="n">
        <f aca="false">J6-M6-P6-S6-V6-X6</f>
        <v>-0.383999999990579</v>
      </c>
      <c r="Z6" s="12" t="str">
        <f aca="false">IF(OR(ABS(M6)&gt;0.5,ABS(P6)&gt;0.5,ABS(S6)&gt;0.5,ABS(V6)&gt;0.5,ABS(X6)&gt;0.5),"是","")</f>
        <v>是</v>
      </c>
    </row>
    <row r="7" customFormat="false" ht="15" hidden="false" customHeight="false" outlineLevel="0" collapsed="false">
      <c r="A7" s="12" t="s">
        <v>52</v>
      </c>
      <c r="B7" s="12" t="n">
        <v>6</v>
      </c>
      <c r="C7" s="12" t="s">
        <v>64</v>
      </c>
      <c r="D7" s="13" t="s">
        <v>63</v>
      </c>
      <c r="E7" s="12" t="s">
        <v>323</v>
      </c>
      <c r="F7" s="14" t="n">
        <v>32.94</v>
      </c>
      <c r="G7" s="15" t="n">
        <v>75432.6</v>
      </c>
      <c r="H7" s="15" t="n">
        <v>215.957699999993</v>
      </c>
      <c r="I7" s="15" t="n">
        <v>380.6217</v>
      </c>
      <c r="J7" s="15" t="n">
        <f aca="false">I7-H7</f>
        <v>164.664000000007</v>
      </c>
      <c r="K7" s="12" t="n">
        <v>20</v>
      </c>
      <c r="L7" s="12" t="n">
        <v>20</v>
      </c>
      <c r="M7" s="15" t="n">
        <f aca="false">(L7-K7)*F7</f>
        <v>0</v>
      </c>
      <c r="N7" s="12" t="n">
        <v>5</v>
      </c>
      <c r="O7" s="12" t="n">
        <v>0</v>
      </c>
      <c r="P7" s="15" t="n">
        <f aca="false">(N7-O7)*F7</f>
        <v>164.7</v>
      </c>
      <c r="Q7" s="21" t="n">
        <v>0.865</v>
      </c>
      <c r="R7" s="21" t="n">
        <v>0.865</v>
      </c>
      <c r="S7" s="15" t="n">
        <f aca="false">(R7-Q7)*(G7-23*F7)</f>
        <v>0</v>
      </c>
      <c r="T7" s="21" t="n">
        <v>0.86</v>
      </c>
      <c r="U7" s="21" t="n">
        <v>0.86</v>
      </c>
      <c r="V7" s="15" t="n">
        <f aca="false">(T7-U7)*G7</f>
        <v>0</v>
      </c>
      <c r="W7" s="15" t="n">
        <v>0</v>
      </c>
      <c r="X7" s="15" t="n">
        <f aca="false">-W7</f>
        <v>-0</v>
      </c>
      <c r="Y7" s="15" t="n">
        <f aca="false">J7-M7-P7-S7-V7-X7</f>
        <v>-0.0359999999926117</v>
      </c>
      <c r="Z7" s="12" t="str">
        <f aca="false">IF(OR(ABS(M7)&gt;0.5,ABS(P7)&gt;0.5,ABS(S7)&gt;0.5,ABS(V7)&gt;0.5,ABS(X7)&gt;0.5),"是","")</f>
        <v>是</v>
      </c>
    </row>
    <row r="8" customFormat="false" ht="15" hidden="false" customHeight="false" outlineLevel="0" collapsed="false">
      <c r="A8" s="12" t="s">
        <v>52</v>
      </c>
      <c r="B8" s="12" t="n">
        <v>7</v>
      </c>
      <c r="C8" s="12" t="s">
        <v>66</v>
      </c>
      <c r="D8" s="13" t="s">
        <v>65</v>
      </c>
      <c r="E8" s="12" t="s">
        <v>323</v>
      </c>
      <c r="F8" s="14" t="n">
        <v>24.41</v>
      </c>
      <c r="G8" s="15" t="n">
        <v>59023.38</v>
      </c>
      <c r="H8" s="15" t="n">
        <v>175.736749999995</v>
      </c>
      <c r="I8" s="15" t="n">
        <v>175.629950000001</v>
      </c>
      <c r="J8" s="15" t="n">
        <f aca="false">I8-H8</f>
        <v>-0.106799999994195</v>
      </c>
      <c r="K8" s="12" t="n">
        <v>20</v>
      </c>
      <c r="L8" s="12" t="n">
        <v>20</v>
      </c>
      <c r="M8" s="15" t="n">
        <f aca="false">(L8-K8)*F8</f>
        <v>0</v>
      </c>
      <c r="N8" s="12" t="n">
        <v>5</v>
      </c>
      <c r="O8" s="12" t="n">
        <v>5</v>
      </c>
      <c r="P8" s="15" t="n">
        <f aca="false">(N8-O8)*F8</f>
        <v>0</v>
      </c>
      <c r="Q8" s="21" t="n">
        <v>0.865</v>
      </c>
      <c r="R8" s="21" t="n">
        <v>0.865</v>
      </c>
      <c r="S8" s="15" t="n">
        <f aca="false">(R8-Q8)*(G8-23*F8)</f>
        <v>0</v>
      </c>
      <c r="T8" s="21" t="n">
        <v>0.86</v>
      </c>
      <c r="U8" s="21" t="n">
        <v>0.86</v>
      </c>
      <c r="V8" s="15" t="n">
        <f aca="false">(T8-U8)*G8</f>
        <v>0</v>
      </c>
      <c r="W8" s="15" t="n">
        <v>0</v>
      </c>
      <c r="X8" s="15" t="n">
        <f aca="false">-W8</f>
        <v>-0</v>
      </c>
      <c r="Y8" s="15" t="n">
        <f aca="false">J8-M8-P8-S8-V8-X8</f>
        <v>-0.106799999994195</v>
      </c>
      <c r="Z8" s="12" t="str">
        <f aca="false">IF(OR(ABS(M8)&gt;0.5,ABS(P8)&gt;0.5,ABS(S8)&gt;0.5,ABS(V8)&gt;0.5,ABS(X8)&gt;0.5),"是","")</f>
        <v/>
      </c>
    </row>
    <row r="9" customFormat="false" ht="15" hidden="false" customHeight="false" outlineLevel="0" collapsed="false">
      <c r="A9" s="12" t="s">
        <v>52</v>
      </c>
      <c r="B9" s="12" t="n">
        <v>8</v>
      </c>
      <c r="C9" s="12" t="s">
        <v>55</v>
      </c>
      <c r="D9" s="13" t="s">
        <v>68</v>
      </c>
      <c r="E9" s="12" t="s">
        <v>323</v>
      </c>
      <c r="F9" s="14" t="n">
        <v>69.5</v>
      </c>
      <c r="G9" s="15" t="n">
        <v>159155</v>
      </c>
      <c r="H9" s="15" t="n">
        <v>455.872499999998</v>
      </c>
      <c r="I9" s="15" t="n">
        <v>455.572500000009</v>
      </c>
      <c r="J9" s="15" t="n">
        <f aca="false">I9-H9</f>
        <v>-0.2999999999887</v>
      </c>
      <c r="K9" s="12" t="n">
        <v>20</v>
      </c>
      <c r="L9" s="12" t="n">
        <v>20</v>
      </c>
      <c r="M9" s="15" t="n">
        <f aca="false">(L9-K9)*F9</f>
        <v>0</v>
      </c>
      <c r="N9" s="12" t="n">
        <v>5</v>
      </c>
      <c r="O9" s="12" t="n">
        <v>5</v>
      </c>
      <c r="P9" s="15" t="n">
        <f aca="false">(N9-O9)*F9</f>
        <v>0</v>
      </c>
      <c r="Q9" s="21" t="n">
        <v>0.865</v>
      </c>
      <c r="R9" s="21" t="n">
        <v>0.865</v>
      </c>
      <c r="S9" s="15" t="n">
        <f aca="false">(R9-Q9)*(G9-23*F9)</f>
        <v>0</v>
      </c>
      <c r="T9" s="21" t="n">
        <v>0.86</v>
      </c>
      <c r="U9" s="21" t="n">
        <v>0.86</v>
      </c>
      <c r="V9" s="15" t="n">
        <f aca="false">(T9-U9)*G9</f>
        <v>0</v>
      </c>
      <c r="W9" s="15" t="n">
        <v>0</v>
      </c>
      <c r="X9" s="15" t="n">
        <f aca="false">-W9</f>
        <v>-0</v>
      </c>
      <c r="Y9" s="15" t="n">
        <f aca="false">J9-M9-P9-S9-V9-X9</f>
        <v>-0.2999999999887</v>
      </c>
      <c r="Z9" s="12" t="str">
        <f aca="false">IF(OR(ABS(M9)&gt;0.5,ABS(P9)&gt;0.5,ABS(S9)&gt;0.5,ABS(V9)&gt;0.5,ABS(X9)&gt;0.5),"是","")</f>
        <v/>
      </c>
    </row>
    <row r="10" customFormat="false" ht="15" hidden="false" customHeight="false" outlineLevel="0" collapsed="false">
      <c r="A10" s="12" t="s">
        <v>52</v>
      </c>
      <c r="B10" s="12" t="n">
        <v>9</v>
      </c>
      <c r="C10" s="12" t="s">
        <v>70</v>
      </c>
      <c r="D10" s="13" t="s">
        <v>69</v>
      </c>
      <c r="E10" s="12" t="s">
        <v>323</v>
      </c>
      <c r="F10" s="14" t="n">
        <v>34.24</v>
      </c>
      <c r="G10" s="15" t="n">
        <v>78409.6</v>
      </c>
      <c r="H10" s="15" t="n">
        <v>224.699199999997</v>
      </c>
      <c r="I10" s="15" t="n">
        <v>395.643199999988</v>
      </c>
      <c r="J10" s="15" t="n">
        <f aca="false">I10-H10</f>
        <v>170.943999999991</v>
      </c>
      <c r="K10" s="12" t="n">
        <v>20</v>
      </c>
      <c r="L10" s="12" t="n">
        <v>20</v>
      </c>
      <c r="M10" s="15" t="n">
        <f aca="false">(L10-K10)*F10</f>
        <v>0</v>
      </c>
      <c r="N10" s="12" t="n">
        <v>5</v>
      </c>
      <c r="O10" s="12" t="n">
        <v>0</v>
      </c>
      <c r="P10" s="15" t="n">
        <f aca="false">(N10-O10)*F10</f>
        <v>171.2</v>
      </c>
      <c r="Q10" s="21" t="n">
        <v>0.865</v>
      </c>
      <c r="R10" s="21" t="n">
        <v>0.865</v>
      </c>
      <c r="S10" s="15" t="n">
        <f aca="false">(R10-Q10)*(G10-23*F10)</f>
        <v>0</v>
      </c>
      <c r="T10" s="21" t="n">
        <v>0.86</v>
      </c>
      <c r="U10" s="21" t="n">
        <v>0.86</v>
      </c>
      <c r="V10" s="15" t="n">
        <f aca="false">(T10-U10)*G10</f>
        <v>0</v>
      </c>
      <c r="W10" s="15" t="n">
        <v>0</v>
      </c>
      <c r="X10" s="15" t="n">
        <f aca="false">-W10</f>
        <v>-0</v>
      </c>
      <c r="Y10" s="15" t="n">
        <f aca="false">J10-M10-P10-S10-V10-X10</f>
        <v>-0.25600000000864</v>
      </c>
      <c r="Z10" s="12" t="str">
        <f aca="false">IF(OR(ABS(M10)&gt;0.5,ABS(P10)&gt;0.5,ABS(S10)&gt;0.5,ABS(V10)&gt;0.5,ABS(X10)&gt;0.5),"是","")</f>
        <v>是</v>
      </c>
    </row>
    <row r="11" customFormat="false" ht="15" hidden="false" customHeight="false" outlineLevel="0" collapsed="false">
      <c r="A11" s="12" t="s">
        <v>52</v>
      </c>
      <c r="B11" s="12" t="n">
        <v>10</v>
      </c>
      <c r="C11" s="12" t="s">
        <v>73</v>
      </c>
      <c r="D11" s="13" t="s">
        <v>72</v>
      </c>
      <c r="E11" s="12" t="s">
        <v>323</v>
      </c>
      <c r="F11" s="14" t="n">
        <v>81</v>
      </c>
      <c r="G11" s="15" t="n">
        <v>184032</v>
      </c>
      <c r="H11" s="15" t="n">
        <v>524.184999999998</v>
      </c>
      <c r="I11" s="15" t="n">
        <v>523.665000000008</v>
      </c>
      <c r="J11" s="15" t="n">
        <f aca="false">I11-H11</f>
        <v>-0.519999999989864</v>
      </c>
      <c r="K11" s="12" t="n">
        <v>20</v>
      </c>
      <c r="L11" s="12" t="n">
        <v>20</v>
      </c>
      <c r="M11" s="15" t="n">
        <f aca="false">(L11-K11)*F11</f>
        <v>0</v>
      </c>
      <c r="N11" s="12" t="n">
        <v>5</v>
      </c>
      <c r="O11" s="12" t="n">
        <v>5</v>
      </c>
      <c r="P11" s="15" t="n">
        <f aca="false">(N11-O11)*F11</f>
        <v>0</v>
      </c>
      <c r="Q11" s="21" t="n">
        <v>0.865</v>
      </c>
      <c r="R11" s="21" t="n">
        <v>0.865</v>
      </c>
      <c r="S11" s="15" t="n">
        <f aca="false">(R11-Q11)*(G11-23*F11)</f>
        <v>0</v>
      </c>
      <c r="T11" s="21" t="n">
        <v>0.86</v>
      </c>
      <c r="U11" s="21" t="n">
        <v>0.86</v>
      </c>
      <c r="V11" s="15" t="n">
        <f aca="false">(T11-U11)*G11</f>
        <v>0</v>
      </c>
      <c r="W11" s="15" t="n">
        <v>0</v>
      </c>
      <c r="X11" s="15" t="n">
        <f aca="false">-W11</f>
        <v>-0</v>
      </c>
      <c r="Y11" s="15" t="n">
        <f aca="false">J11-M11-P11-S11-V11-X11</f>
        <v>-0.519999999989864</v>
      </c>
      <c r="Z11" s="12" t="str">
        <f aca="false">IF(OR(ABS(M11)&gt;0.5,ABS(P11)&gt;0.5,ABS(S11)&gt;0.5,ABS(V11)&gt;0.5,ABS(X11)&gt;0.5),"是","")</f>
        <v/>
      </c>
    </row>
    <row r="12" customFormat="false" ht="15" hidden="false" customHeight="false" outlineLevel="0" collapsed="false">
      <c r="A12" s="12" t="s">
        <v>52</v>
      </c>
      <c r="B12" s="12" t="n">
        <v>11</v>
      </c>
      <c r="C12" s="12" t="s">
        <v>76</v>
      </c>
      <c r="D12" s="13" t="s">
        <v>75</v>
      </c>
      <c r="E12" s="12" t="s">
        <v>323</v>
      </c>
      <c r="F12" s="14" t="n">
        <v>560.39</v>
      </c>
      <c r="G12" s="15" t="n">
        <v>1344115.89</v>
      </c>
      <c r="H12" s="15" t="n">
        <v>3978.13579999995</v>
      </c>
      <c r="I12" s="15" t="n">
        <v>9581.37040000013</v>
      </c>
      <c r="J12" s="15" t="n">
        <f aca="false">I12-H12</f>
        <v>5603.23460000018</v>
      </c>
      <c r="K12" s="12" t="n">
        <v>20</v>
      </c>
      <c r="L12" s="12" t="n">
        <v>25</v>
      </c>
      <c r="M12" s="15" t="n">
        <f aca="false">(L12-K12)*F12</f>
        <v>2801.95</v>
      </c>
      <c r="N12" s="12" t="n">
        <v>5</v>
      </c>
      <c r="O12" s="12" t="n">
        <v>0</v>
      </c>
      <c r="P12" s="15" t="n">
        <f aca="false">(N12-O12)*F12</f>
        <v>2801.95</v>
      </c>
      <c r="Q12" s="21" t="n">
        <v>0.865</v>
      </c>
      <c r="R12" s="21" t="n">
        <v>0.865</v>
      </c>
      <c r="S12" s="15" t="n">
        <f aca="false">(R12-Q12)*(G12-23*F12)</f>
        <v>0</v>
      </c>
      <c r="T12" s="21" t="n">
        <v>0.86</v>
      </c>
      <c r="U12" s="21" t="n">
        <v>0.86</v>
      </c>
      <c r="V12" s="15" t="n">
        <f aca="false">(T12-U12)*G12</f>
        <v>0</v>
      </c>
      <c r="W12" s="15" t="n">
        <v>0</v>
      </c>
      <c r="X12" s="15" t="n">
        <f aca="false">-W12</f>
        <v>-0</v>
      </c>
      <c r="Y12" s="15" t="n">
        <f aca="false">J12-M12-P12-S12-V12-X12</f>
        <v>-0.665399999818874</v>
      </c>
      <c r="Z12" s="12" t="str">
        <f aca="false">IF(OR(ABS(M12)&gt;0.5,ABS(P12)&gt;0.5,ABS(S12)&gt;0.5,ABS(V12)&gt;0.5,ABS(X12)&gt;0.5),"是","")</f>
        <v>是</v>
      </c>
    </row>
    <row r="13" customFormat="false" ht="15" hidden="false" customHeight="false" outlineLevel="0" collapsed="false">
      <c r="A13" s="12" t="s">
        <v>52</v>
      </c>
      <c r="B13" s="12" t="n">
        <v>12</v>
      </c>
      <c r="C13" s="12" t="s">
        <v>81</v>
      </c>
      <c r="D13" s="13" t="s">
        <v>80</v>
      </c>
      <c r="E13" s="12" t="s">
        <v>323</v>
      </c>
      <c r="F13" s="14" t="n">
        <v>40.27</v>
      </c>
      <c r="G13" s="15" t="n">
        <v>93426.4</v>
      </c>
      <c r="H13" s="15" t="n">
        <v>270.714350000006</v>
      </c>
      <c r="I13" s="15" t="n">
        <v>471.360349999994</v>
      </c>
      <c r="J13" s="15" t="n">
        <f aca="false">I13-H13</f>
        <v>200.645999999988</v>
      </c>
      <c r="K13" s="12" t="n">
        <v>20</v>
      </c>
      <c r="L13" s="12" t="n">
        <v>25</v>
      </c>
      <c r="M13" s="15" t="n">
        <f aca="false">(L13-K13)*F13</f>
        <v>201.35</v>
      </c>
      <c r="N13" s="12" t="n">
        <v>5</v>
      </c>
      <c r="O13" s="12" t="n">
        <v>5</v>
      </c>
      <c r="P13" s="15" t="n">
        <f aca="false">(N13-O13)*F13</f>
        <v>0</v>
      </c>
      <c r="Q13" s="21" t="n">
        <v>0.865</v>
      </c>
      <c r="R13" s="21" t="n">
        <v>0.865</v>
      </c>
      <c r="S13" s="15" t="n">
        <f aca="false">(R13-Q13)*(G13-23*F13)</f>
        <v>0</v>
      </c>
      <c r="T13" s="21" t="n">
        <v>0.86</v>
      </c>
      <c r="U13" s="21" t="n">
        <v>0.86</v>
      </c>
      <c r="V13" s="15" t="n">
        <f aca="false">(T13-U13)*G13</f>
        <v>0</v>
      </c>
      <c r="W13" s="15" t="n">
        <v>0</v>
      </c>
      <c r="X13" s="15" t="n">
        <f aca="false">-W13</f>
        <v>-0</v>
      </c>
      <c r="Y13" s="15" t="n">
        <f aca="false">J13-M13-P13-S13-V13-X13</f>
        <v>-0.704000000012229</v>
      </c>
      <c r="Z13" s="12" t="str">
        <f aca="false">IF(OR(ABS(M13)&gt;0.5,ABS(P13)&gt;0.5,ABS(S13)&gt;0.5,ABS(V13)&gt;0.5,ABS(X13)&gt;0.5),"是","")</f>
        <v>是</v>
      </c>
    </row>
    <row r="14" customFormat="false" ht="15" hidden="false" customHeight="false" outlineLevel="0" collapsed="false">
      <c r="A14" s="12" t="s">
        <v>52</v>
      </c>
      <c r="B14" s="12" t="n">
        <v>13</v>
      </c>
      <c r="C14" s="12" t="s">
        <v>58</v>
      </c>
      <c r="D14" s="13" t="s">
        <v>82</v>
      </c>
      <c r="E14" s="12" t="s">
        <v>323</v>
      </c>
      <c r="F14" s="14" t="n">
        <v>34.3</v>
      </c>
      <c r="G14" s="15" t="n">
        <v>84206.5</v>
      </c>
      <c r="H14" s="15" t="n">
        <v>253.724000000002</v>
      </c>
      <c r="I14" s="15" t="n">
        <v>424.634000000006</v>
      </c>
      <c r="J14" s="15" t="n">
        <f aca="false">I14-H14</f>
        <v>170.910000000004</v>
      </c>
      <c r="K14" s="12" t="n">
        <v>20</v>
      </c>
      <c r="L14" s="12" t="n">
        <v>25</v>
      </c>
      <c r="M14" s="15" t="n">
        <f aca="false">(L14-K14)*F14</f>
        <v>171.5</v>
      </c>
      <c r="N14" s="12" t="n">
        <v>5</v>
      </c>
      <c r="O14" s="12" t="n">
        <v>5</v>
      </c>
      <c r="P14" s="15" t="n">
        <f aca="false">(N14-O14)*F14</f>
        <v>0</v>
      </c>
      <c r="Q14" s="21" t="n">
        <v>0.865</v>
      </c>
      <c r="R14" s="21" t="n">
        <v>0.865</v>
      </c>
      <c r="S14" s="15" t="n">
        <f aca="false">(R14-Q14)*(G14-23*F14)</f>
        <v>0</v>
      </c>
      <c r="T14" s="21" t="n">
        <v>0.86</v>
      </c>
      <c r="U14" s="21" t="n">
        <v>0.86</v>
      </c>
      <c r="V14" s="15" t="n">
        <f aca="false">(T14-U14)*G14</f>
        <v>0</v>
      </c>
      <c r="W14" s="15" t="n">
        <v>0</v>
      </c>
      <c r="X14" s="15" t="n">
        <f aca="false">-W14</f>
        <v>-0</v>
      </c>
      <c r="Y14" s="15" t="n">
        <f aca="false">J14-M14-P14-S14-V14-X14</f>
        <v>-0.589999999996479</v>
      </c>
      <c r="Z14" s="12" t="str">
        <f aca="false">IF(OR(ABS(M14)&gt;0.5,ABS(P14)&gt;0.5,ABS(S14)&gt;0.5,ABS(V14)&gt;0.5,ABS(X14)&gt;0.5),"是","")</f>
        <v>是</v>
      </c>
    </row>
    <row r="15" customFormat="false" ht="15" hidden="false" customHeight="false" outlineLevel="0" collapsed="false">
      <c r="A15" s="12" t="s">
        <v>52</v>
      </c>
      <c r="B15" s="12" t="n">
        <v>14</v>
      </c>
      <c r="C15" s="12" t="s">
        <v>84</v>
      </c>
      <c r="D15" s="13" t="s">
        <v>83</v>
      </c>
      <c r="E15" s="12" t="s">
        <v>323</v>
      </c>
      <c r="F15" s="14" t="n">
        <v>32.05</v>
      </c>
      <c r="G15" s="15" t="n">
        <v>78682.75</v>
      </c>
      <c r="H15" s="15" t="n">
        <v>236.694000000003</v>
      </c>
      <c r="I15" s="15" t="n">
        <v>396.77900000001</v>
      </c>
      <c r="J15" s="15" t="n">
        <f aca="false">I15-H15</f>
        <v>160.085000000007</v>
      </c>
      <c r="K15" s="12" t="n">
        <v>20</v>
      </c>
      <c r="L15" s="12" t="n">
        <v>25</v>
      </c>
      <c r="M15" s="15" t="n">
        <f aca="false">(L15-K15)*F15</f>
        <v>160.25</v>
      </c>
      <c r="N15" s="12" t="n">
        <v>5</v>
      </c>
      <c r="O15" s="12" t="n">
        <v>5</v>
      </c>
      <c r="P15" s="15" t="n">
        <f aca="false">(N15-O15)*F15</f>
        <v>0</v>
      </c>
      <c r="Q15" s="21" t="n">
        <v>0.865</v>
      </c>
      <c r="R15" s="21" t="n">
        <v>0.865</v>
      </c>
      <c r="S15" s="15" t="n">
        <f aca="false">(R15-Q15)*(G15-23*F15)</f>
        <v>0</v>
      </c>
      <c r="T15" s="21" t="n">
        <v>0.86</v>
      </c>
      <c r="U15" s="21" t="n">
        <v>0.86</v>
      </c>
      <c r="V15" s="15" t="n">
        <f aca="false">(T15-U15)*G15</f>
        <v>0</v>
      </c>
      <c r="W15" s="15" t="n">
        <v>0</v>
      </c>
      <c r="X15" s="15" t="n">
        <f aca="false">-W15</f>
        <v>-0</v>
      </c>
      <c r="Y15" s="15" t="n">
        <f aca="false">J15-M15-P15-S15-V15-X15</f>
        <v>-0.164999999993512</v>
      </c>
      <c r="Z15" s="12" t="str">
        <f aca="false">IF(OR(ABS(M15)&gt;0.5,ABS(P15)&gt;0.5,ABS(S15)&gt;0.5,ABS(V15)&gt;0.5,ABS(X15)&gt;0.5),"是","")</f>
        <v>是</v>
      </c>
    </row>
    <row r="16" customFormat="false" ht="15" hidden="false" customHeight="false" outlineLevel="0" collapsed="false">
      <c r="A16" s="12" t="s">
        <v>52</v>
      </c>
      <c r="B16" s="12" t="n">
        <v>15</v>
      </c>
      <c r="C16" s="12" t="s">
        <v>86</v>
      </c>
      <c r="D16" s="13" t="s">
        <v>85</v>
      </c>
      <c r="E16" s="12" t="s">
        <v>323</v>
      </c>
      <c r="F16" s="14" t="n">
        <v>28.47</v>
      </c>
      <c r="G16" s="15" t="n">
        <v>68569.64</v>
      </c>
      <c r="H16" s="15" t="n">
        <v>204.377949999999</v>
      </c>
      <c r="I16" s="15" t="n">
        <v>246.337550000002</v>
      </c>
      <c r="J16" s="15" t="n">
        <f aca="false">I16-H16</f>
        <v>41.9596000000034</v>
      </c>
      <c r="K16" s="12" t="n">
        <v>20</v>
      </c>
      <c r="L16" s="12" t="n">
        <v>25</v>
      </c>
      <c r="M16" s="15" t="n">
        <f aca="false">(L16-K16)*F16</f>
        <v>142.35</v>
      </c>
      <c r="N16" s="12" t="n">
        <v>5</v>
      </c>
      <c r="O16" s="12" t="n">
        <v>5</v>
      </c>
      <c r="P16" s="15" t="n">
        <f aca="false">(N16-O16)*F16</f>
        <v>0</v>
      </c>
      <c r="Q16" s="21" t="n">
        <v>0.865</v>
      </c>
      <c r="R16" s="21" t="n">
        <v>0.865</v>
      </c>
      <c r="S16" s="15" t="n">
        <f aca="false">(R16-Q16)*(G16-23*F16)</f>
        <v>0</v>
      </c>
      <c r="T16" s="21" t="n">
        <v>0.86</v>
      </c>
      <c r="U16" s="21" t="n">
        <v>0.86</v>
      </c>
      <c r="V16" s="15" t="n">
        <f aca="false">(T16-U16)*G16</f>
        <v>0</v>
      </c>
      <c r="W16" s="15" t="n">
        <v>100</v>
      </c>
      <c r="X16" s="15" t="n">
        <f aca="false">-W16</f>
        <v>-100</v>
      </c>
      <c r="Y16" s="15" t="n">
        <f aca="false">J16-M16-P16-S16-V16-X16</f>
        <v>-0.390399999996589</v>
      </c>
      <c r="Z16" s="12" t="str">
        <f aca="false">IF(OR(ABS(M16)&gt;0.5,ABS(P16)&gt;0.5,ABS(S16)&gt;0.5,ABS(V16)&gt;0.5,ABS(X16)&gt;0.5),"是","")</f>
        <v>是</v>
      </c>
    </row>
    <row r="17" customFormat="false" ht="15" hidden="false" customHeight="false" outlineLevel="0" collapsed="false">
      <c r="A17" s="12" t="s">
        <v>52</v>
      </c>
      <c r="B17" s="12" t="n">
        <v>16</v>
      </c>
      <c r="C17" s="12" t="s">
        <v>88</v>
      </c>
      <c r="D17" s="13" t="s">
        <v>87</v>
      </c>
      <c r="E17" s="12" t="s">
        <v>323</v>
      </c>
      <c r="F17" s="14" t="n">
        <v>48.38</v>
      </c>
      <c r="G17" s="15" t="n">
        <v>116112</v>
      </c>
      <c r="H17" s="15" t="n">
        <v>344.059899999996</v>
      </c>
      <c r="I17" s="15" t="n">
        <v>585.639900000003</v>
      </c>
      <c r="J17" s="15" t="n">
        <f aca="false">I17-H17</f>
        <v>241.580000000007</v>
      </c>
      <c r="K17" s="12" t="n">
        <v>20</v>
      </c>
      <c r="L17" s="12" t="n">
        <v>25</v>
      </c>
      <c r="M17" s="15" t="n">
        <f aca="false">(L17-K17)*F17</f>
        <v>241.9</v>
      </c>
      <c r="N17" s="12" t="n">
        <v>5</v>
      </c>
      <c r="O17" s="12" t="n">
        <v>5</v>
      </c>
      <c r="P17" s="15" t="n">
        <f aca="false">(N17-O17)*F17</f>
        <v>0</v>
      </c>
      <c r="Q17" s="21" t="n">
        <v>0.865</v>
      </c>
      <c r="R17" s="21" t="n">
        <v>0.865</v>
      </c>
      <c r="S17" s="15" t="n">
        <f aca="false">(R17-Q17)*(G17-23*F17)</f>
        <v>0</v>
      </c>
      <c r="T17" s="21" t="n">
        <v>0.86</v>
      </c>
      <c r="U17" s="21" t="n">
        <v>0.86</v>
      </c>
      <c r="V17" s="15" t="n">
        <f aca="false">(T17-U17)*G17</f>
        <v>0</v>
      </c>
      <c r="W17" s="15" t="n">
        <v>0</v>
      </c>
      <c r="X17" s="15" t="n">
        <f aca="false">-W17</f>
        <v>-0</v>
      </c>
      <c r="Y17" s="15" t="n">
        <f aca="false">J17-M17-P17-S17-V17-X17</f>
        <v>-0.319999999992575</v>
      </c>
      <c r="Z17" s="12" t="str">
        <f aca="false">IF(OR(ABS(M17)&gt;0.5,ABS(P17)&gt;0.5,ABS(S17)&gt;0.5,ABS(V17)&gt;0.5,ABS(X17)&gt;0.5),"是","")</f>
        <v>是</v>
      </c>
    </row>
    <row r="18" customFormat="false" ht="15" hidden="false" customHeight="false" outlineLevel="0" collapsed="false">
      <c r="A18" s="12" t="s">
        <v>52</v>
      </c>
      <c r="B18" s="12" t="n">
        <v>17</v>
      </c>
      <c r="C18" s="12" t="s">
        <v>91</v>
      </c>
      <c r="D18" s="13" t="s">
        <v>90</v>
      </c>
      <c r="E18" s="12" t="s">
        <v>323</v>
      </c>
      <c r="F18" s="14" t="n">
        <v>81.9</v>
      </c>
      <c r="G18" s="15" t="n">
        <v>191646</v>
      </c>
      <c r="H18" s="15" t="n">
        <v>557.88949999999</v>
      </c>
      <c r="I18" s="15" t="n">
        <v>966.829499999993</v>
      </c>
      <c r="J18" s="15" t="n">
        <f aca="false">I18-H18</f>
        <v>408.940000000003</v>
      </c>
      <c r="K18" s="12" t="n">
        <v>20</v>
      </c>
      <c r="L18" s="12" t="n">
        <v>25</v>
      </c>
      <c r="M18" s="15" t="n">
        <f aca="false">(L18-K18)*F18</f>
        <v>409.5</v>
      </c>
      <c r="N18" s="12" t="n">
        <v>5</v>
      </c>
      <c r="O18" s="12" t="n">
        <v>5</v>
      </c>
      <c r="P18" s="15" t="n">
        <f aca="false">(N18-O18)*F18</f>
        <v>0</v>
      </c>
      <c r="Q18" s="21" t="n">
        <v>0.865</v>
      </c>
      <c r="R18" s="21" t="n">
        <v>0.865</v>
      </c>
      <c r="S18" s="15" t="n">
        <f aca="false">(R18-Q18)*(G18-23*F18)</f>
        <v>0</v>
      </c>
      <c r="T18" s="21" t="n">
        <v>0.86</v>
      </c>
      <c r="U18" s="21" t="n">
        <v>0.86</v>
      </c>
      <c r="V18" s="15" t="n">
        <f aca="false">(T18-U18)*G18</f>
        <v>0</v>
      </c>
      <c r="W18" s="15" t="n">
        <v>0</v>
      </c>
      <c r="X18" s="15" t="n">
        <f aca="false">-W18</f>
        <v>-0</v>
      </c>
      <c r="Y18" s="15" t="n">
        <f aca="false">J18-M18-P18-S18-V18-X18</f>
        <v>-0.559999999997217</v>
      </c>
      <c r="Z18" s="12" t="str">
        <f aca="false">IF(OR(ABS(M18)&gt;0.5,ABS(P18)&gt;0.5,ABS(S18)&gt;0.5,ABS(V18)&gt;0.5,ABS(X18)&gt;0.5),"是","")</f>
        <v>是</v>
      </c>
    </row>
    <row r="19" customFormat="false" ht="15" hidden="false" customHeight="false" outlineLevel="0" collapsed="false">
      <c r="A19" s="12" t="s">
        <v>52</v>
      </c>
      <c r="B19" s="12" t="n">
        <v>18</v>
      </c>
      <c r="C19" s="12" t="s">
        <v>93</v>
      </c>
      <c r="D19" s="13" t="s">
        <v>92</v>
      </c>
      <c r="E19" s="12" t="s">
        <v>323</v>
      </c>
      <c r="F19" s="14" t="n">
        <v>18.52</v>
      </c>
      <c r="G19" s="15" t="n">
        <v>44448</v>
      </c>
      <c r="H19" s="15" t="n">
        <v>131.864599999998</v>
      </c>
      <c r="I19" s="15" t="n">
        <v>224.184599999999</v>
      </c>
      <c r="J19" s="15" t="n">
        <f aca="false">I19-H19</f>
        <v>92.3200000000011</v>
      </c>
      <c r="K19" s="12" t="n">
        <v>20</v>
      </c>
      <c r="L19" s="12" t="n">
        <v>25</v>
      </c>
      <c r="M19" s="15" t="n">
        <f aca="false">(L19-K19)*F19</f>
        <v>92.6</v>
      </c>
      <c r="N19" s="12" t="n">
        <v>5</v>
      </c>
      <c r="O19" s="12" t="n">
        <v>5</v>
      </c>
      <c r="P19" s="15" t="n">
        <f aca="false">(N19-O19)*F19</f>
        <v>0</v>
      </c>
      <c r="Q19" s="21" t="n">
        <v>0.865</v>
      </c>
      <c r="R19" s="21" t="n">
        <v>0.865</v>
      </c>
      <c r="S19" s="15" t="n">
        <f aca="false">(R19-Q19)*(G19-23*F19)</f>
        <v>0</v>
      </c>
      <c r="T19" s="21" t="n">
        <v>0.86</v>
      </c>
      <c r="U19" s="21" t="n">
        <v>0.86</v>
      </c>
      <c r="V19" s="15" t="n">
        <f aca="false">(T19-U19)*G19</f>
        <v>0</v>
      </c>
      <c r="W19" s="15" t="n">
        <v>0</v>
      </c>
      <c r="X19" s="15" t="n">
        <f aca="false">-W19</f>
        <v>-0</v>
      </c>
      <c r="Y19" s="15" t="n">
        <f aca="false">J19-M19-P19-S19-V19-X19</f>
        <v>-0.279999999998893</v>
      </c>
      <c r="Z19" s="12" t="str">
        <f aca="false">IF(OR(ABS(M19)&gt;0.5,ABS(P19)&gt;0.5,ABS(S19)&gt;0.5,ABS(V19)&gt;0.5,ABS(X19)&gt;0.5),"是","")</f>
        <v>是</v>
      </c>
    </row>
    <row r="20" customFormat="false" ht="15" hidden="false" customHeight="false" outlineLevel="0" collapsed="false">
      <c r="A20" s="12" t="s">
        <v>52</v>
      </c>
      <c r="B20" s="12" t="n">
        <v>19</v>
      </c>
      <c r="C20" s="12" t="s">
        <v>73</v>
      </c>
      <c r="D20" s="13" t="s">
        <v>94</v>
      </c>
      <c r="E20" s="12" t="s">
        <v>323</v>
      </c>
      <c r="F20" s="14" t="n">
        <v>38.2</v>
      </c>
      <c r="G20" s="15" t="n">
        <v>88624</v>
      </c>
      <c r="H20" s="15" t="n">
        <v>256.770999999993</v>
      </c>
      <c r="I20" s="15" t="n">
        <v>447.130999999994</v>
      </c>
      <c r="J20" s="15" t="n">
        <f aca="false">I20-H20</f>
        <v>190.360000000001</v>
      </c>
      <c r="K20" s="12" t="n">
        <v>20</v>
      </c>
      <c r="L20" s="12" t="n">
        <v>25</v>
      </c>
      <c r="M20" s="15" t="n">
        <f aca="false">(L20-K20)*F20</f>
        <v>191</v>
      </c>
      <c r="N20" s="12" t="n">
        <v>5</v>
      </c>
      <c r="O20" s="12" t="n">
        <v>5</v>
      </c>
      <c r="P20" s="15" t="n">
        <f aca="false">(N20-O20)*F20</f>
        <v>0</v>
      </c>
      <c r="Q20" s="21" t="n">
        <v>0.865</v>
      </c>
      <c r="R20" s="21" t="n">
        <v>0.865</v>
      </c>
      <c r="S20" s="15" t="n">
        <f aca="false">(R20-Q20)*(G20-23*F20)</f>
        <v>0</v>
      </c>
      <c r="T20" s="21" t="n">
        <v>0.86</v>
      </c>
      <c r="U20" s="21" t="n">
        <v>0.86</v>
      </c>
      <c r="V20" s="15" t="n">
        <f aca="false">(T20-U20)*G20</f>
        <v>0</v>
      </c>
      <c r="W20" s="15" t="n">
        <v>0</v>
      </c>
      <c r="X20" s="15" t="n">
        <f aca="false">-W20</f>
        <v>-0</v>
      </c>
      <c r="Y20" s="15" t="n">
        <f aca="false">J20-M20-P20-S20-V20-X20</f>
        <v>-0.639999999999247</v>
      </c>
      <c r="Z20" s="12" t="str">
        <f aca="false">IF(OR(ABS(M20)&gt;0.5,ABS(P20)&gt;0.5,ABS(S20)&gt;0.5,ABS(V20)&gt;0.5,ABS(X20)&gt;0.5),"是","")</f>
        <v>是</v>
      </c>
    </row>
    <row r="21" customFormat="false" ht="15" hidden="false" customHeight="false" outlineLevel="0" collapsed="false">
      <c r="A21" s="12" t="s">
        <v>52</v>
      </c>
      <c r="B21" s="12" t="n">
        <v>20</v>
      </c>
      <c r="C21" s="12" t="s">
        <v>58</v>
      </c>
      <c r="D21" s="13" t="s">
        <v>95</v>
      </c>
      <c r="E21" s="12" t="s">
        <v>323</v>
      </c>
      <c r="F21" s="14" t="n">
        <v>55.18</v>
      </c>
      <c r="G21" s="15" t="n">
        <v>130224.8</v>
      </c>
      <c r="H21" s="15" t="n">
        <v>381.345900000003</v>
      </c>
      <c r="I21" s="15" t="n">
        <v>656.917900000009</v>
      </c>
      <c r="J21" s="15" t="n">
        <f aca="false">I21-H21</f>
        <v>275.572000000006</v>
      </c>
      <c r="K21" s="12" t="n">
        <v>20</v>
      </c>
      <c r="L21" s="12" t="n">
        <v>25</v>
      </c>
      <c r="M21" s="15" t="n">
        <f aca="false">(L21-K21)*F21</f>
        <v>275.9</v>
      </c>
      <c r="N21" s="12" t="n">
        <v>5</v>
      </c>
      <c r="O21" s="12" t="n">
        <v>5</v>
      </c>
      <c r="P21" s="15" t="n">
        <f aca="false">(N21-O21)*F21</f>
        <v>0</v>
      </c>
      <c r="Q21" s="21" t="n">
        <v>0.865</v>
      </c>
      <c r="R21" s="21" t="n">
        <v>0.865</v>
      </c>
      <c r="S21" s="15" t="n">
        <f aca="false">(R21-Q21)*(G21-23*F21)</f>
        <v>0</v>
      </c>
      <c r="T21" s="21" t="n">
        <v>0.86</v>
      </c>
      <c r="U21" s="21" t="n">
        <v>0.86</v>
      </c>
      <c r="V21" s="15" t="n">
        <f aca="false">(T21-U21)*G21</f>
        <v>0</v>
      </c>
      <c r="W21" s="15" t="n">
        <v>0</v>
      </c>
      <c r="X21" s="15" t="n">
        <f aca="false">-W21</f>
        <v>-0</v>
      </c>
      <c r="Y21" s="15" t="n">
        <f aca="false">J21-M21-P21-S21-V21-X21</f>
        <v>-0.327999999993835</v>
      </c>
      <c r="Z21" s="12" t="str">
        <f aca="false">IF(OR(ABS(M21)&gt;0.5,ABS(P21)&gt;0.5,ABS(S21)&gt;0.5,ABS(V21)&gt;0.5,ABS(X21)&gt;0.5),"是","")</f>
        <v>是</v>
      </c>
    </row>
    <row r="22" customFormat="false" ht="15" hidden="false" customHeight="false" outlineLevel="0" collapsed="false">
      <c r="A22" s="12" t="s">
        <v>52</v>
      </c>
      <c r="B22" s="12" t="n">
        <v>21</v>
      </c>
      <c r="C22" s="12" t="s">
        <v>55</v>
      </c>
      <c r="D22" s="13" t="s">
        <v>96</v>
      </c>
      <c r="E22" s="12" t="s">
        <v>323</v>
      </c>
      <c r="F22" s="14" t="n">
        <v>63.16</v>
      </c>
      <c r="G22" s="15" t="n">
        <v>153352.48</v>
      </c>
      <c r="H22" s="15" t="n">
        <v>457.72699999999</v>
      </c>
      <c r="I22" s="15" t="n">
        <v>773.394199999998</v>
      </c>
      <c r="J22" s="15" t="n">
        <f aca="false">I22-H22</f>
        <v>315.667200000008</v>
      </c>
      <c r="K22" s="12" t="n">
        <v>20</v>
      </c>
      <c r="L22" s="12" t="n">
        <v>25</v>
      </c>
      <c r="M22" s="15" t="n">
        <f aca="false">(L22-K22)*F22</f>
        <v>315.8</v>
      </c>
      <c r="N22" s="12" t="n">
        <v>5</v>
      </c>
      <c r="O22" s="12" t="n">
        <v>5</v>
      </c>
      <c r="P22" s="15" t="n">
        <f aca="false">(N22-O22)*F22</f>
        <v>0</v>
      </c>
      <c r="Q22" s="21" t="n">
        <v>0.865</v>
      </c>
      <c r="R22" s="21" t="n">
        <v>0.865</v>
      </c>
      <c r="S22" s="15" t="n">
        <f aca="false">(R22-Q22)*(G22-23*F22)</f>
        <v>0</v>
      </c>
      <c r="T22" s="21" t="n">
        <v>0.86</v>
      </c>
      <c r="U22" s="21" t="n">
        <v>0.86</v>
      </c>
      <c r="V22" s="15" t="n">
        <f aca="false">(T22-U22)*G22</f>
        <v>0</v>
      </c>
      <c r="W22" s="15" t="n">
        <v>0</v>
      </c>
      <c r="X22" s="15" t="n">
        <f aca="false">-W22</f>
        <v>-0</v>
      </c>
      <c r="Y22" s="15" t="n">
        <f aca="false">J22-M22-P22-S22-V22-X22</f>
        <v>-0.132799999991846</v>
      </c>
      <c r="Z22" s="12" t="str">
        <f aca="false">IF(OR(ABS(M22)&gt;0.5,ABS(P22)&gt;0.5,ABS(S22)&gt;0.5,ABS(V22)&gt;0.5,ABS(X22)&gt;0.5),"是","")</f>
        <v>是</v>
      </c>
    </row>
    <row r="23" customFormat="false" ht="15" hidden="false" customHeight="false" outlineLevel="0" collapsed="false">
      <c r="A23" s="12" t="s">
        <v>52</v>
      </c>
      <c r="B23" s="12" t="n">
        <v>22</v>
      </c>
      <c r="C23" s="12" t="s">
        <v>66</v>
      </c>
      <c r="D23" s="13" t="s">
        <v>97</v>
      </c>
      <c r="E23" s="12" t="s">
        <v>323</v>
      </c>
      <c r="F23" s="14" t="n">
        <v>27.22</v>
      </c>
      <c r="G23" s="15" t="n">
        <v>66416.8</v>
      </c>
      <c r="H23" s="15" t="n">
        <v>199.290100000003</v>
      </c>
      <c r="I23" s="15" t="n">
        <v>334.942099999999</v>
      </c>
      <c r="J23" s="15" t="n">
        <f aca="false">I23-H23</f>
        <v>135.651999999996</v>
      </c>
      <c r="K23" s="12" t="n">
        <v>20</v>
      </c>
      <c r="L23" s="12" t="n">
        <v>25</v>
      </c>
      <c r="M23" s="15" t="n">
        <f aca="false">(L23-K23)*F23</f>
        <v>136.1</v>
      </c>
      <c r="N23" s="12" t="n">
        <v>5</v>
      </c>
      <c r="O23" s="12" t="n">
        <v>5</v>
      </c>
      <c r="P23" s="15" t="n">
        <f aca="false">(N23-O23)*F23</f>
        <v>0</v>
      </c>
      <c r="Q23" s="21" t="n">
        <v>0.865</v>
      </c>
      <c r="R23" s="21" t="n">
        <v>0.865</v>
      </c>
      <c r="S23" s="15" t="n">
        <f aca="false">(R23-Q23)*(G23-23*F23)</f>
        <v>0</v>
      </c>
      <c r="T23" s="21" t="n">
        <v>0.86</v>
      </c>
      <c r="U23" s="21" t="n">
        <v>0.86</v>
      </c>
      <c r="V23" s="15" t="n">
        <f aca="false">(T23-U23)*G23</f>
        <v>0</v>
      </c>
      <c r="W23" s="15" t="n">
        <v>0</v>
      </c>
      <c r="X23" s="15" t="n">
        <f aca="false">-W23</f>
        <v>-0</v>
      </c>
      <c r="Y23" s="15" t="n">
        <f aca="false">J23-M23-P23-S23-V23-X23</f>
        <v>-0.448000000004328</v>
      </c>
      <c r="Z23" s="12" t="str">
        <f aca="false">IF(OR(ABS(M23)&gt;0.5,ABS(P23)&gt;0.5,ABS(S23)&gt;0.5,ABS(V23)&gt;0.5,ABS(X23)&gt;0.5),"是","")</f>
        <v>是</v>
      </c>
    </row>
    <row r="24" customFormat="false" ht="15" hidden="false" customHeight="false" outlineLevel="0" collapsed="false">
      <c r="A24" s="12" t="s">
        <v>52</v>
      </c>
      <c r="B24" s="12" t="n">
        <v>23</v>
      </c>
      <c r="C24" s="12" t="s">
        <v>84</v>
      </c>
      <c r="D24" s="13" t="s">
        <v>98</v>
      </c>
      <c r="E24" s="12" t="s">
        <v>323</v>
      </c>
      <c r="F24" s="14" t="n">
        <v>34.22</v>
      </c>
      <c r="G24" s="15" t="n">
        <v>83496.8</v>
      </c>
      <c r="H24" s="15" t="n">
        <v>250.225100000008</v>
      </c>
      <c r="I24" s="15" t="n">
        <v>421.077100000001</v>
      </c>
      <c r="J24" s="15" t="n">
        <f aca="false">I24-H24</f>
        <v>170.851999999993</v>
      </c>
      <c r="K24" s="12" t="n">
        <v>20</v>
      </c>
      <c r="L24" s="12" t="n">
        <v>25</v>
      </c>
      <c r="M24" s="15" t="n">
        <f aca="false">(L24-K24)*F24</f>
        <v>171.1</v>
      </c>
      <c r="N24" s="12" t="n">
        <v>5</v>
      </c>
      <c r="O24" s="12" t="n">
        <v>5</v>
      </c>
      <c r="P24" s="15" t="n">
        <f aca="false">(N24-O24)*F24</f>
        <v>0</v>
      </c>
      <c r="Q24" s="21" t="n">
        <v>0.865</v>
      </c>
      <c r="R24" s="21" t="n">
        <v>0.865</v>
      </c>
      <c r="S24" s="15" t="n">
        <f aca="false">(R24-Q24)*(G24-23*F24)</f>
        <v>0</v>
      </c>
      <c r="T24" s="21" t="n">
        <v>0.86</v>
      </c>
      <c r="U24" s="21" t="n">
        <v>0.86</v>
      </c>
      <c r="V24" s="15" t="n">
        <f aca="false">(T24-U24)*G24</f>
        <v>0</v>
      </c>
      <c r="W24" s="15" t="n">
        <v>0</v>
      </c>
      <c r="X24" s="15" t="n">
        <f aca="false">-W24</f>
        <v>-0</v>
      </c>
      <c r="Y24" s="15" t="n">
        <f aca="false">J24-M24-P24-S24-V24-X24</f>
        <v>-0.248000000007181</v>
      </c>
      <c r="Z24" s="12" t="str">
        <f aca="false">IF(OR(ABS(M24)&gt;0.5,ABS(P24)&gt;0.5,ABS(S24)&gt;0.5,ABS(V24)&gt;0.5,ABS(X24)&gt;0.5),"是","")</f>
        <v>是</v>
      </c>
    </row>
    <row r="25" customFormat="false" ht="15" hidden="false" customHeight="false" outlineLevel="0" collapsed="false">
      <c r="A25" s="12" t="s">
        <v>52</v>
      </c>
      <c r="B25" s="12" t="n">
        <v>24</v>
      </c>
      <c r="C25" s="12" t="s">
        <v>73</v>
      </c>
      <c r="D25" s="13" t="s">
        <v>99</v>
      </c>
      <c r="E25" s="12" t="s">
        <v>323</v>
      </c>
      <c r="F25" s="14" t="n">
        <v>67.8</v>
      </c>
      <c r="G25" s="15" t="n">
        <v>151872</v>
      </c>
      <c r="H25" s="15" t="n">
        <v>428.399000000005</v>
      </c>
      <c r="I25" s="15" t="n">
        <v>766.479000000007</v>
      </c>
      <c r="J25" s="15" t="n">
        <f aca="false">I25-H25</f>
        <v>338.080000000002</v>
      </c>
      <c r="K25" s="12" t="n">
        <v>20</v>
      </c>
      <c r="L25" s="12" t="n">
        <v>25</v>
      </c>
      <c r="M25" s="15" t="n">
        <f aca="false">(L25-K25)*F25</f>
        <v>339</v>
      </c>
      <c r="N25" s="12" t="n">
        <v>5</v>
      </c>
      <c r="O25" s="12" t="n">
        <v>5</v>
      </c>
      <c r="P25" s="15" t="n">
        <f aca="false">(N25-O25)*F25</f>
        <v>0</v>
      </c>
      <c r="Q25" s="21" t="n">
        <v>0.865</v>
      </c>
      <c r="R25" s="21" t="n">
        <v>0.865</v>
      </c>
      <c r="S25" s="15" t="n">
        <f aca="false">(R25-Q25)*(G25-23*F25)</f>
        <v>0</v>
      </c>
      <c r="T25" s="21" t="n">
        <v>0.86</v>
      </c>
      <c r="U25" s="21" t="n">
        <v>0.86</v>
      </c>
      <c r="V25" s="15" t="n">
        <f aca="false">(T25-U25)*G25</f>
        <v>0</v>
      </c>
      <c r="W25" s="15" t="n">
        <v>0</v>
      </c>
      <c r="X25" s="15" t="n">
        <f aca="false">-W25</f>
        <v>-0</v>
      </c>
      <c r="Y25" s="15" t="n">
        <f aca="false">J25-M25-P25-S25-V25-X25</f>
        <v>-0.919999999998368</v>
      </c>
      <c r="Z25" s="12" t="str">
        <f aca="false">IF(OR(ABS(M25)&gt;0.5,ABS(P25)&gt;0.5,ABS(S25)&gt;0.5,ABS(V25)&gt;0.5,ABS(X25)&gt;0.5),"是","")</f>
        <v>是</v>
      </c>
    </row>
    <row r="26" customFormat="false" ht="15" hidden="false" customHeight="false" outlineLevel="0" collapsed="false">
      <c r="A26" s="12" t="s">
        <v>52</v>
      </c>
      <c r="B26" s="12" t="n">
        <v>25</v>
      </c>
      <c r="C26" s="12" t="s">
        <v>101</v>
      </c>
      <c r="D26" s="13" t="s">
        <v>100</v>
      </c>
      <c r="E26" s="12" t="s">
        <v>323</v>
      </c>
      <c r="F26" s="14" t="n">
        <v>32.52</v>
      </c>
      <c r="G26" s="15" t="n">
        <v>78048</v>
      </c>
      <c r="H26" s="15" t="n">
        <v>231.334599999999</v>
      </c>
      <c r="I26" s="15" t="n">
        <v>393.6546</v>
      </c>
      <c r="J26" s="15" t="n">
        <f aca="false">I26-H26</f>
        <v>162.320000000001</v>
      </c>
      <c r="K26" s="12" t="n">
        <v>20</v>
      </c>
      <c r="L26" s="12" t="n">
        <v>25</v>
      </c>
      <c r="M26" s="15" t="n">
        <f aca="false">(L26-K26)*F26</f>
        <v>162.6</v>
      </c>
      <c r="N26" s="12" t="n">
        <v>5</v>
      </c>
      <c r="O26" s="12" t="n">
        <v>5</v>
      </c>
      <c r="P26" s="15" t="n">
        <f aca="false">(N26-O26)*F26</f>
        <v>0</v>
      </c>
      <c r="Q26" s="21" t="n">
        <v>0.865</v>
      </c>
      <c r="R26" s="21" t="n">
        <v>0.865</v>
      </c>
      <c r="S26" s="15" t="n">
        <f aca="false">(R26-Q26)*(G26-23*F26)</f>
        <v>0</v>
      </c>
      <c r="T26" s="21" t="n">
        <v>0.86</v>
      </c>
      <c r="U26" s="21" t="n">
        <v>0.86</v>
      </c>
      <c r="V26" s="15" t="n">
        <f aca="false">(T26-U26)*G26</f>
        <v>0</v>
      </c>
      <c r="W26" s="15" t="n">
        <v>0</v>
      </c>
      <c r="X26" s="15" t="n">
        <f aca="false">-W26</f>
        <v>-0</v>
      </c>
      <c r="Y26" s="15" t="n">
        <f aca="false">J26-M26-P26-S26-V26-X26</f>
        <v>-0.279999999998836</v>
      </c>
      <c r="Z26" s="12" t="str">
        <f aca="false">IF(OR(ABS(M26)&gt;0.5,ABS(P26)&gt;0.5,ABS(S26)&gt;0.5,ABS(V26)&gt;0.5,ABS(X26)&gt;0.5),"是","")</f>
        <v>是</v>
      </c>
    </row>
    <row r="27" customFormat="false" ht="15" hidden="false" customHeight="false" outlineLevel="0" collapsed="false">
      <c r="A27" s="12" t="s">
        <v>52</v>
      </c>
      <c r="B27" s="12" t="n">
        <v>26</v>
      </c>
      <c r="C27" s="12" t="s">
        <v>103</v>
      </c>
      <c r="D27" s="13" t="s">
        <v>102</v>
      </c>
      <c r="E27" s="12" t="s">
        <v>323</v>
      </c>
      <c r="F27" s="14" t="n">
        <v>29</v>
      </c>
      <c r="G27" s="15" t="n">
        <v>71369</v>
      </c>
      <c r="H27" s="15" t="n">
        <v>215.229999999996</v>
      </c>
      <c r="I27" s="15" t="n">
        <v>359.889999999999</v>
      </c>
      <c r="J27" s="15" t="n">
        <f aca="false">I27-H27</f>
        <v>144.660000000003</v>
      </c>
      <c r="K27" s="12" t="n">
        <v>20</v>
      </c>
      <c r="L27" s="12" t="n">
        <v>25</v>
      </c>
      <c r="M27" s="15" t="n">
        <f aca="false">(L27-K27)*F27</f>
        <v>145</v>
      </c>
      <c r="N27" s="12" t="n">
        <v>5</v>
      </c>
      <c r="O27" s="12" t="n">
        <v>5</v>
      </c>
      <c r="P27" s="15" t="n">
        <f aca="false">(N27-O27)*F27</f>
        <v>0</v>
      </c>
      <c r="Q27" s="21" t="n">
        <v>0.865</v>
      </c>
      <c r="R27" s="21" t="n">
        <v>0.865</v>
      </c>
      <c r="S27" s="15" t="n">
        <f aca="false">(R27-Q27)*(G27-23*F27)</f>
        <v>0</v>
      </c>
      <c r="T27" s="21" t="n">
        <v>0.86</v>
      </c>
      <c r="U27" s="21" t="n">
        <v>0.86</v>
      </c>
      <c r="V27" s="15" t="n">
        <f aca="false">(T27-U27)*G27</f>
        <v>0</v>
      </c>
      <c r="W27" s="15" t="n">
        <v>0</v>
      </c>
      <c r="X27" s="15" t="n">
        <f aca="false">-W27</f>
        <v>-0</v>
      </c>
      <c r="Y27" s="15" t="n">
        <f aca="false">J27-M27-P27-S27-V27-X27</f>
        <v>-0.339999999996593</v>
      </c>
      <c r="Z27" s="12" t="str">
        <f aca="false">IF(OR(ABS(M27)&gt;0.5,ABS(P27)&gt;0.5,ABS(S27)&gt;0.5,ABS(V27)&gt;0.5,ABS(X27)&gt;0.5),"是","")</f>
        <v>是</v>
      </c>
    </row>
    <row r="28" customFormat="false" ht="15" hidden="false" customHeight="false" outlineLevel="0" collapsed="false">
      <c r="A28" s="12" t="s">
        <v>52</v>
      </c>
      <c r="B28" s="12" t="n">
        <v>27</v>
      </c>
      <c r="C28" s="12" t="s">
        <v>55</v>
      </c>
      <c r="D28" s="13" t="s">
        <v>105</v>
      </c>
      <c r="E28" s="12" t="s">
        <v>323</v>
      </c>
      <c r="F28" s="14" t="n">
        <v>81.36</v>
      </c>
      <c r="G28" s="15" t="n">
        <v>204213.6</v>
      </c>
      <c r="H28" s="15" t="n">
        <v>623.506800000009</v>
      </c>
      <c r="I28" s="15" t="n">
        <v>1029.61080000001</v>
      </c>
      <c r="J28" s="15" t="n">
        <f aca="false">I28-H28</f>
        <v>406.104000000003</v>
      </c>
      <c r="K28" s="12" t="n">
        <v>20</v>
      </c>
      <c r="L28" s="12" t="n">
        <v>25</v>
      </c>
      <c r="M28" s="15" t="n">
        <f aca="false">(L28-K28)*F28</f>
        <v>406.8</v>
      </c>
      <c r="N28" s="12" t="n">
        <v>5</v>
      </c>
      <c r="O28" s="12" t="n">
        <v>5</v>
      </c>
      <c r="P28" s="15" t="n">
        <f aca="false">(N28-O28)*F28</f>
        <v>0</v>
      </c>
      <c r="Q28" s="21" t="n">
        <v>0.865</v>
      </c>
      <c r="R28" s="21" t="n">
        <v>0.865</v>
      </c>
      <c r="S28" s="15" t="n">
        <f aca="false">(R28-Q28)*(G28-23*F28)</f>
        <v>0</v>
      </c>
      <c r="T28" s="21" t="n">
        <v>0.86</v>
      </c>
      <c r="U28" s="21" t="n">
        <v>0.86</v>
      </c>
      <c r="V28" s="15" t="n">
        <f aca="false">(T28-U28)*G28</f>
        <v>0</v>
      </c>
      <c r="W28" s="15" t="n">
        <v>0</v>
      </c>
      <c r="X28" s="15" t="n">
        <f aca="false">-W28</f>
        <v>-0</v>
      </c>
      <c r="Y28" s="15" t="n">
        <f aca="false">J28-M28-P28-S28-V28-X28</f>
        <v>-0.695999999997014</v>
      </c>
      <c r="Z28" s="12" t="str">
        <f aca="false">IF(OR(ABS(M28)&gt;0.5,ABS(P28)&gt;0.5,ABS(S28)&gt;0.5,ABS(V28)&gt;0.5,ABS(X28)&gt;0.5),"是","")</f>
        <v>是</v>
      </c>
    </row>
    <row r="29" customFormat="false" ht="15" hidden="false" customHeight="false" outlineLevel="0" collapsed="false">
      <c r="A29" s="12" t="s">
        <v>52</v>
      </c>
      <c r="B29" s="12" t="n">
        <v>28</v>
      </c>
      <c r="C29" s="12" t="s">
        <v>88</v>
      </c>
      <c r="D29" s="13" t="s">
        <v>106</v>
      </c>
      <c r="E29" s="12" t="s">
        <v>323</v>
      </c>
      <c r="F29" s="14" t="n">
        <v>48.75</v>
      </c>
      <c r="G29" s="15" t="n">
        <v>117000</v>
      </c>
      <c r="H29" s="15" t="n">
        <v>346.368749999994</v>
      </c>
      <c r="I29" s="15" t="n">
        <v>590.118749999994</v>
      </c>
      <c r="J29" s="15" t="n">
        <f aca="false">I29-H29</f>
        <v>243.75</v>
      </c>
      <c r="K29" s="12" t="n">
        <v>20</v>
      </c>
      <c r="L29" s="12" t="n">
        <v>25</v>
      </c>
      <c r="M29" s="15" t="n">
        <f aca="false">(L29-K29)*F29</f>
        <v>243.75</v>
      </c>
      <c r="N29" s="12" t="n">
        <v>5</v>
      </c>
      <c r="O29" s="12" t="n">
        <v>5</v>
      </c>
      <c r="P29" s="15" t="n">
        <f aca="false">(N29-O29)*F29</f>
        <v>0</v>
      </c>
      <c r="Q29" s="21" t="n">
        <v>0.865</v>
      </c>
      <c r="R29" s="21" t="n">
        <v>0.865</v>
      </c>
      <c r="S29" s="15" t="n">
        <f aca="false">(R29-Q29)*(G29-23*F29)</f>
        <v>0</v>
      </c>
      <c r="T29" s="21" t="n">
        <v>0.86</v>
      </c>
      <c r="U29" s="21" t="n">
        <v>0.86</v>
      </c>
      <c r="V29" s="15" t="n">
        <f aca="false">(T29-U29)*G29</f>
        <v>0</v>
      </c>
      <c r="W29" s="15" t="n">
        <v>0</v>
      </c>
      <c r="X29" s="15" t="n">
        <f aca="false">-W29</f>
        <v>-0</v>
      </c>
      <c r="Y29" s="15" t="n">
        <f aca="false">J29-M29-P29-S29-V29-X29</f>
        <v>0</v>
      </c>
      <c r="Z29" s="12" t="str">
        <f aca="false">IF(OR(ABS(M29)&gt;0.5,ABS(P29)&gt;0.5,ABS(S29)&gt;0.5,ABS(V29)&gt;0.5,ABS(X29)&gt;0.5),"是","")</f>
        <v>是</v>
      </c>
    </row>
    <row r="30" customFormat="false" ht="15" hidden="false" customHeight="false" outlineLevel="0" collapsed="false">
      <c r="A30" s="12" t="s">
        <v>52</v>
      </c>
      <c r="B30" s="12" t="n">
        <v>29</v>
      </c>
      <c r="C30" s="12" t="s">
        <v>354</v>
      </c>
      <c r="D30" s="13" t="s">
        <v>107</v>
      </c>
      <c r="E30" s="12" t="s">
        <v>323</v>
      </c>
      <c r="F30" s="14" t="n">
        <v>99.68</v>
      </c>
      <c r="G30" s="15" t="n">
        <v>248796.8</v>
      </c>
      <c r="H30" s="15" t="n">
        <v>756.298399999988</v>
      </c>
      <c r="I30" s="15" t="n">
        <v>1354.45039999999</v>
      </c>
      <c r="J30" s="15" t="n">
        <f aca="false">I30-H30</f>
        <v>598.152</v>
      </c>
      <c r="K30" s="12" t="n">
        <v>20</v>
      </c>
      <c r="L30" s="12" t="n">
        <v>25</v>
      </c>
      <c r="M30" s="15" t="n">
        <f aca="false">(L30-K30)*F30</f>
        <v>498.4</v>
      </c>
      <c r="N30" s="12" t="n">
        <v>5</v>
      </c>
      <c r="O30" s="12" t="n">
        <v>3.997</v>
      </c>
      <c r="P30" s="15" t="n">
        <f aca="false">(N30-O30)*F30</f>
        <v>99.97904</v>
      </c>
      <c r="Q30" s="21" t="n">
        <v>0.865</v>
      </c>
      <c r="R30" s="21" t="n">
        <v>0.865</v>
      </c>
      <c r="S30" s="15" t="n">
        <f aca="false">(R30-Q30)*(G30-23*F30)</f>
        <v>0</v>
      </c>
      <c r="T30" s="21" t="n">
        <v>0.86</v>
      </c>
      <c r="U30" s="21" t="n">
        <v>0.86</v>
      </c>
      <c r="V30" s="15" t="n">
        <f aca="false">(T30-U30)*G30</f>
        <v>0</v>
      </c>
      <c r="W30" s="15" t="n">
        <v>0</v>
      </c>
      <c r="X30" s="15" t="n">
        <f aca="false">-W30</f>
        <v>-0</v>
      </c>
      <c r="Y30" s="15" t="n">
        <f aca="false">J30-M30-P30-S30-V30-X30</f>
        <v>-0.227040000000116</v>
      </c>
      <c r="Z30" s="12" t="str">
        <f aca="false">IF(OR(ABS(M30)&gt;0.5,ABS(P30)&gt;0.5,ABS(S30)&gt;0.5,ABS(V30)&gt;0.5,ABS(X30)&gt;0.5),"是","")</f>
        <v>是</v>
      </c>
    </row>
    <row r="31" customFormat="false" ht="15" hidden="false" customHeight="false" outlineLevel="0" collapsed="false">
      <c r="A31" s="12" t="s">
        <v>52</v>
      </c>
      <c r="B31" s="12" t="n">
        <v>30</v>
      </c>
      <c r="C31" s="12" t="s">
        <v>55</v>
      </c>
      <c r="D31" s="13" t="s">
        <v>111</v>
      </c>
      <c r="E31" s="12" t="s">
        <v>323</v>
      </c>
      <c r="F31" s="14" t="n">
        <v>66.06</v>
      </c>
      <c r="G31" s="15" t="n">
        <v>147974.4</v>
      </c>
      <c r="H31" s="15" t="n">
        <v>417.492299999989</v>
      </c>
      <c r="I31" s="15" t="n">
        <v>746.808299999993</v>
      </c>
      <c r="J31" s="15" t="n">
        <f aca="false">I31-H31</f>
        <v>329.316000000004</v>
      </c>
      <c r="K31" s="12" t="n">
        <v>20</v>
      </c>
      <c r="L31" s="12" t="n">
        <v>25</v>
      </c>
      <c r="M31" s="15" t="n">
        <f aca="false">(L31-K31)*F31</f>
        <v>330.3</v>
      </c>
      <c r="N31" s="12" t="n">
        <v>5</v>
      </c>
      <c r="O31" s="12" t="n">
        <v>5</v>
      </c>
      <c r="P31" s="15" t="n">
        <f aca="false">(N31-O31)*F31</f>
        <v>0</v>
      </c>
      <c r="Q31" s="21" t="n">
        <v>0.865</v>
      </c>
      <c r="R31" s="21" t="n">
        <v>0.865</v>
      </c>
      <c r="S31" s="15" t="n">
        <f aca="false">(R31-Q31)*(G31-23*F31)</f>
        <v>0</v>
      </c>
      <c r="T31" s="21" t="n">
        <v>0.86</v>
      </c>
      <c r="U31" s="21" t="n">
        <v>0.86</v>
      </c>
      <c r="V31" s="15" t="n">
        <f aca="false">(T31-U31)*G31</f>
        <v>0</v>
      </c>
      <c r="W31" s="15" t="n">
        <v>0</v>
      </c>
      <c r="X31" s="15" t="n">
        <f aca="false">-W31</f>
        <v>-0</v>
      </c>
      <c r="Y31" s="15" t="n">
        <f aca="false">J31-M31-P31-S31-V31-X31</f>
        <v>-0.983999999996343</v>
      </c>
      <c r="Z31" s="12" t="str">
        <f aca="false">IF(OR(ABS(M31)&gt;0.5,ABS(P31)&gt;0.5,ABS(S31)&gt;0.5,ABS(V31)&gt;0.5,ABS(X31)&gt;0.5),"是","")</f>
        <v>是</v>
      </c>
    </row>
    <row r="32" customFormat="false" ht="15" hidden="false" customHeight="false" outlineLevel="0" collapsed="false">
      <c r="A32" s="12" t="s">
        <v>52</v>
      </c>
      <c r="B32" s="12" t="n">
        <v>31</v>
      </c>
      <c r="C32" s="12" t="s">
        <v>55</v>
      </c>
      <c r="D32" s="13" t="s">
        <v>113</v>
      </c>
      <c r="E32" s="12" t="s">
        <v>323</v>
      </c>
      <c r="F32" s="14" t="n">
        <v>67.96</v>
      </c>
      <c r="G32" s="15" t="n">
        <v>152230.4</v>
      </c>
      <c r="H32" s="15" t="n">
        <v>428.631800000009</v>
      </c>
      <c r="I32" s="15" t="n">
        <v>768.287800000009</v>
      </c>
      <c r="J32" s="15" t="n">
        <f aca="false">I32-H32</f>
        <v>339.656</v>
      </c>
      <c r="K32" s="12" t="n">
        <v>20</v>
      </c>
      <c r="L32" s="12" t="n">
        <v>25</v>
      </c>
      <c r="M32" s="15" t="n">
        <f aca="false">(L32-K32)*F32</f>
        <v>339.8</v>
      </c>
      <c r="N32" s="12" t="n">
        <v>5</v>
      </c>
      <c r="O32" s="12" t="n">
        <v>5</v>
      </c>
      <c r="P32" s="15" t="n">
        <f aca="false">(N32-O32)*F32</f>
        <v>0</v>
      </c>
      <c r="Q32" s="21" t="n">
        <v>0.865</v>
      </c>
      <c r="R32" s="21" t="n">
        <v>0.865</v>
      </c>
      <c r="S32" s="15" t="n">
        <f aca="false">(R32-Q32)*(G32-23*F32)</f>
        <v>0</v>
      </c>
      <c r="T32" s="21" t="n">
        <v>0.86</v>
      </c>
      <c r="U32" s="21" t="n">
        <v>0.86</v>
      </c>
      <c r="V32" s="15" t="n">
        <f aca="false">(T32-U32)*G32</f>
        <v>0</v>
      </c>
      <c r="W32" s="15" t="n">
        <v>0</v>
      </c>
      <c r="X32" s="15" t="n">
        <f aca="false">-W32</f>
        <v>-0</v>
      </c>
      <c r="Y32" s="15" t="n">
        <f aca="false">J32-M32-P32-S32-V32-X32</f>
        <v>-0.14400000000046</v>
      </c>
      <c r="Z32" s="12" t="str">
        <f aca="false">IF(OR(ABS(M32)&gt;0.5,ABS(P32)&gt;0.5,ABS(S32)&gt;0.5,ABS(V32)&gt;0.5,ABS(X32)&gt;0.5),"是","")</f>
        <v>是</v>
      </c>
    </row>
    <row r="33" customFormat="false" ht="15" hidden="false" customHeight="false" outlineLevel="0" collapsed="false">
      <c r="A33" s="12" t="s">
        <v>52</v>
      </c>
      <c r="B33" s="12" t="n">
        <v>32</v>
      </c>
      <c r="C33" s="12" t="s">
        <v>103</v>
      </c>
      <c r="D33" s="13" t="s">
        <v>114</v>
      </c>
      <c r="E33" s="12" t="s">
        <v>323</v>
      </c>
      <c r="F33" s="14" t="n">
        <v>46.28</v>
      </c>
      <c r="G33" s="15" t="n">
        <v>107924.96</v>
      </c>
      <c r="H33" s="15" t="n">
        <v>313.549799999996</v>
      </c>
      <c r="I33" s="15" t="n">
        <v>775.884199999986</v>
      </c>
      <c r="J33" s="15" t="n">
        <f aca="false">I33-H33</f>
        <v>462.33439999999</v>
      </c>
      <c r="K33" s="12" t="n">
        <v>20</v>
      </c>
      <c r="L33" s="12" t="n">
        <v>25</v>
      </c>
      <c r="M33" s="15" t="n">
        <f aca="false">(L33-K33)*F33</f>
        <v>231.4</v>
      </c>
      <c r="N33" s="12" t="n">
        <v>5</v>
      </c>
      <c r="O33" s="12" t="n">
        <v>0</v>
      </c>
      <c r="P33" s="15" t="n">
        <f aca="false">(N33-O33)*F33</f>
        <v>231.4</v>
      </c>
      <c r="Q33" s="21" t="n">
        <v>0.865</v>
      </c>
      <c r="R33" s="21" t="n">
        <v>0.865</v>
      </c>
      <c r="S33" s="15" t="n">
        <f aca="false">(R33-Q33)*(G33-23*F33)</f>
        <v>0</v>
      </c>
      <c r="T33" s="21" t="n">
        <v>0.86</v>
      </c>
      <c r="U33" s="21" t="n">
        <v>0.86</v>
      </c>
      <c r="V33" s="15" t="n">
        <f aca="false">(T33-U33)*G33</f>
        <v>0</v>
      </c>
      <c r="W33" s="15" t="n">
        <v>0</v>
      </c>
      <c r="X33" s="15" t="n">
        <f aca="false">-W33</f>
        <v>-0</v>
      </c>
      <c r="Y33" s="15" t="n">
        <f aca="false">J33-M33-P33-S33-V33-X33</f>
        <v>-0.46560000001017</v>
      </c>
      <c r="Z33" s="12" t="str">
        <f aca="false">IF(OR(ABS(M33)&gt;0.5,ABS(P33)&gt;0.5,ABS(S33)&gt;0.5,ABS(V33)&gt;0.5,ABS(X33)&gt;0.5),"是","")</f>
        <v>是</v>
      </c>
    </row>
    <row r="34" customFormat="false" ht="15" hidden="false" customHeight="false" outlineLevel="0" collapsed="false">
      <c r="A34" s="12" t="s">
        <v>52</v>
      </c>
      <c r="B34" s="12" t="n">
        <v>33</v>
      </c>
      <c r="C34" s="12" t="s">
        <v>55</v>
      </c>
      <c r="D34" s="13" t="s">
        <v>115</v>
      </c>
      <c r="E34" s="12" t="s">
        <v>323</v>
      </c>
      <c r="F34" s="14" t="n">
        <v>83.78</v>
      </c>
      <c r="G34" s="15" t="n">
        <v>211125.6</v>
      </c>
      <c r="H34" s="15" t="n">
        <v>645.54090000001</v>
      </c>
      <c r="I34" s="15" t="n">
        <v>1064.42490000001</v>
      </c>
      <c r="J34" s="15" t="n">
        <f aca="false">I34-H34</f>
        <v>418.883999999997</v>
      </c>
      <c r="K34" s="12" t="n">
        <v>20</v>
      </c>
      <c r="L34" s="12" t="n">
        <v>25</v>
      </c>
      <c r="M34" s="15" t="n">
        <f aca="false">(L34-K34)*F34</f>
        <v>418.9</v>
      </c>
      <c r="N34" s="12" t="n">
        <v>5</v>
      </c>
      <c r="O34" s="12" t="n">
        <v>5</v>
      </c>
      <c r="P34" s="15" t="n">
        <f aca="false">(N34-O34)*F34</f>
        <v>0</v>
      </c>
      <c r="Q34" s="21" t="n">
        <v>0.865</v>
      </c>
      <c r="R34" s="21" t="n">
        <v>0.865</v>
      </c>
      <c r="S34" s="15" t="n">
        <f aca="false">(R34-Q34)*(G34-23*F34)</f>
        <v>0</v>
      </c>
      <c r="T34" s="21" t="n">
        <v>0.86</v>
      </c>
      <c r="U34" s="21" t="n">
        <v>0.86</v>
      </c>
      <c r="V34" s="15" t="n">
        <f aca="false">(T34-U34)*G34</f>
        <v>0</v>
      </c>
      <c r="W34" s="15" t="n">
        <v>0</v>
      </c>
      <c r="X34" s="15" t="n">
        <f aca="false">-W34</f>
        <v>-0</v>
      </c>
      <c r="Y34" s="15" t="n">
        <f aca="false">J34-M34-P34-S34-V34-X34</f>
        <v>-0.0160000000029186</v>
      </c>
      <c r="Z34" s="12" t="str">
        <f aca="false">IF(OR(ABS(M34)&gt;0.5,ABS(P34)&gt;0.5,ABS(S34)&gt;0.5,ABS(V34)&gt;0.5,ABS(X34)&gt;0.5),"是","")</f>
        <v>是</v>
      </c>
    </row>
    <row r="35" customFormat="false" ht="15" hidden="false" customHeight="false" outlineLevel="0" collapsed="false">
      <c r="A35" s="12" t="s">
        <v>52</v>
      </c>
      <c r="B35" s="12" t="n">
        <v>34</v>
      </c>
      <c r="C35" s="12" t="s">
        <v>117</v>
      </c>
      <c r="D35" s="13" t="s">
        <v>116</v>
      </c>
      <c r="E35" s="12" t="s">
        <v>323</v>
      </c>
      <c r="F35" s="14" t="n">
        <v>43.34</v>
      </c>
      <c r="G35" s="15" t="n">
        <v>101068.88</v>
      </c>
      <c r="H35" s="15" t="n">
        <v>293.43189999999</v>
      </c>
      <c r="I35" s="15" t="n">
        <v>509.895099999991</v>
      </c>
      <c r="J35" s="15" t="n">
        <f aca="false">I35-H35</f>
        <v>216.463200000001</v>
      </c>
      <c r="K35" s="12" t="n">
        <v>20</v>
      </c>
      <c r="L35" s="12" t="n">
        <v>25</v>
      </c>
      <c r="M35" s="15" t="n">
        <f aca="false">(L35-K35)*F35</f>
        <v>216.7</v>
      </c>
      <c r="N35" s="12" t="n">
        <v>5</v>
      </c>
      <c r="O35" s="12" t="n">
        <v>5</v>
      </c>
      <c r="P35" s="15" t="n">
        <f aca="false">(N35-O35)*F35</f>
        <v>0</v>
      </c>
      <c r="Q35" s="21" t="n">
        <v>0.865</v>
      </c>
      <c r="R35" s="21" t="n">
        <v>0.865</v>
      </c>
      <c r="S35" s="15" t="n">
        <f aca="false">(R35-Q35)*(G35-23*F35)</f>
        <v>0</v>
      </c>
      <c r="T35" s="21" t="n">
        <v>0.86</v>
      </c>
      <c r="U35" s="21" t="n">
        <v>0.86</v>
      </c>
      <c r="V35" s="15" t="n">
        <f aca="false">(T35-U35)*G35</f>
        <v>0</v>
      </c>
      <c r="W35" s="15" t="n">
        <v>0</v>
      </c>
      <c r="X35" s="15" t="n">
        <f aca="false">-W35</f>
        <v>-0</v>
      </c>
      <c r="Y35" s="15" t="n">
        <f aca="false">J35-M35-P35-S35-V35-X35</f>
        <v>-0.236799999998681</v>
      </c>
      <c r="Z35" s="12" t="str">
        <f aca="false">IF(OR(ABS(M35)&gt;0.5,ABS(P35)&gt;0.5,ABS(S35)&gt;0.5,ABS(V35)&gt;0.5,ABS(X35)&gt;0.5),"是","")</f>
        <v>是</v>
      </c>
    </row>
    <row r="36" customFormat="false" ht="15" hidden="false" customHeight="false" outlineLevel="0" collapsed="false">
      <c r="A36" s="12" t="s">
        <v>52</v>
      </c>
      <c r="B36" s="12" t="n">
        <v>35</v>
      </c>
      <c r="C36" s="12" t="s">
        <v>119</v>
      </c>
      <c r="D36" s="13" t="s">
        <v>118</v>
      </c>
      <c r="E36" s="12" t="s">
        <v>323</v>
      </c>
      <c r="F36" s="14" t="n">
        <v>78.64</v>
      </c>
      <c r="G36" s="15" t="n">
        <v>181501.12</v>
      </c>
      <c r="H36" s="15" t="n">
        <v>523.526000000007</v>
      </c>
      <c r="I36" s="15" t="n">
        <v>1308.96280000001</v>
      </c>
      <c r="J36" s="15" t="n">
        <f aca="false">I36-H36</f>
        <v>785.436800000001</v>
      </c>
      <c r="K36" s="12" t="n">
        <v>20</v>
      </c>
      <c r="L36" s="12" t="n">
        <v>25</v>
      </c>
      <c r="M36" s="15" t="n">
        <f aca="false">(L36-K36)*F36</f>
        <v>393.2</v>
      </c>
      <c r="N36" s="12" t="n">
        <v>5</v>
      </c>
      <c r="O36" s="12" t="n">
        <v>0</v>
      </c>
      <c r="P36" s="15" t="n">
        <f aca="false">(N36-O36)*F36</f>
        <v>393.2</v>
      </c>
      <c r="Q36" s="21" t="n">
        <v>0.865</v>
      </c>
      <c r="R36" s="21" t="n">
        <v>0.865</v>
      </c>
      <c r="S36" s="15" t="n">
        <f aca="false">(R36-Q36)*(G36-23*F36)</f>
        <v>0</v>
      </c>
      <c r="T36" s="21" t="n">
        <v>0.86</v>
      </c>
      <c r="U36" s="21" t="n">
        <v>0.86</v>
      </c>
      <c r="V36" s="15" t="n">
        <f aca="false">(T36-U36)*G36</f>
        <v>0</v>
      </c>
      <c r="W36" s="15" t="n">
        <v>0</v>
      </c>
      <c r="X36" s="15" t="n">
        <f aca="false">-W36</f>
        <v>-0</v>
      </c>
      <c r="Y36" s="15" t="n">
        <f aca="false">J36-M36-P36-S36-V36-X36</f>
        <v>-0.963199999999006</v>
      </c>
      <c r="Z36" s="12" t="str">
        <f aca="false">IF(OR(ABS(M36)&gt;0.5,ABS(P36)&gt;0.5,ABS(S36)&gt;0.5,ABS(V36)&gt;0.5,ABS(X36)&gt;0.5),"是","")</f>
        <v>是</v>
      </c>
    </row>
    <row r="37" customFormat="false" ht="15" hidden="false" customHeight="false" outlineLevel="0" collapsed="false">
      <c r="A37" s="12" t="s">
        <v>52</v>
      </c>
      <c r="B37" s="12" t="n">
        <v>36</v>
      </c>
      <c r="C37" s="12" t="s">
        <v>91</v>
      </c>
      <c r="D37" s="13" t="s">
        <v>120</v>
      </c>
      <c r="E37" s="12" t="s">
        <v>323</v>
      </c>
      <c r="F37" s="14" t="n">
        <v>83.26</v>
      </c>
      <c r="G37" s="15" t="n">
        <v>192164.08</v>
      </c>
      <c r="H37" s="15" t="n">
        <v>553.371500000014</v>
      </c>
      <c r="I37" s="15" t="n">
        <v>1385.8627</v>
      </c>
      <c r="J37" s="15" t="n">
        <f aca="false">I37-H37</f>
        <v>832.491199999984</v>
      </c>
      <c r="K37" s="12" t="n">
        <v>20</v>
      </c>
      <c r="L37" s="12" t="n">
        <v>25</v>
      </c>
      <c r="M37" s="15" t="n">
        <f aca="false">(L37-K37)*F37</f>
        <v>416.3</v>
      </c>
      <c r="N37" s="12" t="n">
        <v>5</v>
      </c>
      <c r="O37" s="12" t="n">
        <v>0</v>
      </c>
      <c r="P37" s="15" t="n">
        <f aca="false">(N37-O37)*F37</f>
        <v>416.3</v>
      </c>
      <c r="Q37" s="21" t="n">
        <v>0.865</v>
      </c>
      <c r="R37" s="21" t="n">
        <v>0.865</v>
      </c>
      <c r="S37" s="15" t="n">
        <f aca="false">(R37-Q37)*(G37-23*F37)</f>
        <v>0</v>
      </c>
      <c r="T37" s="21" t="n">
        <v>0.86</v>
      </c>
      <c r="U37" s="21" t="n">
        <v>0.86</v>
      </c>
      <c r="V37" s="15" t="n">
        <f aca="false">(T37-U37)*G37</f>
        <v>0</v>
      </c>
      <c r="W37" s="15" t="n">
        <v>0</v>
      </c>
      <c r="X37" s="15" t="n">
        <f aca="false">-W37</f>
        <v>-0</v>
      </c>
      <c r="Y37" s="15" t="n">
        <f aca="false">J37-M37-P37-S37-V37-X37</f>
        <v>-0.108800000015776</v>
      </c>
      <c r="Z37" s="12" t="str">
        <f aca="false">IF(OR(ABS(M37)&gt;0.5,ABS(P37)&gt;0.5,ABS(S37)&gt;0.5,ABS(V37)&gt;0.5,ABS(X37)&gt;0.5),"是","")</f>
        <v>是</v>
      </c>
    </row>
    <row r="38" customFormat="false" ht="15" hidden="false" customHeight="false" outlineLevel="0" collapsed="false">
      <c r="A38" s="12" t="s">
        <v>52</v>
      </c>
      <c r="B38" s="12" t="n">
        <v>37</v>
      </c>
      <c r="C38" s="12" t="s">
        <v>73</v>
      </c>
      <c r="D38" s="13" t="s">
        <v>121</v>
      </c>
      <c r="E38" s="12" t="s">
        <v>323</v>
      </c>
      <c r="F38" s="14" t="n">
        <v>81.92</v>
      </c>
      <c r="G38" s="15" t="n">
        <v>205619.2</v>
      </c>
      <c r="H38" s="15" t="n">
        <v>627.609600000008</v>
      </c>
      <c r="I38" s="15" t="n">
        <v>1036.69759999999</v>
      </c>
      <c r="J38" s="15" t="n">
        <f aca="false">I38-H38</f>
        <v>409.087999999983</v>
      </c>
      <c r="K38" s="12" t="n">
        <v>20</v>
      </c>
      <c r="L38" s="12" t="n">
        <v>25</v>
      </c>
      <c r="M38" s="15" t="n">
        <f aca="false">(L38-K38)*F38</f>
        <v>409.6</v>
      </c>
      <c r="N38" s="12" t="n">
        <v>5</v>
      </c>
      <c r="O38" s="12" t="n">
        <v>5</v>
      </c>
      <c r="P38" s="15" t="n">
        <f aca="false">(N38-O38)*F38</f>
        <v>0</v>
      </c>
      <c r="Q38" s="21" t="n">
        <v>0.865</v>
      </c>
      <c r="R38" s="21" t="n">
        <v>0.865</v>
      </c>
      <c r="S38" s="15" t="n">
        <f aca="false">(R38-Q38)*(G38-23*F38)</f>
        <v>0</v>
      </c>
      <c r="T38" s="21" t="n">
        <v>0.86</v>
      </c>
      <c r="U38" s="21" t="n">
        <v>0.86</v>
      </c>
      <c r="V38" s="15" t="n">
        <f aca="false">(T38-U38)*G38</f>
        <v>0</v>
      </c>
      <c r="W38" s="15" t="n">
        <v>0</v>
      </c>
      <c r="X38" s="15" t="n">
        <f aca="false">-W38</f>
        <v>-0</v>
      </c>
      <c r="Y38" s="15" t="n">
        <f aca="false">J38-M38-P38-S38-V38-X38</f>
        <v>-0.512000000016883</v>
      </c>
      <c r="Z38" s="12" t="str">
        <f aca="false">IF(OR(ABS(M38)&gt;0.5,ABS(P38)&gt;0.5,ABS(S38)&gt;0.5,ABS(V38)&gt;0.5,ABS(X38)&gt;0.5),"是","")</f>
        <v>是</v>
      </c>
    </row>
    <row r="39" customFormat="false" ht="15" hidden="false" customHeight="false" outlineLevel="0" collapsed="false">
      <c r="A39" s="12" t="s">
        <v>52</v>
      </c>
      <c r="B39" s="12" t="n">
        <v>38</v>
      </c>
      <c r="C39" s="12" t="s">
        <v>58</v>
      </c>
      <c r="D39" s="13" t="s">
        <v>123</v>
      </c>
      <c r="E39" s="12" t="s">
        <v>323</v>
      </c>
      <c r="F39" s="14" t="n">
        <v>25.12</v>
      </c>
      <c r="G39" s="15" t="n">
        <v>60288</v>
      </c>
      <c r="H39" s="15" t="n">
        <v>179.157599999996</v>
      </c>
      <c r="I39" s="15" t="n">
        <v>304.077599999995</v>
      </c>
      <c r="J39" s="15" t="n">
        <f aca="false">I39-H39</f>
        <v>124.919999999999</v>
      </c>
      <c r="K39" s="12" t="n">
        <v>20</v>
      </c>
      <c r="L39" s="12" t="n">
        <v>25</v>
      </c>
      <c r="M39" s="15" t="n">
        <f aca="false">(L39-K39)*F39</f>
        <v>125.6</v>
      </c>
      <c r="N39" s="12" t="n">
        <v>5</v>
      </c>
      <c r="O39" s="12" t="n">
        <v>5</v>
      </c>
      <c r="P39" s="15" t="n">
        <f aca="false">(N39-O39)*F39</f>
        <v>0</v>
      </c>
      <c r="Q39" s="21" t="n">
        <v>0.865</v>
      </c>
      <c r="R39" s="21" t="n">
        <v>0.865</v>
      </c>
      <c r="S39" s="15" t="n">
        <f aca="false">(R39-Q39)*(G39-23*F39)</f>
        <v>0</v>
      </c>
      <c r="T39" s="21" t="n">
        <v>0.86</v>
      </c>
      <c r="U39" s="21" t="n">
        <v>0.86</v>
      </c>
      <c r="V39" s="15" t="n">
        <f aca="false">(T39-U39)*G39</f>
        <v>0</v>
      </c>
      <c r="W39" s="15" t="n">
        <v>0</v>
      </c>
      <c r="X39" s="15" t="n">
        <f aca="false">-W39</f>
        <v>-0</v>
      </c>
      <c r="Y39" s="15" t="n">
        <f aca="false">J39-M39-P39-S39-V39-X39</f>
        <v>-0.68000000000059</v>
      </c>
      <c r="Z39" s="12" t="str">
        <f aca="false">IF(OR(ABS(M39)&gt;0.5,ABS(P39)&gt;0.5,ABS(S39)&gt;0.5,ABS(V39)&gt;0.5,ABS(X39)&gt;0.5),"是","")</f>
        <v>是</v>
      </c>
    </row>
    <row r="40" customFormat="false" ht="15" hidden="false" customHeight="false" outlineLevel="0" collapsed="false">
      <c r="A40" s="12" t="s">
        <v>52</v>
      </c>
      <c r="B40" s="12" t="n">
        <v>39</v>
      </c>
      <c r="C40" s="12" t="s">
        <v>103</v>
      </c>
      <c r="D40" s="13" t="s">
        <v>124</v>
      </c>
      <c r="E40" s="12" t="s">
        <v>323</v>
      </c>
      <c r="F40" s="14" t="n">
        <v>29.08</v>
      </c>
      <c r="G40" s="15" t="n">
        <v>71216.92</v>
      </c>
      <c r="H40" s="15" t="n">
        <v>214.289200000002</v>
      </c>
      <c r="I40" s="15" t="n">
        <v>359.138000000008</v>
      </c>
      <c r="J40" s="15" t="n">
        <f aca="false">I40-H40</f>
        <v>144.848800000006</v>
      </c>
      <c r="K40" s="12" t="n">
        <v>20</v>
      </c>
      <c r="L40" s="12" t="n">
        <v>25</v>
      </c>
      <c r="M40" s="15" t="n">
        <f aca="false">(L40-K40)*F40</f>
        <v>145.4</v>
      </c>
      <c r="N40" s="12" t="n">
        <v>5</v>
      </c>
      <c r="O40" s="12" t="n">
        <v>5</v>
      </c>
      <c r="P40" s="15" t="n">
        <f aca="false">(N40-O40)*F40</f>
        <v>0</v>
      </c>
      <c r="Q40" s="21" t="n">
        <v>0.865</v>
      </c>
      <c r="R40" s="21" t="n">
        <v>0.865</v>
      </c>
      <c r="S40" s="15" t="n">
        <f aca="false">(R40-Q40)*(G40-23*F40)</f>
        <v>0</v>
      </c>
      <c r="T40" s="21" t="n">
        <v>0.86</v>
      </c>
      <c r="U40" s="21" t="n">
        <v>0.86</v>
      </c>
      <c r="V40" s="15" t="n">
        <f aca="false">(T40-U40)*G40</f>
        <v>0</v>
      </c>
      <c r="W40" s="15" t="n">
        <v>0</v>
      </c>
      <c r="X40" s="15" t="n">
        <f aca="false">-W40</f>
        <v>-0</v>
      </c>
      <c r="Y40" s="15" t="n">
        <f aca="false">J40-M40-P40-S40-V40-X40</f>
        <v>-0.551199999994168</v>
      </c>
      <c r="Z40" s="12" t="str">
        <f aca="false">IF(OR(ABS(M40)&gt;0.5,ABS(P40)&gt;0.5,ABS(S40)&gt;0.5,ABS(V40)&gt;0.5,ABS(X40)&gt;0.5),"是","")</f>
        <v>是</v>
      </c>
    </row>
    <row r="41" customFormat="false" ht="15" hidden="false" customHeight="false" outlineLevel="0" collapsed="false">
      <c r="A41" s="12" t="s">
        <v>52</v>
      </c>
      <c r="B41" s="12" t="n">
        <v>40</v>
      </c>
      <c r="C41" s="12" t="s">
        <v>58</v>
      </c>
      <c r="D41" s="13" t="s">
        <v>125</v>
      </c>
      <c r="E41" s="12" t="s">
        <v>323</v>
      </c>
      <c r="F41" s="14" t="n">
        <v>56.78</v>
      </c>
      <c r="G41" s="15" t="n">
        <v>137407.6</v>
      </c>
      <c r="H41" s="15" t="n">
        <v>409.635899999997</v>
      </c>
      <c r="I41" s="15" t="n">
        <v>692.99989999999</v>
      </c>
      <c r="J41" s="15" t="n">
        <f aca="false">I41-H41</f>
        <v>283.363999999993</v>
      </c>
      <c r="K41" s="12" t="n">
        <v>20</v>
      </c>
      <c r="L41" s="12" t="n">
        <v>25</v>
      </c>
      <c r="M41" s="15" t="n">
        <f aca="false">(L41-K41)*F41</f>
        <v>283.9</v>
      </c>
      <c r="N41" s="12" t="n">
        <v>5</v>
      </c>
      <c r="O41" s="12" t="n">
        <v>5</v>
      </c>
      <c r="P41" s="15" t="n">
        <f aca="false">(N41-O41)*F41</f>
        <v>0</v>
      </c>
      <c r="Q41" s="21" t="n">
        <v>0.865</v>
      </c>
      <c r="R41" s="21" t="n">
        <v>0.865</v>
      </c>
      <c r="S41" s="15" t="n">
        <f aca="false">(R41-Q41)*(G41-23*F41)</f>
        <v>0</v>
      </c>
      <c r="T41" s="21" t="n">
        <v>0.86</v>
      </c>
      <c r="U41" s="21" t="n">
        <v>0.86</v>
      </c>
      <c r="V41" s="15" t="n">
        <f aca="false">(T41-U41)*G41</f>
        <v>0</v>
      </c>
      <c r="W41" s="15" t="n">
        <v>0</v>
      </c>
      <c r="X41" s="15" t="n">
        <f aca="false">-W41</f>
        <v>-0</v>
      </c>
      <c r="Y41" s="15" t="n">
        <f aca="false">J41-M41-P41-S41-V41-X41</f>
        <v>-0.536000000007505</v>
      </c>
      <c r="Z41" s="12" t="str">
        <f aca="false">IF(OR(ABS(M41)&gt;0.5,ABS(P41)&gt;0.5,ABS(S41)&gt;0.5,ABS(V41)&gt;0.5,ABS(X41)&gt;0.5),"是","")</f>
        <v>是</v>
      </c>
    </row>
    <row r="42" customFormat="false" ht="15" hidden="false" customHeight="false" outlineLevel="0" collapsed="false">
      <c r="A42" s="12" t="s">
        <v>52</v>
      </c>
      <c r="B42" s="12" t="n">
        <v>41</v>
      </c>
      <c r="C42" s="12" t="s">
        <v>55</v>
      </c>
      <c r="D42" s="13" t="s">
        <v>126</v>
      </c>
      <c r="E42" s="12" t="s">
        <v>323</v>
      </c>
      <c r="F42" s="14" t="n">
        <v>80.96</v>
      </c>
      <c r="G42" s="15" t="n">
        <v>203209.6</v>
      </c>
      <c r="H42" s="15" t="n">
        <v>620.004800000001</v>
      </c>
      <c r="I42" s="15" t="n">
        <v>1024.54880000001</v>
      </c>
      <c r="J42" s="15" t="n">
        <f aca="false">I42-H42</f>
        <v>404.544000000006</v>
      </c>
      <c r="K42" s="12" t="n">
        <v>20</v>
      </c>
      <c r="L42" s="12" t="n">
        <v>25</v>
      </c>
      <c r="M42" s="15" t="n">
        <f aca="false">(L42-K42)*F42</f>
        <v>404.8</v>
      </c>
      <c r="N42" s="12" t="n">
        <v>5</v>
      </c>
      <c r="O42" s="12" t="n">
        <v>5</v>
      </c>
      <c r="P42" s="15" t="n">
        <f aca="false">(N42-O42)*F42</f>
        <v>0</v>
      </c>
      <c r="Q42" s="21" t="n">
        <v>0.865</v>
      </c>
      <c r="R42" s="21" t="n">
        <v>0.865</v>
      </c>
      <c r="S42" s="15" t="n">
        <f aca="false">(R42-Q42)*(G42-23*F42)</f>
        <v>0</v>
      </c>
      <c r="T42" s="21" t="n">
        <v>0.86</v>
      </c>
      <c r="U42" s="21" t="n">
        <v>0.86</v>
      </c>
      <c r="V42" s="15" t="n">
        <f aca="false">(T42-U42)*G42</f>
        <v>0</v>
      </c>
      <c r="W42" s="15" t="n">
        <v>0</v>
      </c>
      <c r="X42" s="15" t="n">
        <f aca="false">-W42</f>
        <v>-0</v>
      </c>
      <c r="Y42" s="15" t="n">
        <f aca="false">J42-M42-P42-S42-V42-X42</f>
        <v>-0.255999999993833</v>
      </c>
      <c r="Z42" s="12" t="str">
        <f aca="false">IF(OR(ABS(M42)&gt;0.5,ABS(P42)&gt;0.5,ABS(S42)&gt;0.5,ABS(V42)&gt;0.5,ABS(X42)&gt;0.5),"是","")</f>
        <v>是</v>
      </c>
    </row>
    <row r="43" customFormat="false" ht="15" hidden="false" customHeight="false" outlineLevel="0" collapsed="false">
      <c r="A43" s="12" t="s">
        <v>52</v>
      </c>
      <c r="B43" s="12" t="n">
        <v>42</v>
      </c>
      <c r="C43" s="12" t="s">
        <v>55</v>
      </c>
      <c r="D43" s="13" t="s">
        <v>127</v>
      </c>
      <c r="E43" s="12" t="s">
        <v>323</v>
      </c>
      <c r="F43" s="14" t="n">
        <v>69.66</v>
      </c>
      <c r="G43" s="15" t="n">
        <v>156038.4</v>
      </c>
      <c r="H43" s="15" t="n">
        <v>439.230300000001</v>
      </c>
      <c r="I43" s="15" t="n">
        <v>787.506299999997</v>
      </c>
      <c r="J43" s="15" t="n">
        <f aca="false">I43-H43</f>
        <v>348.275999999996</v>
      </c>
      <c r="K43" s="12" t="n">
        <v>20</v>
      </c>
      <c r="L43" s="12" t="n">
        <v>25</v>
      </c>
      <c r="M43" s="15" t="n">
        <f aca="false">(L43-K43)*F43</f>
        <v>348.3</v>
      </c>
      <c r="N43" s="12" t="n">
        <v>5</v>
      </c>
      <c r="O43" s="12" t="n">
        <v>5</v>
      </c>
      <c r="P43" s="15" t="n">
        <f aca="false">(N43-O43)*F43</f>
        <v>0</v>
      </c>
      <c r="Q43" s="21" t="n">
        <v>0.865</v>
      </c>
      <c r="R43" s="21" t="n">
        <v>0.865</v>
      </c>
      <c r="S43" s="15" t="n">
        <f aca="false">(R43-Q43)*(G43-23*F43)</f>
        <v>0</v>
      </c>
      <c r="T43" s="21" t="n">
        <v>0.86</v>
      </c>
      <c r="U43" s="21" t="n">
        <v>0.86</v>
      </c>
      <c r="V43" s="15" t="n">
        <f aca="false">(T43-U43)*G43</f>
        <v>0</v>
      </c>
      <c r="W43" s="15" t="n">
        <v>0</v>
      </c>
      <c r="X43" s="15" t="n">
        <f aca="false">-W43</f>
        <v>-0</v>
      </c>
      <c r="Y43" s="15" t="n">
        <f aca="false">J43-M43-P43-S43-V43-X43</f>
        <v>-0.0240000000043779</v>
      </c>
      <c r="Z43" s="12" t="str">
        <f aca="false">IF(OR(ABS(M43)&gt;0.5,ABS(P43)&gt;0.5,ABS(S43)&gt;0.5,ABS(V43)&gt;0.5,ABS(X43)&gt;0.5),"是","")</f>
        <v>是</v>
      </c>
    </row>
    <row r="44" customFormat="false" ht="15" hidden="false" customHeight="false" outlineLevel="0" collapsed="false">
      <c r="A44" s="12" t="s">
        <v>52</v>
      </c>
      <c r="B44" s="12" t="n">
        <v>43</v>
      </c>
      <c r="C44" s="12" t="s">
        <v>88</v>
      </c>
      <c r="D44" s="13" t="s">
        <v>129</v>
      </c>
      <c r="E44" s="12" t="s">
        <v>323</v>
      </c>
      <c r="F44" s="14" t="n">
        <v>49.1</v>
      </c>
      <c r="G44" s="15" t="n">
        <v>117840</v>
      </c>
      <c r="H44" s="15" t="n">
        <v>349.255499999999</v>
      </c>
      <c r="I44" s="15" t="n">
        <v>594.355500000005</v>
      </c>
      <c r="J44" s="15" t="n">
        <f aca="false">I44-H44</f>
        <v>245.100000000006</v>
      </c>
      <c r="K44" s="12" t="n">
        <v>20</v>
      </c>
      <c r="L44" s="12" t="n">
        <v>25</v>
      </c>
      <c r="M44" s="15" t="n">
        <f aca="false">(L44-K44)*F44</f>
        <v>245.5</v>
      </c>
      <c r="N44" s="12" t="n">
        <v>5</v>
      </c>
      <c r="O44" s="12" t="n">
        <v>5</v>
      </c>
      <c r="P44" s="15" t="n">
        <f aca="false">(N44-O44)*F44</f>
        <v>0</v>
      </c>
      <c r="Q44" s="21" t="n">
        <v>0.865</v>
      </c>
      <c r="R44" s="21" t="n">
        <v>0.865</v>
      </c>
      <c r="S44" s="15" t="n">
        <f aca="false">(R44-Q44)*(G44-23*F44)</f>
        <v>0</v>
      </c>
      <c r="T44" s="21" t="n">
        <v>0.86</v>
      </c>
      <c r="U44" s="21" t="n">
        <v>0.86</v>
      </c>
      <c r="V44" s="15" t="n">
        <f aca="false">(T44-U44)*G44</f>
        <v>0</v>
      </c>
      <c r="W44" s="15" t="n">
        <v>0</v>
      </c>
      <c r="X44" s="15" t="n">
        <f aca="false">-W44</f>
        <v>-0</v>
      </c>
      <c r="Y44" s="15" t="n">
        <f aca="false">J44-M44-P44-S44-V44-X44</f>
        <v>-0.399999999993895</v>
      </c>
      <c r="Z44" s="12" t="str">
        <f aca="false">IF(OR(ABS(M44)&gt;0.5,ABS(P44)&gt;0.5,ABS(S44)&gt;0.5,ABS(V44)&gt;0.5,ABS(X44)&gt;0.5),"是","")</f>
        <v>是</v>
      </c>
    </row>
    <row r="45" customFormat="false" ht="15" hidden="false" customHeight="false" outlineLevel="0" collapsed="false">
      <c r="A45" s="12" t="s">
        <v>52</v>
      </c>
      <c r="B45" s="12" t="n">
        <v>44</v>
      </c>
      <c r="C45" s="12" t="s">
        <v>58</v>
      </c>
      <c r="D45" s="13" t="s">
        <v>130</v>
      </c>
      <c r="E45" s="12" t="s">
        <v>323</v>
      </c>
      <c r="F45" s="14" t="n">
        <v>25.96</v>
      </c>
      <c r="G45" s="15" t="n">
        <v>61265.6</v>
      </c>
      <c r="H45" s="15" t="n">
        <v>179.669799999995</v>
      </c>
      <c r="I45" s="15" t="n">
        <v>309.053799999997</v>
      </c>
      <c r="J45" s="15" t="n">
        <f aca="false">I45-H45</f>
        <v>129.384000000002</v>
      </c>
      <c r="K45" s="12" t="n">
        <v>20</v>
      </c>
      <c r="L45" s="12" t="n">
        <v>25</v>
      </c>
      <c r="M45" s="15" t="n">
        <f aca="false">(L45-K45)*F45</f>
        <v>129.8</v>
      </c>
      <c r="N45" s="12" t="n">
        <v>5</v>
      </c>
      <c r="O45" s="12" t="n">
        <v>5</v>
      </c>
      <c r="P45" s="15" t="n">
        <f aca="false">(N45-O45)*F45</f>
        <v>0</v>
      </c>
      <c r="Q45" s="21" t="n">
        <v>0.865</v>
      </c>
      <c r="R45" s="21" t="n">
        <v>0.865</v>
      </c>
      <c r="S45" s="15" t="n">
        <f aca="false">(R45-Q45)*(G45-23*F45)</f>
        <v>0</v>
      </c>
      <c r="T45" s="21" t="n">
        <v>0.86</v>
      </c>
      <c r="U45" s="21" t="n">
        <v>0.86</v>
      </c>
      <c r="V45" s="15" t="n">
        <f aca="false">(T45-U45)*G45</f>
        <v>0</v>
      </c>
      <c r="W45" s="15" t="n">
        <v>0</v>
      </c>
      <c r="X45" s="15" t="n">
        <f aca="false">-W45</f>
        <v>-0</v>
      </c>
      <c r="Y45" s="15" t="n">
        <f aca="false">J45-M45-P45-S45-V45-X45</f>
        <v>-0.415999999997894</v>
      </c>
      <c r="Z45" s="12" t="str">
        <f aca="false">IF(OR(ABS(M45)&gt;0.5,ABS(P45)&gt;0.5,ABS(S45)&gt;0.5,ABS(V45)&gt;0.5,ABS(X45)&gt;0.5),"是","")</f>
        <v>是</v>
      </c>
    </row>
    <row r="46" customFormat="false" ht="15" hidden="false" customHeight="false" outlineLevel="0" collapsed="false">
      <c r="A46" s="12" t="s">
        <v>52</v>
      </c>
      <c r="B46" s="12" t="n">
        <v>45</v>
      </c>
      <c r="C46" s="12" t="s">
        <v>93</v>
      </c>
      <c r="D46" s="13" t="s">
        <v>131</v>
      </c>
      <c r="E46" s="12" t="s">
        <v>323</v>
      </c>
      <c r="F46" s="14" t="n">
        <v>47.51</v>
      </c>
      <c r="G46" s="15" t="n">
        <v>110793.32</v>
      </c>
      <c r="H46" s="15" t="n">
        <v>321.660349999997</v>
      </c>
      <c r="I46" s="15" t="n">
        <v>558.955150000012</v>
      </c>
      <c r="J46" s="15" t="n">
        <f aca="false">I46-H46</f>
        <v>237.294800000015</v>
      </c>
      <c r="K46" s="12" t="n">
        <v>20</v>
      </c>
      <c r="L46" s="12" t="n">
        <v>25</v>
      </c>
      <c r="M46" s="15" t="n">
        <f aca="false">(L46-K46)*F46</f>
        <v>237.55</v>
      </c>
      <c r="N46" s="12" t="n">
        <v>5</v>
      </c>
      <c r="O46" s="12" t="n">
        <v>5</v>
      </c>
      <c r="P46" s="15" t="n">
        <f aca="false">(N46-O46)*F46</f>
        <v>0</v>
      </c>
      <c r="Q46" s="21" t="n">
        <v>0.865</v>
      </c>
      <c r="R46" s="21" t="n">
        <v>0.865</v>
      </c>
      <c r="S46" s="15" t="n">
        <f aca="false">(R46-Q46)*(G46-23*F46)</f>
        <v>0</v>
      </c>
      <c r="T46" s="21" t="n">
        <v>0.86</v>
      </c>
      <c r="U46" s="21" t="n">
        <v>0.86</v>
      </c>
      <c r="V46" s="15" t="n">
        <f aca="false">(T46-U46)*G46</f>
        <v>0</v>
      </c>
      <c r="W46" s="15" t="n">
        <v>0</v>
      </c>
      <c r="X46" s="15" t="n">
        <f aca="false">-W46</f>
        <v>-0</v>
      </c>
      <c r="Y46" s="15" t="n">
        <f aca="false">J46-M46-P46-S46-V46-X46</f>
        <v>-0.255199999985138</v>
      </c>
      <c r="Z46" s="12" t="str">
        <f aca="false">IF(OR(ABS(M46)&gt;0.5,ABS(P46)&gt;0.5,ABS(S46)&gt;0.5,ABS(V46)&gt;0.5,ABS(X46)&gt;0.5),"是","")</f>
        <v>是</v>
      </c>
    </row>
    <row r="47" customFormat="false" ht="15" hidden="false" customHeight="false" outlineLevel="0" collapsed="false">
      <c r="A47" s="12" t="s">
        <v>52</v>
      </c>
      <c r="B47" s="12" t="n">
        <v>46</v>
      </c>
      <c r="C47" s="12" t="s">
        <v>55</v>
      </c>
      <c r="D47" s="13" t="s">
        <v>132</v>
      </c>
      <c r="E47" s="12" t="s">
        <v>323</v>
      </c>
      <c r="F47" s="14" t="n">
        <v>70.76</v>
      </c>
      <c r="G47" s="15" t="n">
        <v>158502.4</v>
      </c>
      <c r="H47" s="15" t="n">
        <v>446.205800000002</v>
      </c>
      <c r="I47" s="15" t="n">
        <v>799.941799999989</v>
      </c>
      <c r="J47" s="15" t="n">
        <f aca="false">I47-H47</f>
        <v>353.735999999987</v>
      </c>
      <c r="K47" s="12" t="n">
        <v>20</v>
      </c>
      <c r="L47" s="12" t="n">
        <v>25</v>
      </c>
      <c r="M47" s="15" t="n">
        <f aca="false">(L47-K47)*F47</f>
        <v>353.8</v>
      </c>
      <c r="N47" s="12" t="n">
        <v>5</v>
      </c>
      <c r="O47" s="12" t="n">
        <v>5</v>
      </c>
      <c r="P47" s="15" t="n">
        <f aca="false">(N47-O47)*F47</f>
        <v>0</v>
      </c>
      <c r="Q47" s="21" t="n">
        <v>0.865</v>
      </c>
      <c r="R47" s="21" t="n">
        <v>0.865</v>
      </c>
      <c r="S47" s="15" t="n">
        <f aca="false">(R47-Q47)*(G47-23*F47)</f>
        <v>0</v>
      </c>
      <c r="T47" s="21" t="n">
        <v>0.86</v>
      </c>
      <c r="U47" s="21" t="n">
        <v>0.86</v>
      </c>
      <c r="V47" s="15" t="n">
        <f aca="false">(T47-U47)*G47</f>
        <v>0</v>
      </c>
      <c r="W47" s="15" t="n">
        <v>0</v>
      </c>
      <c r="X47" s="15" t="n">
        <f aca="false">-W47</f>
        <v>-0</v>
      </c>
      <c r="Y47" s="15" t="n">
        <f aca="false">J47-M47-P47-S47-V47-X47</f>
        <v>-0.0640000000133227</v>
      </c>
      <c r="Z47" s="12" t="str">
        <f aca="false">IF(OR(ABS(M47)&gt;0.5,ABS(P47)&gt;0.5,ABS(S47)&gt;0.5,ABS(V47)&gt;0.5,ABS(X47)&gt;0.5),"是","")</f>
        <v>是</v>
      </c>
    </row>
    <row r="48" customFormat="false" ht="15" hidden="false" customHeight="false" outlineLevel="0" collapsed="false">
      <c r="A48" s="12" t="s">
        <v>52</v>
      </c>
      <c r="B48" s="12" t="n">
        <v>47</v>
      </c>
      <c r="C48" s="12" t="s">
        <v>135</v>
      </c>
      <c r="D48" s="13" t="s">
        <v>134</v>
      </c>
      <c r="E48" s="12" t="s">
        <v>323</v>
      </c>
      <c r="F48" s="14" t="n">
        <v>719.14</v>
      </c>
      <c r="G48" s="15" t="n">
        <v>1823625.4</v>
      </c>
      <c r="H48" s="15" t="n">
        <v>12790.1806999999</v>
      </c>
      <c r="I48" s="15" t="n">
        <v>12789.3367000001</v>
      </c>
      <c r="J48" s="15" t="n">
        <f aca="false">I48-H48</f>
        <v>-0.843999999800872</v>
      </c>
      <c r="K48" s="12" t="n">
        <v>25</v>
      </c>
      <c r="L48" s="12" t="n">
        <v>25</v>
      </c>
      <c r="M48" s="15" t="n">
        <f aca="false">(L48-K48)*F48</f>
        <v>0</v>
      </c>
      <c r="N48" s="12" t="n">
        <v>0</v>
      </c>
      <c r="O48" s="12" t="n">
        <v>0</v>
      </c>
      <c r="P48" s="15" t="n">
        <f aca="false">(N48-O48)*F48</f>
        <v>0</v>
      </c>
      <c r="Q48" s="21" t="n">
        <v>0.865</v>
      </c>
      <c r="R48" s="21" t="n">
        <v>0.865</v>
      </c>
      <c r="S48" s="15" t="n">
        <f aca="false">(R48-Q48)*(G48-23*F48)</f>
        <v>0</v>
      </c>
      <c r="T48" s="21" t="n">
        <v>0.86</v>
      </c>
      <c r="U48" s="21" t="n">
        <v>0.86</v>
      </c>
      <c r="V48" s="15" t="n">
        <f aca="false">(T48-U48)*G48</f>
        <v>0</v>
      </c>
      <c r="W48" s="15" t="n">
        <v>0</v>
      </c>
      <c r="X48" s="15" t="n">
        <f aca="false">-W48</f>
        <v>-0</v>
      </c>
      <c r="Y48" s="15" t="n">
        <f aca="false">J48-M48-P48-S48-V48-X48</f>
        <v>-0.843999999800872</v>
      </c>
      <c r="Z48" s="12" t="str">
        <f aca="false">IF(OR(ABS(M48)&gt;0.5,ABS(P48)&gt;0.5,ABS(S48)&gt;0.5,ABS(V48)&gt;0.5,ABS(X48)&gt;0.5),"是","")</f>
        <v/>
      </c>
    </row>
    <row r="49" customFormat="false" ht="15" hidden="false" customHeight="false" outlineLevel="0" collapsed="false">
      <c r="A49" s="12" t="s">
        <v>52</v>
      </c>
      <c r="B49" s="12" t="n">
        <v>48</v>
      </c>
      <c r="C49" s="12" t="s">
        <v>139</v>
      </c>
      <c r="D49" s="13" t="s">
        <v>138</v>
      </c>
      <c r="E49" s="12" t="s">
        <v>323</v>
      </c>
      <c r="F49" s="14" t="n">
        <v>613.8</v>
      </c>
      <c r="G49" s="15" t="n">
        <v>1467823.1</v>
      </c>
      <c r="H49" s="15" t="n">
        <v>14834.5475999999</v>
      </c>
      <c r="I49" s="15" t="n">
        <v>14833.6816</v>
      </c>
      <c r="J49" s="15" t="n">
        <f aca="false">I49-H49</f>
        <v>-0.865999999889027</v>
      </c>
      <c r="K49" s="12" t="n">
        <v>25</v>
      </c>
      <c r="L49" s="12" t="n">
        <v>25</v>
      </c>
      <c r="M49" s="15" t="n">
        <f aca="false">(L49-K49)*F49</f>
        <v>0</v>
      </c>
      <c r="N49" s="12" t="n">
        <v>0</v>
      </c>
      <c r="O49" s="12" t="n">
        <v>0</v>
      </c>
      <c r="P49" s="15" t="n">
        <f aca="false">(N49-O49)*F49</f>
        <v>0</v>
      </c>
      <c r="Q49" s="21" t="n">
        <v>0.868</v>
      </c>
      <c r="R49" s="21" t="n">
        <v>0.868</v>
      </c>
      <c r="S49" s="15" t="n">
        <f aca="false">(R49-Q49)*(G49-23*F49)</f>
        <v>0</v>
      </c>
      <c r="T49" s="21" t="n">
        <v>0.86</v>
      </c>
      <c r="U49" s="21" t="n">
        <v>0.86</v>
      </c>
      <c r="V49" s="15" t="n">
        <f aca="false">(T49-U49)*G49</f>
        <v>0</v>
      </c>
      <c r="W49" s="15" t="n">
        <v>0</v>
      </c>
      <c r="X49" s="15" t="n">
        <f aca="false">-W49</f>
        <v>-0</v>
      </c>
      <c r="Y49" s="15" t="n">
        <f aca="false">J49-M49-P49-S49-V49-X49</f>
        <v>-0.865999999889027</v>
      </c>
      <c r="Z49" s="12" t="str">
        <f aca="false">IF(OR(ABS(M49)&gt;0.5,ABS(P49)&gt;0.5,ABS(S49)&gt;0.5,ABS(V49)&gt;0.5,ABS(X49)&gt;0.5),"是","")</f>
        <v/>
      </c>
    </row>
    <row r="50" customFormat="false" ht="15" hidden="false" customHeight="false" outlineLevel="0" collapsed="false">
      <c r="A50" s="12" t="s">
        <v>52</v>
      </c>
      <c r="B50" s="12" t="n">
        <v>50</v>
      </c>
      <c r="C50" s="12" t="s">
        <v>144</v>
      </c>
      <c r="D50" s="13" t="s">
        <v>143</v>
      </c>
      <c r="E50" s="12" t="s">
        <v>323</v>
      </c>
      <c r="F50" s="14" t="n">
        <v>34.02</v>
      </c>
      <c r="G50" s="15" t="n">
        <v>79266.6</v>
      </c>
      <c r="H50" s="15" t="n">
        <v>805.733519999994</v>
      </c>
      <c r="I50" s="15" t="n">
        <v>805.457519999996</v>
      </c>
      <c r="J50" s="15" t="n">
        <f aca="false">I50-H50</f>
        <v>-0.275999999997566</v>
      </c>
      <c r="K50" s="12" t="n">
        <v>25</v>
      </c>
      <c r="L50" s="12" t="n">
        <v>25</v>
      </c>
      <c r="M50" s="15" t="n">
        <f aca="false">(L50-K50)*F50</f>
        <v>0</v>
      </c>
      <c r="N50" s="12" t="n">
        <v>0</v>
      </c>
      <c r="O50" s="12" t="n">
        <v>0</v>
      </c>
      <c r="P50" s="15" t="n">
        <f aca="false">(N50-O50)*F50</f>
        <v>0</v>
      </c>
      <c r="Q50" s="21" t="n">
        <v>0.868</v>
      </c>
      <c r="R50" s="21" t="n">
        <v>0.868</v>
      </c>
      <c r="S50" s="15" t="n">
        <f aca="false">(R50-Q50)*(G50-23*F50)</f>
        <v>0</v>
      </c>
      <c r="T50" s="21" t="n">
        <v>0.86</v>
      </c>
      <c r="U50" s="21" t="n">
        <v>0.86</v>
      </c>
      <c r="V50" s="15" t="n">
        <f aca="false">(T50-U50)*G50</f>
        <v>0</v>
      </c>
      <c r="W50" s="15" t="n">
        <v>0</v>
      </c>
      <c r="X50" s="15" t="n">
        <f aca="false">-W50</f>
        <v>-0</v>
      </c>
      <c r="Y50" s="15" t="n">
        <f aca="false">J50-M50-P50-S50-V50-X50</f>
        <v>-0.275999999997566</v>
      </c>
      <c r="Z50" s="12" t="str">
        <f aca="false">IF(OR(ABS(M50)&gt;0.5,ABS(P50)&gt;0.5,ABS(S50)&gt;0.5,ABS(V50)&gt;0.5,ABS(X50)&gt;0.5),"是","")</f>
        <v/>
      </c>
    </row>
    <row r="51" customFormat="false" ht="15" hidden="false" customHeight="false" outlineLevel="0" collapsed="false">
      <c r="A51" s="12" t="s">
        <v>52</v>
      </c>
      <c r="B51" s="12" t="n">
        <v>51</v>
      </c>
      <c r="C51" s="12" t="s">
        <v>147</v>
      </c>
      <c r="D51" s="13" t="s">
        <v>146</v>
      </c>
      <c r="E51" s="12" t="s">
        <v>323</v>
      </c>
      <c r="F51" s="14" t="n">
        <v>33.86</v>
      </c>
      <c r="G51" s="15" t="n">
        <v>78793.8</v>
      </c>
      <c r="H51" s="15" t="n">
        <v>801.537360000002</v>
      </c>
      <c r="I51" s="15" t="n">
        <v>700.869359999997</v>
      </c>
      <c r="J51" s="15" t="n">
        <f aca="false">I51-H51</f>
        <v>-100.668000000005</v>
      </c>
      <c r="K51" s="12" t="n">
        <v>25</v>
      </c>
      <c r="L51" s="12" t="n">
        <v>25</v>
      </c>
      <c r="M51" s="15" t="n">
        <f aca="false">(L51-K51)*F51</f>
        <v>0</v>
      </c>
      <c r="N51" s="12" t="n">
        <v>0</v>
      </c>
      <c r="O51" s="12" t="n">
        <v>0</v>
      </c>
      <c r="P51" s="15" t="n">
        <f aca="false">(N51-O51)*F51</f>
        <v>0</v>
      </c>
      <c r="Q51" s="21" t="n">
        <v>0.868</v>
      </c>
      <c r="R51" s="21" t="n">
        <v>0.868</v>
      </c>
      <c r="S51" s="15" t="n">
        <f aca="false">(R51-Q51)*(G51-23*F51)</f>
        <v>0</v>
      </c>
      <c r="T51" s="21" t="n">
        <v>0.86</v>
      </c>
      <c r="U51" s="21" t="n">
        <v>0.86</v>
      </c>
      <c r="V51" s="15" t="n">
        <f aca="false">(T51-U51)*G51</f>
        <v>0</v>
      </c>
      <c r="W51" s="15" t="n">
        <v>100</v>
      </c>
      <c r="X51" s="15" t="n">
        <f aca="false">-W51</f>
        <v>-100</v>
      </c>
      <c r="Y51" s="15" t="n">
        <f aca="false">J51-M51-P51-S51-V51-X51</f>
        <v>-0.668000000005009</v>
      </c>
      <c r="Z51" s="12" t="str">
        <f aca="false">IF(OR(ABS(M51)&gt;0.5,ABS(P51)&gt;0.5,ABS(S51)&gt;0.5,ABS(V51)&gt;0.5,ABS(X51)&gt;0.5),"是","")</f>
        <v>是</v>
      </c>
    </row>
    <row r="52" customFormat="false" ht="15" hidden="false" customHeight="false" outlineLevel="0" collapsed="false">
      <c r="A52" s="12" t="s">
        <v>52</v>
      </c>
      <c r="B52" s="12" t="n">
        <v>52</v>
      </c>
      <c r="C52" s="12" t="s">
        <v>149</v>
      </c>
      <c r="D52" s="13" t="s">
        <v>148</v>
      </c>
      <c r="E52" s="12" t="s">
        <v>323</v>
      </c>
      <c r="F52" s="14" t="n">
        <v>33.96</v>
      </c>
      <c r="G52" s="15" t="n">
        <v>78619.28</v>
      </c>
      <c r="H52" s="15" t="n">
        <v>800.5576</v>
      </c>
      <c r="I52" s="15" t="n">
        <v>699.976800000004</v>
      </c>
      <c r="J52" s="15" t="n">
        <f aca="false">I52-H52</f>
        <v>-100.580799999996</v>
      </c>
      <c r="K52" s="12" t="n">
        <v>25</v>
      </c>
      <c r="L52" s="12" t="n">
        <v>25</v>
      </c>
      <c r="M52" s="15" t="n">
        <f aca="false">(L52-K52)*F52</f>
        <v>0</v>
      </c>
      <c r="N52" s="12" t="n">
        <v>0</v>
      </c>
      <c r="O52" s="12" t="n">
        <v>0</v>
      </c>
      <c r="P52" s="15" t="n">
        <f aca="false">(N52-O52)*F52</f>
        <v>0</v>
      </c>
      <c r="Q52" s="21" t="n">
        <v>0.868</v>
      </c>
      <c r="R52" s="21" t="n">
        <v>0.868</v>
      </c>
      <c r="S52" s="15" t="n">
        <f aca="false">(R52-Q52)*(G52-23*F52)</f>
        <v>0</v>
      </c>
      <c r="T52" s="21" t="n">
        <v>0.86</v>
      </c>
      <c r="U52" s="21" t="n">
        <v>0.86</v>
      </c>
      <c r="V52" s="15" t="n">
        <f aca="false">(T52-U52)*G52</f>
        <v>0</v>
      </c>
      <c r="W52" s="15" t="n">
        <v>100</v>
      </c>
      <c r="X52" s="15" t="n">
        <f aca="false">-W52</f>
        <v>-100</v>
      </c>
      <c r="Y52" s="15" t="n">
        <f aca="false">J52-M52-P52-S52-V52-X52</f>
        <v>-0.580799999995975</v>
      </c>
      <c r="Z52" s="12" t="str">
        <f aca="false">IF(OR(ABS(M52)&gt;0.5,ABS(P52)&gt;0.5,ABS(S52)&gt;0.5,ABS(V52)&gt;0.5,ABS(X52)&gt;0.5),"是","")</f>
        <v>是</v>
      </c>
    </row>
    <row r="53" customFormat="false" ht="15" hidden="false" customHeight="false" outlineLevel="0" collapsed="false">
      <c r="A53" s="12" t="s">
        <v>150</v>
      </c>
      <c r="B53" s="12" t="n">
        <v>2</v>
      </c>
      <c r="C53" s="12" t="s">
        <v>73</v>
      </c>
      <c r="D53" s="13" t="s">
        <v>152</v>
      </c>
      <c r="E53" s="12" t="s">
        <v>326</v>
      </c>
      <c r="F53" s="14" t="n">
        <v>78.04</v>
      </c>
      <c r="G53" s="15" t="n">
        <v>200062.8</v>
      </c>
      <c r="H53" s="15" t="n">
        <v>2107.28</v>
      </c>
      <c r="I53" s="15" t="n">
        <v>1607.08</v>
      </c>
      <c r="J53" s="15" t="n">
        <f aca="false">I53-H53</f>
        <v>-500.2</v>
      </c>
      <c r="K53" s="12" t="n">
        <v>25</v>
      </c>
      <c r="L53" s="12" t="n">
        <v>25</v>
      </c>
      <c r="M53" s="15" t="n">
        <f aca="false">(L53-K53)*F53</f>
        <v>0</v>
      </c>
      <c r="N53" s="12" t="n">
        <v>15</v>
      </c>
      <c r="O53" s="12" t="n">
        <v>15</v>
      </c>
      <c r="P53" s="15" t="n">
        <f aca="false">(N53-O53)*F53</f>
        <v>0</v>
      </c>
      <c r="Q53" s="21"/>
      <c r="R53" s="21"/>
      <c r="S53" s="15" t="n">
        <v>0</v>
      </c>
      <c r="T53" s="21"/>
      <c r="U53" s="21"/>
      <c r="V53" s="15" t="n">
        <v>0</v>
      </c>
      <c r="W53" s="15" t="n">
        <v>500</v>
      </c>
      <c r="X53" s="15" t="n">
        <f aca="false">-W53</f>
        <v>-500</v>
      </c>
      <c r="Y53" s="15" t="n">
        <f aca="false">J53-M53-P53-S53-V53-X53</f>
        <v>-0.200000000000273</v>
      </c>
      <c r="Z53" s="12" t="str">
        <f aca="false">IF(OR(ABS(M53)&gt;0.5,ABS(P53)&gt;0.5,ABS(S53)&gt;0.5,ABS(V53)&gt;0.5,ABS(X53)&gt;0.5),"是","")</f>
        <v>是</v>
      </c>
    </row>
    <row r="54" customFormat="false" ht="15" hidden="false" customHeight="false" outlineLevel="0" collapsed="false">
      <c r="A54" s="12" t="s">
        <v>150</v>
      </c>
      <c r="B54" s="12" t="n">
        <v>3</v>
      </c>
      <c r="C54" s="12" t="s">
        <v>55</v>
      </c>
      <c r="D54" s="13" t="s">
        <v>154</v>
      </c>
      <c r="E54" s="12" t="s">
        <v>326</v>
      </c>
      <c r="F54" s="14" t="n">
        <v>71.5</v>
      </c>
      <c r="G54" s="15" t="n">
        <v>169455</v>
      </c>
      <c r="H54" s="15" t="n">
        <v>1931.29999999999</v>
      </c>
      <c r="I54" s="15" t="n">
        <v>1930.5</v>
      </c>
      <c r="J54" s="15" t="n">
        <f aca="false">I54-H54</f>
        <v>-0.79999999998995</v>
      </c>
      <c r="K54" s="12" t="n">
        <v>25</v>
      </c>
      <c r="L54" s="12" t="n">
        <v>25</v>
      </c>
      <c r="M54" s="15" t="n">
        <f aca="false">(L54-K54)*F54</f>
        <v>0</v>
      </c>
      <c r="N54" s="12" t="n">
        <v>15</v>
      </c>
      <c r="O54" s="12" t="n">
        <v>15</v>
      </c>
      <c r="P54" s="15" t="n">
        <f aca="false">(N54-O54)*F54</f>
        <v>0</v>
      </c>
      <c r="Q54" s="21"/>
      <c r="R54" s="21"/>
      <c r="S54" s="15" t="n">
        <v>0</v>
      </c>
      <c r="T54" s="21"/>
      <c r="U54" s="21"/>
      <c r="V54" s="15" t="n">
        <v>0</v>
      </c>
      <c r="W54" s="15" t="n">
        <v>0</v>
      </c>
      <c r="X54" s="15" t="n">
        <f aca="false">-W54</f>
        <v>-0</v>
      </c>
      <c r="Y54" s="15" t="n">
        <f aca="false">J54-M54-P54-S54-V54-X54</f>
        <v>-0.79999999998995</v>
      </c>
      <c r="Z54" s="12" t="str">
        <f aca="false">IF(OR(ABS(M54)&gt;0.5,ABS(P54)&gt;0.5,ABS(S54)&gt;0.5,ABS(V54)&gt;0.5,ABS(X54)&gt;0.5),"是","")</f>
        <v/>
      </c>
    </row>
    <row r="55" customFormat="false" ht="15" hidden="false" customHeight="false" outlineLevel="0" collapsed="false">
      <c r="A55" s="12" t="s">
        <v>157</v>
      </c>
      <c r="B55" s="12" t="n">
        <v>3</v>
      </c>
      <c r="C55" s="12" t="s">
        <v>73</v>
      </c>
      <c r="D55" s="13" t="s">
        <v>159</v>
      </c>
      <c r="E55" s="12" t="s">
        <v>326</v>
      </c>
      <c r="F55" s="14" t="n">
        <v>65.44</v>
      </c>
      <c r="G55" s="15" t="n">
        <v>147240</v>
      </c>
      <c r="H55" s="15" t="n">
        <v>1767.28</v>
      </c>
      <c r="I55" s="15" t="n">
        <v>1766.88</v>
      </c>
      <c r="J55" s="15" t="n">
        <f aca="false">I55-H55</f>
        <v>-0.399999999998954</v>
      </c>
      <c r="K55" s="12" t="n">
        <v>25</v>
      </c>
      <c r="L55" s="12" t="n">
        <v>25</v>
      </c>
      <c r="M55" s="15" t="n">
        <f aca="false">(L55-K55)*F55</f>
        <v>0</v>
      </c>
      <c r="N55" s="12" t="n">
        <v>15</v>
      </c>
      <c r="O55" s="12" t="n">
        <v>15</v>
      </c>
      <c r="P55" s="15" t="n">
        <f aca="false">(N55-O55)*F55</f>
        <v>0</v>
      </c>
      <c r="Q55" s="21"/>
      <c r="R55" s="21"/>
      <c r="S55" s="15" t="n">
        <v>0</v>
      </c>
      <c r="T55" s="21"/>
      <c r="U55" s="21"/>
      <c r="V55" s="15" t="n">
        <v>0</v>
      </c>
      <c r="W55" s="15" t="n">
        <v>0</v>
      </c>
      <c r="X55" s="15" t="n">
        <f aca="false">-W55</f>
        <v>-0</v>
      </c>
      <c r="Y55" s="15" t="n">
        <f aca="false">J55-M55-P55-S55-V55-X55</f>
        <v>-0.399999999998954</v>
      </c>
      <c r="Z55" s="12" t="str">
        <f aca="false">IF(OR(ABS(M55)&gt;0.5,ABS(P55)&gt;0.5,ABS(S55)&gt;0.5,ABS(V55)&gt;0.5,ABS(X55)&gt;0.5),"是","")</f>
        <v/>
      </c>
    </row>
    <row r="56" customFormat="false" ht="15" hidden="false" customHeight="false" outlineLevel="0" collapsed="false">
      <c r="A56" s="12" t="s">
        <v>157</v>
      </c>
      <c r="B56" s="12" t="n">
        <v>5</v>
      </c>
      <c r="C56" s="12" t="s">
        <v>119</v>
      </c>
      <c r="D56" s="13" t="s">
        <v>162</v>
      </c>
      <c r="E56" s="12" t="s">
        <v>326</v>
      </c>
      <c r="F56" s="14" t="n">
        <v>31.38</v>
      </c>
      <c r="G56" s="15" t="n">
        <v>70605</v>
      </c>
      <c r="H56" s="15" t="n">
        <v>848.059999999995</v>
      </c>
      <c r="I56" s="15" t="n">
        <v>847.26</v>
      </c>
      <c r="J56" s="15" t="n">
        <f aca="false">I56-H56</f>
        <v>-0.799999999994952</v>
      </c>
      <c r="K56" s="12" t="n">
        <v>25</v>
      </c>
      <c r="L56" s="12" t="n">
        <v>25</v>
      </c>
      <c r="M56" s="15" t="n">
        <f aca="false">(L56-K56)*F56</f>
        <v>0</v>
      </c>
      <c r="N56" s="12" t="n">
        <v>15</v>
      </c>
      <c r="O56" s="12" t="n">
        <v>15</v>
      </c>
      <c r="P56" s="15" t="n">
        <f aca="false">(N56-O56)*F56</f>
        <v>0</v>
      </c>
      <c r="Q56" s="21"/>
      <c r="R56" s="21"/>
      <c r="S56" s="15" t="n">
        <v>0</v>
      </c>
      <c r="T56" s="21"/>
      <c r="U56" s="21"/>
      <c r="V56" s="15" t="n">
        <v>0</v>
      </c>
      <c r="W56" s="15" t="n">
        <v>0</v>
      </c>
      <c r="X56" s="15" t="n">
        <f aca="false">-W56</f>
        <v>-0</v>
      </c>
      <c r="Y56" s="15" t="n">
        <f aca="false">J56-M56-P56-S56-V56-X56</f>
        <v>-0.799999999994952</v>
      </c>
      <c r="Z56" s="12" t="str">
        <f aca="false">IF(OR(ABS(M56)&gt;0.5,ABS(P56)&gt;0.5,ABS(S56)&gt;0.5,ABS(V56)&gt;0.5,ABS(X56)&gt;0.5),"是","")</f>
        <v/>
      </c>
    </row>
    <row r="57" customFormat="false" ht="15" hidden="false" customHeight="false" outlineLevel="0" collapsed="false">
      <c r="A57" s="12" t="s">
        <v>157</v>
      </c>
      <c r="B57" s="12" t="n">
        <v>6</v>
      </c>
      <c r="C57" s="12" t="s">
        <v>73</v>
      </c>
      <c r="D57" s="13" t="s">
        <v>163</v>
      </c>
      <c r="E57" s="12" t="s">
        <v>326</v>
      </c>
      <c r="F57" s="14" t="n">
        <v>31.46</v>
      </c>
      <c r="G57" s="15" t="n">
        <v>70785</v>
      </c>
      <c r="H57" s="15" t="n">
        <v>850.019999999998</v>
      </c>
      <c r="I57" s="15" t="n">
        <v>849.42</v>
      </c>
      <c r="J57" s="15" t="n">
        <f aca="false">I57-H57</f>
        <v>-0.599999999997976</v>
      </c>
      <c r="K57" s="12" t="n">
        <v>25</v>
      </c>
      <c r="L57" s="12" t="n">
        <v>25</v>
      </c>
      <c r="M57" s="15" t="n">
        <f aca="false">(L57-K57)*F57</f>
        <v>0</v>
      </c>
      <c r="N57" s="12" t="n">
        <v>15</v>
      </c>
      <c r="O57" s="12" t="n">
        <v>15</v>
      </c>
      <c r="P57" s="15" t="n">
        <f aca="false">(N57-O57)*F57</f>
        <v>0</v>
      </c>
      <c r="Q57" s="21"/>
      <c r="R57" s="21"/>
      <c r="S57" s="15" t="n">
        <v>0</v>
      </c>
      <c r="T57" s="21"/>
      <c r="U57" s="21"/>
      <c r="V57" s="15" t="n">
        <v>0</v>
      </c>
      <c r="W57" s="15" t="n">
        <v>0</v>
      </c>
      <c r="X57" s="15" t="n">
        <f aca="false">-W57</f>
        <v>-0</v>
      </c>
      <c r="Y57" s="15" t="n">
        <f aca="false">J57-M57-P57-S57-V57-X57</f>
        <v>-0.599999999997976</v>
      </c>
      <c r="Z57" s="12" t="str">
        <f aca="false">IF(OR(ABS(M57)&gt;0.5,ABS(P57)&gt;0.5,ABS(S57)&gt;0.5,ABS(V57)&gt;0.5,ABS(X57)&gt;0.5),"是","")</f>
        <v/>
      </c>
    </row>
    <row r="58" customFormat="false" ht="15" hidden="false" customHeight="false" outlineLevel="0" collapsed="false">
      <c r="A58" s="12" t="s">
        <v>157</v>
      </c>
      <c r="B58" s="12" t="n">
        <v>7</v>
      </c>
      <c r="C58" s="12" t="s">
        <v>55</v>
      </c>
      <c r="D58" s="13" t="s">
        <v>165</v>
      </c>
      <c r="E58" s="12" t="s">
        <v>326</v>
      </c>
      <c r="F58" s="14" t="n">
        <v>28.84</v>
      </c>
      <c r="G58" s="15" t="n">
        <v>66389.68</v>
      </c>
      <c r="H58" s="15" t="n">
        <v>778.760000000001</v>
      </c>
      <c r="I58" s="15" t="n">
        <v>778.68</v>
      </c>
      <c r="J58" s="15" t="n">
        <f aca="false">I58-H58</f>
        <v>-0.0800000000009504</v>
      </c>
      <c r="K58" s="12" t="n">
        <v>25</v>
      </c>
      <c r="L58" s="12" t="n">
        <v>25</v>
      </c>
      <c r="M58" s="15" t="n">
        <f aca="false">(L58-K58)*F58</f>
        <v>0</v>
      </c>
      <c r="N58" s="12" t="n">
        <v>15</v>
      </c>
      <c r="O58" s="12" t="n">
        <v>15</v>
      </c>
      <c r="P58" s="15" t="n">
        <f aca="false">(N58-O58)*F58</f>
        <v>0</v>
      </c>
      <c r="Q58" s="21"/>
      <c r="R58" s="21"/>
      <c r="S58" s="15" t="n">
        <v>0</v>
      </c>
      <c r="T58" s="21"/>
      <c r="U58" s="21"/>
      <c r="V58" s="15" t="n">
        <v>0</v>
      </c>
      <c r="W58" s="15" t="n">
        <v>0</v>
      </c>
      <c r="X58" s="15" t="n">
        <f aca="false">-W58</f>
        <v>-0</v>
      </c>
      <c r="Y58" s="15" t="n">
        <f aca="false">J58-M58-P58-S58-V58-X58</f>
        <v>-0.0800000000009504</v>
      </c>
      <c r="Z58" s="12" t="str">
        <f aca="false">IF(OR(ABS(M58)&gt;0.5,ABS(P58)&gt;0.5,ABS(S58)&gt;0.5,ABS(V58)&gt;0.5,ABS(X58)&gt;0.5),"是","")</f>
        <v/>
      </c>
    </row>
    <row r="59" customFormat="false" ht="15" hidden="false" customHeight="false" outlineLevel="0" collapsed="false">
      <c r="A59" s="12" t="s">
        <v>157</v>
      </c>
      <c r="B59" s="12" t="n">
        <v>8</v>
      </c>
      <c r="C59" s="12" t="s">
        <v>73</v>
      </c>
      <c r="D59" s="13" t="s">
        <v>166</v>
      </c>
      <c r="E59" s="12" t="s">
        <v>326</v>
      </c>
      <c r="F59" s="14" t="n">
        <v>30.72</v>
      </c>
      <c r="G59" s="15" t="n">
        <v>70717.44</v>
      </c>
      <c r="H59" s="15" t="n">
        <v>830.080000000005</v>
      </c>
      <c r="I59" s="15" t="n">
        <v>829.44</v>
      </c>
      <c r="J59" s="15" t="n">
        <f aca="false">I59-H59</f>
        <v>-0.640000000004989</v>
      </c>
      <c r="K59" s="12" t="n">
        <v>25</v>
      </c>
      <c r="L59" s="12" t="n">
        <v>25</v>
      </c>
      <c r="M59" s="15" t="n">
        <f aca="false">(L59-K59)*F59</f>
        <v>0</v>
      </c>
      <c r="N59" s="12" t="n">
        <v>15</v>
      </c>
      <c r="O59" s="12" t="n">
        <v>15</v>
      </c>
      <c r="P59" s="15" t="n">
        <f aca="false">(N59-O59)*F59</f>
        <v>0</v>
      </c>
      <c r="Q59" s="21"/>
      <c r="R59" s="21"/>
      <c r="S59" s="15" t="n">
        <v>0</v>
      </c>
      <c r="T59" s="21"/>
      <c r="U59" s="21"/>
      <c r="V59" s="15" t="n">
        <v>0</v>
      </c>
      <c r="W59" s="15" t="n">
        <v>0</v>
      </c>
      <c r="X59" s="15" t="n">
        <f aca="false">-W59</f>
        <v>-0</v>
      </c>
      <c r="Y59" s="15" t="n">
        <f aca="false">J59-M59-P59-S59-V59-X59</f>
        <v>-0.640000000004989</v>
      </c>
      <c r="Z59" s="12" t="str">
        <f aca="false">IF(OR(ABS(M59)&gt;0.5,ABS(P59)&gt;0.5,ABS(S59)&gt;0.5,ABS(V59)&gt;0.5,ABS(X59)&gt;0.5),"是","")</f>
        <v/>
      </c>
    </row>
    <row r="60" customFormat="false" ht="15" hidden="false" customHeight="false" outlineLevel="0" collapsed="false">
      <c r="A60" s="12" t="s">
        <v>157</v>
      </c>
      <c r="B60" s="12" t="n">
        <v>9</v>
      </c>
      <c r="C60" s="12" t="s">
        <v>55</v>
      </c>
      <c r="D60" s="13" t="s">
        <v>167</v>
      </c>
      <c r="E60" s="12" t="s">
        <v>326</v>
      </c>
      <c r="F60" s="14" t="n">
        <v>31.32</v>
      </c>
      <c r="G60" s="15" t="n">
        <v>72098.64</v>
      </c>
      <c r="H60" s="15" t="n">
        <v>846.479999999999</v>
      </c>
      <c r="I60" s="15" t="n">
        <v>845.64</v>
      </c>
      <c r="J60" s="15" t="n">
        <f aca="false">I60-H60</f>
        <v>-0.839999999998895</v>
      </c>
      <c r="K60" s="12" t="n">
        <v>25</v>
      </c>
      <c r="L60" s="12" t="n">
        <v>25</v>
      </c>
      <c r="M60" s="15" t="n">
        <f aca="false">(L60-K60)*F60</f>
        <v>0</v>
      </c>
      <c r="N60" s="12" t="n">
        <v>15</v>
      </c>
      <c r="O60" s="12" t="n">
        <v>15</v>
      </c>
      <c r="P60" s="15" t="n">
        <f aca="false">(N60-O60)*F60</f>
        <v>0</v>
      </c>
      <c r="Q60" s="21"/>
      <c r="R60" s="21"/>
      <c r="S60" s="15" t="n">
        <v>0</v>
      </c>
      <c r="T60" s="21"/>
      <c r="U60" s="21"/>
      <c r="V60" s="15" t="n">
        <v>0</v>
      </c>
      <c r="W60" s="15" t="n">
        <v>0</v>
      </c>
      <c r="X60" s="15" t="n">
        <f aca="false">-W60</f>
        <v>-0</v>
      </c>
      <c r="Y60" s="15" t="n">
        <f aca="false">J60-M60-P60-S60-V60-X60</f>
        <v>-0.839999999998895</v>
      </c>
      <c r="Z60" s="12" t="str">
        <f aca="false">IF(OR(ABS(M60)&gt;0.5,ABS(P60)&gt;0.5,ABS(S60)&gt;0.5,ABS(V60)&gt;0.5,ABS(X60)&gt;0.5),"是","")</f>
        <v/>
      </c>
    </row>
    <row r="61" customFormat="false" ht="15" hidden="false" customHeight="false" outlineLevel="0" collapsed="false">
      <c r="A61" s="12" t="s">
        <v>157</v>
      </c>
      <c r="B61" s="12" t="n">
        <v>10</v>
      </c>
      <c r="C61" s="12" t="s">
        <v>55</v>
      </c>
      <c r="D61" s="13" t="s">
        <v>169</v>
      </c>
      <c r="E61" s="12" t="s">
        <v>326</v>
      </c>
      <c r="F61" s="14" t="n">
        <v>32.12</v>
      </c>
      <c r="G61" s="15" t="n">
        <v>73940.24</v>
      </c>
      <c r="H61" s="15" t="n">
        <v>867.679999999996</v>
      </c>
      <c r="I61" s="15" t="n">
        <v>867.24</v>
      </c>
      <c r="J61" s="15" t="n">
        <f aca="false">I61-H61</f>
        <v>-0.439999999996076</v>
      </c>
      <c r="K61" s="12" t="n">
        <v>25</v>
      </c>
      <c r="L61" s="12" t="n">
        <v>25</v>
      </c>
      <c r="M61" s="15" t="n">
        <f aca="false">(L61-K61)*F61</f>
        <v>0</v>
      </c>
      <c r="N61" s="12" t="n">
        <v>15</v>
      </c>
      <c r="O61" s="12" t="n">
        <v>15</v>
      </c>
      <c r="P61" s="15" t="n">
        <f aca="false">(N61-O61)*F61</f>
        <v>0</v>
      </c>
      <c r="Q61" s="21"/>
      <c r="R61" s="21"/>
      <c r="S61" s="15" t="n">
        <v>0</v>
      </c>
      <c r="T61" s="21"/>
      <c r="U61" s="21"/>
      <c r="V61" s="15" t="n">
        <v>0</v>
      </c>
      <c r="W61" s="15" t="n">
        <v>0</v>
      </c>
      <c r="X61" s="15" t="n">
        <f aca="false">-W61</f>
        <v>-0</v>
      </c>
      <c r="Y61" s="15" t="n">
        <f aca="false">J61-M61-P61-S61-V61-X61</f>
        <v>-0.439999999996076</v>
      </c>
      <c r="Z61" s="12" t="str">
        <f aca="false">IF(OR(ABS(M61)&gt;0.5,ABS(P61)&gt;0.5,ABS(S61)&gt;0.5,ABS(V61)&gt;0.5,ABS(X61)&gt;0.5),"是","")</f>
        <v/>
      </c>
    </row>
    <row r="62" customFormat="false" ht="15" hidden="false" customHeight="false" outlineLevel="0" collapsed="false">
      <c r="A62" s="12" t="s">
        <v>157</v>
      </c>
      <c r="B62" s="12" t="n">
        <v>11</v>
      </c>
      <c r="C62" s="12" t="s">
        <v>73</v>
      </c>
      <c r="D62" s="13" t="s">
        <v>170</v>
      </c>
      <c r="E62" s="12" t="s">
        <v>326</v>
      </c>
      <c r="F62" s="14" t="n">
        <v>32.72</v>
      </c>
      <c r="G62" s="15" t="n">
        <v>75321.44</v>
      </c>
      <c r="H62" s="15" t="n">
        <v>884.080000000005</v>
      </c>
      <c r="I62" s="15" t="n">
        <v>883.44</v>
      </c>
      <c r="J62" s="15" t="n">
        <f aca="false">I62-H62</f>
        <v>-0.640000000004761</v>
      </c>
      <c r="K62" s="12" t="n">
        <v>25</v>
      </c>
      <c r="L62" s="12" t="n">
        <v>25</v>
      </c>
      <c r="M62" s="15" t="n">
        <f aca="false">(L62-K62)*F62</f>
        <v>0</v>
      </c>
      <c r="N62" s="12" t="n">
        <v>15</v>
      </c>
      <c r="O62" s="12" t="n">
        <v>15</v>
      </c>
      <c r="P62" s="15" t="n">
        <f aca="false">(N62-O62)*F62</f>
        <v>0</v>
      </c>
      <c r="Q62" s="21"/>
      <c r="R62" s="21"/>
      <c r="S62" s="15" t="n">
        <v>0</v>
      </c>
      <c r="T62" s="21"/>
      <c r="U62" s="21"/>
      <c r="V62" s="15" t="n">
        <v>0</v>
      </c>
      <c r="W62" s="15" t="n">
        <v>0</v>
      </c>
      <c r="X62" s="15" t="n">
        <f aca="false">-W62</f>
        <v>-0</v>
      </c>
      <c r="Y62" s="15" t="n">
        <f aca="false">J62-M62-P62-S62-V62-X62</f>
        <v>-0.640000000004761</v>
      </c>
      <c r="Z62" s="12" t="str">
        <f aca="false">IF(OR(ABS(M62)&gt;0.5,ABS(P62)&gt;0.5,ABS(S62)&gt;0.5,ABS(V62)&gt;0.5,ABS(X62)&gt;0.5),"是","")</f>
        <v/>
      </c>
    </row>
    <row r="63" customFormat="false" ht="15" hidden="false" customHeight="false" outlineLevel="0" collapsed="false">
      <c r="A63" s="12" t="s">
        <v>171</v>
      </c>
      <c r="B63" s="12" t="n">
        <v>2</v>
      </c>
      <c r="C63" s="12" t="s">
        <v>73</v>
      </c>
      <c r="D63" s="13" t="s">
        <v>173</v>
      </c>
      <c r="E63" s="12" t="s">
        <v>326</v>
      </c>
      <c r="F63" s="14" t="n">
        <v>82.26</v>
      </c>
      <c r="G63" s="15" t="n">
        <v>208117.8</v>
      </c>
      <c r="H63" s="15" t="n">
        <v>2221.42000000001</v>
      </c>
      <c r="I63" s="15" t="n">
        <v>2221.02</v>
      </c>
      <c r="J63" s="15" t="n">
        <f aca="false">I63-H63</f>
        <v>-0.400000000010095</v>
      </c>
      <c r="K63" s="12" t="n">
        <v>25</v>
      </c>
      <c r="L63" s="12" t="n">
        <v>25</v>
      </c>
      <c r="M63" s="15" t="n">
        <f aca="false">(L63-K63)*F63</f>
        <v>0</v>
      </c>
      <c r="N63" s="12" t="n">
        <v>15</v>
      </c>
      <c r="O63" s="12" t="n">
        <v>15</v>
      </c>
      <c r="P63" s="15" t="n">
        <f aca="false">(N63-O63)*F63</f>
        <v>0</v>
      </c>
      <c r="Q63" s="21"/>
      <c r="R63" s="21"/>
      <c r="S63" s="15" t="n">
        <v>0</v>
      </c>
      <c r="T63" s="21"/>
      <c r="U63" s="21"/>
      <c r="V63" s="15" t="n">
        <v>0</v>
      </c>
      <c r="W63" s="15" t="n">
        <v>0</v>
      </c>
      <c r="X63" s="15" t="n">
        <f aca="false">-W63</f>
        <v>-0</v>
      </c>
      <c r="Y63" s="15" t="n">
        <f aca="false">J63-M63-P63-S63-V63-X63</f>
        <v>-0.400000000010095</v>
      </c>
      <c r="Z63" s="12" t="str">
        <f aca="false">IF(OR(ABS(M63)&gt;0.5,ABS(P63)&gt;0.5,ABS(S63)&gt;0.5,ABS(V63)&gt;0.5,ABS(X63)&gt;0.5),"是","")</f>
        <v/>
      </c>
    </row>
    <row r="64" customFormat="false" ht="15" hidden="false" customHeight="false" outlineLevel="0" collapsed="false">
      <c r="A64" s="12" t="s">
        <v>171</v>
      </c>
      <c r="B64" s="12" t="n">
        <v>3</v>
      </c>
      <c r="C64" s="12" t="s">
        <v>55</v>
      </c>
      <c r="D64" s="13" t="s">
        <v>175</v>
      </c>
      <c r="E64" s="12" t="s">
        <v>326</v>
      </c>
      <c r="F64" s="14" t="n">
        <v>82.2</v>
      </c>
      <c r="G64" s="15" t="n">
        <v>207966</v>
      </c>
      <c r="H64" s="15" t="n">
        <v>2219.39999999999</v>
      </c>
      <c r="I64" s="15" t="n">
        <v>2219.4</v>
      </c>
      <c r="J64" s="15" t="n">
        <f aca="false">I64-H64</f>
        <v>1.00044417195022E-011</v>
      </c>
      <c r="K64" s="12" t="n">
        <v>25</v>
      </c>
      <c r="L64" s="12" t="n">
        <v>25</v>
      </c>
      <c r="M64" s="15" t="n">
        <f aca="false">(L64-K64)*F64</f>
        <v>0</v>
      </c>
      <c r="N64" s="12" t="n">
        <v>15</v>
      </c>
      <c r="O64" s="12" t="n">
        <v>15</v>
      </c>
      <c r="P64" s="15" t="n">
        <f aca="false">(N64-O64)*F64</f>
        <v>0</v>
      </c>
      <c r="Q64" s="21"/>
      <c r="R64" s="21"/>
      <c r="S64" s="15" t="n">
        <v>0</v>
      </c>
      <c r="T64" s="21"/>
      <c r="U64" s="21"/>
      <c r="V64" s="15" t="n">
        <v>0</v>
      </c>
      <c r="W64" s="15" t="n">
        <v>0</v>
      </c>
      <c r="X64" s="15" t="n">
        <f aca="false">-W64</f>
        <v>-0</v>
      </c>
      <c r="Y64" s="15" t="n">
        <f aca="false">J64-M64-P64-S64-V64-X64</f>
        <v>1.00044417195022E-011</v>
      </c>
      <c r="Z64" s="12" t="str">
        <f aca="false">IF(OR(ABS(M64)&gt;0.5,ABS(P64)&gt;0.5,ABS(S64)&gt;0.5,ABS(V64)&gt;0.5,ABS(X64)&gt;0.5),"是","")</f>
        <v/>
      </c>
    </row>
    <row r="65" customFormat="false" ht="15" hidden="false" customHeight="false" outlineLevel="0" collapsed="false">
      <c r="A65" s="12" t="s">
        <v>171</v>
      </c>
      <c r="B65" s="12" t="n">
        <v>4</v>
      </c>
      <c r="C65" s="12" t="s">
        <v>119</v>
      </c>
      <c r="D65" s="13" t="s">
        <v>176</v>
      </c>
      <c r="E65" s="12" t="s">
        <v>326</v>
      </c>
      <c r="F65" s="14" t="n">
        <v>79.76</v>
      </c>
      <c r="G65" s="15" t="n">
        <v>181852.8</v>
      </c>
      <c r="H65" s="15" t="n">
        <v>2153.92000000001</v>
      </c>
      <c r="I65" s="15" t="n">
        <v>2153.52</v>
      </c>
      <c r="J65" s="15" t="n">
        <f aca="false">I65-H65</f>
        <v>-0.400000000010095</v>
      </c>
      <c r="K65" s="12" t="n">
        <v>25</v>
      </c>
      <c r="L65" s="12" t="n">
        <v>25</v>
      </c>
      <c r="M65" s="15" t="n">
        <f aca="false">(L65-K65)*F65</f>
        <v>0</v>
      </c>
      <c r="N65" s="12" t="n">
        <v>15</v>
      </c>
      <c r="O65" s="12" t="n">
        <v>15</v>
      </c>
      <c r="P65" s="15" t="n">
        <f aca="false">(N65-O65)*F65</f>
        <v>0</v>
      </c>
      <c r="Q65" s="21"/>
      <c r="R65" s="21"/>
      <c r="S65" s="15" t="n">
        <v>0</v>
      </c>
      <c r="T65" s="21"/>
      <c r="U65" s="21"/>
      <c r="V65" s="15" t="n">
        <v>0</v>
      </c>
      <c r="W65" s="15" t="n">
        <v>0</v>
      </c>
      <c r="X65" s="15" t="n">
        <f aca="false">-W65</f>
        <v>-0</v>
      </c>
      <c r="Y65" s="15" t="n">
        <f aca="false">J65-M65-P65-S65-V65-X65</f>
        <v>-0.400000000010095</v>
      </c>
      <c r="Z65" s="12" t="str">
        <f aca="false">IF(OR(ABS(M65)&gt;0.5,ABS(P65)&gt;0.5,ABS(S65)&gt;0.5,ABS(V65)&gt;0.5,ABS(X65)&gt;0.5),"是","")</f>
        <v/>
      </c>
    </row>
    <row r="66" customFormat="false" ht="15" hidden="false" customHeight="false" outlineLevel="0" collapsed="false">
      <c r="A66" s="12" t="s">
        <v>171</v>
      </c>
      <c r="B66" s="12" t="n">
        <v>5</v>
      </c>
      <c r="C66" s="12" t="s">
        <v>119</v>
      </c>
      <c r="D66" s="13" t="s">
        <v>178</v>
      </c>
      <c r="E66" s="12" t="s">
        <v>326</v>
      </c>
      <c r="F66" s="14" t="n">
        <v>75.88</v>
      </c>
      <c r="G66" s="15" t="n">
        <v>191976.4</v>
      </c>
      <c r="H66" s="15" t="n">
        <v>2048.96</v>
      </c>
      <c r="I66" s="15" t="n">
        <v>2048.76</v>
      </c>
      <c r="J66" s="15" t="n">
        <f aca="false">I66-H66</f>
        <v>-0.199999999999818</v>
      </c>
      <c r="K66" s="12" t="n">
        <v>25</v>
      </c>
      <c r="L66" s="12" t="n">
        <v>25</v>
      </c>
      <c r="M66" s="15" t="n">
        <f aca="false">(L66-K66)*F66</f>
        <v>0</v>
      </c>
      <c r="N66" s="12" t="n">
        <v>15</v>
      </c>
      <c r="O66" s="12" t="n">
        <v>15</v>
      </c>
      <c r="P66" s="15" t="n">
        <f aca="false">(N66-O66)*F66</f>
        <v>0</v>
      </c>
      <c r="Q66" s="21"/>
      <c r="R66" s="21"/>
      <c r="S66" s="15" t="n">
        <v>0</v>
      </c>
      <c r="T66" s="21"/>
      <c r="U66" s="21"/>
      <c r="V66" s="15" t="n">
        <v>0</v>
      </c>
      <c r="W66" s="15" t="n">
        <v>0</v>
      </c>
      <c r="X66" s="15" t="n">
        <f aca="false">-W66</f>
        <v>-0</v>
      </c>
      <c r="Y66" s="15" t="n">
        <f aca="false">J66-M66-P66-S66-V66-X66</f>
        <v>-0.199999999999818</v>
      </c>
      <c r="Z66" s="12" t="str">
        <f aca="false">IF(OR(ABS(M66)&gt;0.5,ABS(P66)&gt;0.5,ABS(S66)&gt;0.5,ABS(V66)&gt;0.5,ABS(X66)&gt;0.5),"是","")</f>
        <v/>
      </c>
    </row>
    <row r="67" customFormat="false" ht="15" hidden="false" customHeight="false" outlineLevel="0" collapsed="false">
      <c r="A67" s="12" t="s">
        <v>171</v>
      </c>
      <c r="B67" s="12" t="n">
        <v>6</v>
      </c>
      <c r="C67" s="12" t="s">
        <v>73</v>
      </c>
      <c r="D67" s="13" t="s">
        <v>179</v>
      </c>
      <c r="E67" s="12" t="s">
        <v>326</v>
      </c>
      <c r="F67" s="14" t="n">
        <v>29.79</v>
      </c>
      <c r="G67" s="15" t="n">
        <v>68576.58</v>
      </c>
      <c r="H67" s="15" t="n">
        <v>809.970000000004</v>
      </c>
      <c r="I67" s="15" t="n">
        <v>804.33</v>
      </c>
      <c r="J67" s="15" t="n">
        <f aca="false">I67-H67</f>
        <v>-5.64000000000408</v>
      </c>
      <c r="K67" s="12" t="n">
        <v>25</v>
      </c>
      <c r="L67" s="12" t="n">
        <v>25</v>
      </c>
      <c r="M67" s="15" t="n">
        <f aca="false">(L67-K67)*F67</f>
        <v>0</v>
      </c>
      <c r="N67" s="12" t="n">
        <v>15</v>
      </c>
      <c r="O67" s="12" t="n">
        <v>15</v>
      </c>
      <c r="P67" s="15" t="n">
        <f aca="false">(N67-O67)*F67</f>
        <v>0</v>
      </c>
      <c r="Q67" s="21"/>
      <c r="R67" s="21"/>
      <c r="S67" s="15" t="n">
        <v>0</v>
      </c>
      <c r="T67" s="21"/>
      <c r="U67" s="21"/>
      <c r="V67" s="15" t="n">
        <v>0</v>
      </c>
      <c r="W67" s="15" t="n">
        <v>0</v>
      </c>
      <c r="X67" s="15" t="n">
        <f aca="false">-W67</f>
        <v>-0</v>
      </c>
      <c r="Y67" s="15" t="n">
        <f aca="false">J67-M67-P67-S67-V67-X67</f>
        <v>-5.64000000000408</v>
      </c>
      <c r="Z67" s="12" t="str">
        <f aca="false">IF(OR(ABS(M67)&gt;0.5,ABS(P67)&gt;0.5,ABS(S67)&gt;0.5,ABS(V67)&gt;0.5,ABS(X67)&gt;0.5),"是","")</f>
        <v/>
      </c>
    </row>
    <row r="68" customFormat="false" ht="15" hidden="false" customHeight="false" outlineLevel="0" collapsed="false">
      <c r="A68" s="12" t="s">
        <v>171</v>
      </c>
      <c r="B68" s="12" t="n">
        <v>7</v>
      </c>
      <c r="C68" s="12" t="s">
        <v>73</v>
      </c>
      <c r="D68" s="13" t="s">
        <v>181</v>
      </c>
      <c r="E68" s="12" t="s">
        <v>326</v>
      </c>
      <c r="F68" s="14" t="n">
        <v>81.46</v>
      </c>
      <c r="G68" s="15" t="n">
        <v>206093.8</v>
      </c>
      <c r="H68" s="15" t="n">
        <v>2199.82</v>
      </c>
      <c r="I68" s="15" t="n">
        <v>2199.42</v>
      </c>
      <c r="J68" s="15" t="n">
        <f aca="false">I68-H68</f>
        <v>-0.400000000000091</v>
      </c>
      <c r="K68" s="12" t="n">
        <v>25</v>
      </c>
      <c r="L68" s="12" t="n">
        <v>25</v>
      </c>
      <c r="M68" s="15" t="n">
        <f aca="false">(L68-K68)*F68</f>
        <v>0</v>
      </c>
      <c r="N68" s="12" t="n">
        <v>15</v>
      </c>
      <c r="O68" s="12" t="n">
        <v>15</v>
      </c>
      <c r="P68" s="15" t="n">
        <f aca="false">(N68-O68)*F68</f>
        <v>0</v>
      </c>
      <c r="Q68" s="21"/>
      <c r="R68" s="21"/>
      <c r="S68" s="15" t="n">
        <v>0</v>
      </c>
      <c r="T68" s="21"/>
      <c r="U68" s="21"/>
      <c r="V68" s="15" t="n">
        <v>0</v>
      </c>
      <c r="W68" s="15" t="n">
        <v>0</v>
      </c>
      <c r="X68" s="15" t="n">
        <f aca="false">-W68</f>
        <v>-0</v>
      </c>
      <c r="Y68" s="15" t="n">
        <f aca="false">J68-M68-P68-S68-V68-X68</f>
        <v>-0.400000000000091</v>
      </c>
      <c r="Z68" s="12" t="str">
        <f aca="false">IF(OR(ABS(M68)&gt;0.5,ABS(P68)&gt;0.5,ABS(S68)&gt;0.5,ABS(V68)&gt;0.5,ABS(X68)&gt;0.5),"是","")</f>
        <v/>
      </c>
    </row>
    <row r="69" customFormat="false" ht="15" hidden="false" customHeight="false" outlineLevel="0" collapsed="false">
      <c r="A69" s="12" t="s">
        <v>182</v>
      </c>
      <c r="B69" s="12" t="n">
        <v>2</v>
      </c>
      <c r="C69" s="12" t="s">
        <v>184</v>
      </c>
      <c r="D69" s="13" t="s">
        <v>183</v>
      </c>
      <c r="E69" s="12" t="s">
        <v>326</v>
      </c>
      <c r="F69" s="14" t="n">
        <v>30.06</v>
      </c>
      <c r="G69" s="15" t="n">
        <v>75450.6</v>
      </c>
      <c r="H69" s="15" t="n">
        <v>811.820000000001</v>
      </c>
      <c r="I69" s="15" t="n">
        <v>811.62</v>
      </c>
      <c r="J69" s="15" t="n">
        <f aca="false">I69-H69</f>
        <v>-0.200000000000955</v>
      </c>
      <c r="K69" s="12" t="n">
        <v>25</v>
      </c>
      <c r="L69" s="12" t="n">
        <v>25</v>
      </c>
      <c r="M69" s="15" t="n">
        <f aca="false">(L69-K69)*F69</f>
        <v>0</v>
      </c>
      <c r="N69" s="12" t="n">
        <v>15</v>
      </c>
      <c r="O69" s="12" t="n">
        <v>15</v>
      </c>
      <c r="P69" s="15" t="n">
        <f aca="false">(N69-O69)*F69</f>
        <v>0</v>
      </c>
      <c r="Q69" s="21"/>
      <c r="R69" s="21"/>
      <c r="S69" s="15" t="n">
        <v>0</v>
      </c>
      <c r="T69" s="21"/>
      <c r="U69" s="21"/>
      <c r="V69" s="15" t="n">
        <v>0</v>
      </c>
      <c r="W69" s="15" t="n">
        <v>0</v>
      </c>
      <c r="X69" s="15" t="n">
        <f aca="false">-W69</f>
        <v>-0</v>
      </c>
      <c r="Y69" s="15" t="n">
        <f aca="false">J69-M69-P69-S69-V69-X69</f>
        <v>-0.200000000000955</v>
      </c>
      <c r="Z69" s="12" t="str">
        <f aca="false">IF(OR(ABS(M69)&gt;0.5,ABS(P69)&gt;0.5,ABS(S69)&gt;0.5,ABS(V69)&gt;0.5,ABS(X69)&gt;0.5),"是","")</f>
        <v/>
      </c>
    </row>
    <row r="70" customFormat="false" ht="15" hidden="false" customHeight="false" outlineLevel="0" collapsed="false">
      <c r="A70" s="12" t="s">
        <v>182</v>
      </c>
      <c r="B70" s="12" t="n">
        <v>3</v>
      </c>
      <c r="C70" s="12" t="s">
        <v>186</v>
      </c>
      <c r="D70" s="13" t="s">
        <v>185</v>
      </c>
      <c r="E70" s="12" t="s">
        <v>326</v>
      </c>
      <c r="F70" s="14" t="n">
        <v>57.86</v>
      </c>
      <c r="G70" s="15" t="n">
        <v>147543</v>
      </c>
      <c r="H70" s="15" t="n">
        <v>1562.82</v>
      </c>
      <c r="I70" s="15" t="n">
        <v>1562.22</v>
      </c>
      <c r="J70" s="15" t="n">
        <f aca="false">I70-H70</f>
        <v>-0.599999999999909</v>
      </c>
      <c r="K70" s="12" t="n">
        <v>25</v>
      </c>
      <c r="L70" s="12" t="n">
        <v>25</v>
      </c>
      <c r="M70" s="15" t="n">
        <f aca="false">(L70-K70)*F70</f>
        <v>0</v>
      </c>
      <c r="N70" s="12" t="n">
        <v>15</v>
      </c>
      <c r="O70" s="12" t="n">
        <v>15</v>
      </c>
      <c r="P70" s="15" t="n">
        <f aca="false">(N70-O70)*F70</f>
        <v>0</v>
      </c>
      <c r="Q70" s="21"/>
      <c r="R70" s="21"/>
      <c r="S70" s="15" t="n">
        <v>0</v>
      </c>
      <c r="T70" s="21"/>
      <c r="U70" s="21"/>
      <c r="V70" s="15" t="n">
        <v>0</v>
      </c>
      <c r="W70" s="15" t="n">
        <v>0</v>
      </c>
      <c r="X70" s="15" t="n">
        <f aca="false">-W70</f>
        <v>-0</v>
      </c>
      <c r="Y70" s="15" t="n">
        <f aca="false">J70-M70-P70-S70-V70-X70</f>
        <v>-0.599999999999909</v>
      </c>
      <c r="Z70" s="12" t="str">
        <f aca="false">IF(OR(ABS(M70)&gt;0.5,ABS(P70)&gt;0.5,ABS(S70)&gt;0.5,ABS(V70)&gt;0.5,ABS(X70)&gt;0.5),"是","")</f>
        <v/>
      </c>
    </row>
    <row r="71" customFormat="false" ht="15" hidden="false" customHeight="false" outlineLevel="0" collapsed="false">
      <c r="A71" s="12" t="s">
        <v>182</v>
      </c>
      <c r="B71" s="12" t="n">
        <v>4</v>
      </c>
      <c r="C71" s="12" t="s">
        <v>103</v>
      </c>
      <c r="D71" s="13" t="s">
        <v>187</v>
      </c>
      <c r="E71" s="12" t="s">
        <v>326</v>
      </c>
      <c r="F71" s="14" t="n">
        <v>42.94</v>
      </c>
      <c r="G71" s="15" t="n">
        <v>109497</v>
      </c>
      <c r="H71" s="15" t="n">
        <v>1159.78</v>
      </c>
      <c r="I71" s="15" t="n">
        <v>1159.38</v>
      </c>
      <c r="J71" s="15" t="n">
        <f aca="false">I71-H71</f>
        <v>-0.399999999999864</v>
      </c>
      <c r="K71" s="12" t="n">
        <v>25</v>
      </c>
      <c r="L71" s="12" t="n">
        <v>25</v>
      </c>
      <c r="M71" s="15" t="n">
        <f aca="false">(L71-K71)*F71</f>
        <v>0</v>
      </c>
      <c r="N71" s="12" t="n">
        <v>15</v>
      </c>
      <c r="O71" s="12" t="n">
        <v>15</v>
      </c>
      <c r="P71" s="15" t="n">
        <f aca="false">(N71-O71)*F71</f>
        <v>0</v>
      </c>
      <c r="Q71" s="21"/>
      <c r="R71" s="21"/>
      <c r="S71" s="15" t="n">
        <v>0</v>
      </c>
      <c r="T71" s="21"/>
      <c r="U71" s="21"/>
      <c r="V71" s="15" t="n">
        <v>0</v>
      </c>
      <c r="W71" s="15" t="n">
        <v>0</v>
      </c>
      <c r="X71" s="15" t="n">
        <f aca="false">-W71</f>
        <v>-0</v>
      </c>
      <c r="Y71" s="15" t="n">
        <f aca="false">J71-M71-P71-S71-V71-X71</f>
        <v>-0.399999999999864</v>
      </c>
      <c r="Z71" s="12" t="str">
        <f aca="false">IF(OR(ABS(M71)&gt;0.5,ABS(P71)&gt;0.5,ABS(S71)&gt;0.5,ABS(V71)&gt;0.5,ABS(X71)&gt;0.5),"是","")</f>
        <v/>
      </c>
    </row>
    <row r="72" customFormat="false" ht="15" hidden="false" customHeight="false" outlineLevel="0" collapsed="false">
      <c r="A72" s="12" t="s">
        <v>182</v>
      </c>
      <c r="B72" s="12" t="n">
        <v>5</v>
      </c>
      <c r="C72" s="12" t="s">
        <v>55</v>
      </c>
      <c r="D72" s="13" t="s">
        <v>188</v>
      </c>
      <c r="E72" s="12" t="s">
        <v>326</v>
      </c>
      <c r="F72" s="14" t="n">
        <v>75.44</v>
      </c>
      <c r="G72" s="15" t="n">
        <v>196898.4</v>
      </c>
      <c r="H72" s="15" t="n">
        <v>2037.68</v>
      </c>
      <c r="I72" s="15" t="n">
        <v>2036.88</v>
      </c>
      <c r="J72" s="15" t="n">
        <f aca="false">I72-H72</f>
        <v>-0.799999999999045</v>
      </c>
      <c r="K72" s="12" t="n">
        <v>25</v>
      </c>
      <c r="L72" s="12" t="n">
        <v>25</v>
      </c>
      <c r="M72" s="15" t="n">
        <f aca="false">(L72-K72)*F72</f>
        <v>0</v>
      </c>
      <c r="N72" s="12" t="n">
        <v>15</v>
      </c>
      <c r="O72" s="12" t="n">
        <v>15</v>
      </c>
      <c r="P72" s="15" t="n">
        <f aca="false">(N72-O72)*F72</f>
        <v>0</v>
      </c>
      <c r="Q72" s="21"/>
      <c r="R72" s="21"/>
      <c r="S72" s="15" t="n">
        <v>0</v>
      </c>
      <c r="T72" s="21"/>
      <c r="U72" s="21"/>
      <c r="V72" s="15" t="n">
        <v>0</v>
      </c>
      <c r="W72" s="15" t="n">
        <v>0</v>
      </c>
      <c r="X72" s="15" t="n">
        <f aca="false">-W72</f>
        <v>-0</v>
      </c>
      <c r="Y72" s="15" t="n">
        <f aca="false">J72-M72-P72-S72-V72-X72</f>
        <v>-0.799999999999045</v>
      </c>
      <c r="Z72" s="12" t="str">
        <f aca="false">IF(OR(ABS(M72)&gt;0.5,ABS(P72)&gt;0.5,ABS(S72)&gt;0.5,ABS(V72)&gt;0.5,ABS(X72)&gt;0.5),"是","")</f>
        <v/>
      </c>
    </row>
    <row r="73" customFormat="false" ht="15" hidden="false" customHeight="false" outlineLevel="0" collapsed="false">
      <c r="A73" s="12" t="s">
        <v>189</v>
      </c>
      <c r="B73" s="12" t="n">
        <v>2</v>
      </c>
      <c r="C73" s="12" t="s">
        <v>191</v>
      </c>
      <c r="D73" s="13" t="s">
        <v>190</v>
      </c>
      <c r="E73" s="12" t="s">
        <v>323</v>
      </c>
      <c r="F73" s="14" t="n">
        <v>32.42</v>
      </c>
      <c r="G73" s="15" t="n">
        <v>77808</v>
      </c>
      <c r="H73" s="15" t="n">
        <v>555.424099999989</v>
      </c>
      <c r="I73" s="15" t="n">
        <v>554.544099999985</v>
      </c>
      <c r="J73" s="15" t="n">
        <f aca="false">I73-H73</f>
        <v>-0.880000000004429</v>
      </c>
      <c r="K73" s="12" t="n">
        <v>25</v>
      </c>
      <c r="L73" s="12" t="n">
        <v>25</v>
      </c>
      <c r="M73" s="15" t="n">
        <f aca="false">(L73-K73)*F73</f>
        <v>0</v>
      </c>
      <c r="N73" s="12" t="n">
        <v>0</v>
      </c>
      <c r="O73" s="12" t="n">
        <v>0</v>
      </c>
      <c r="P73" s="15" t="n">
        <f aca="false">(N73-O73)*F73</f>
        <v>0</v>
      </c>
      <c r="Q73" s="21" t="n">
        <v>0.865</v>
      </c>
      <c r="R73" s="21" t="n">
        <v>0.865</v>
      </c>
      <c r="S73" s="15" t="n">
        <f aca="false">(R73-Q73)*(G73-23*F73)</f>
        <v>0</v>
      </c>
      <c r="T73" s="21" t="n">
        <v>0.86</v>
      </c>
      <c r="U73" s="21" t="n">
        <v>0.86</v>
      </c>
      <c r="V73" s="15" t="n">
        <f aca="false">(T73-U73)*G73</f>
        <v>0</v>
      </c>
      <c r="W73" s="15" t="n">
        <v>0</v>
      </c>
      <c r="X73" s="15" t="n">
        <f aca="false">-W73</f>
        <v>-0</v>
      </c>
      <c r="Y73" s="15" t="n">
        <f aca="false">J73-M73-P73-S73-V73-X73</f>
        <v>-0.880000000004429</v>
      </c>
      <c r="Z73" s="12" t="str">
        <f aca="false">IF(OR(ABS(M73)&gt;0.5,ABS(P73)&gt;0.5,ABS(S73)&gt;0.5,ABS(V73)&gt;0.5,ABS(X73)&gt;0.5),"是","")</f>
        <v/>
      </c>
    </row>
    <row r="74" customFormat="false" ht="15" hidden="false" customHeight="false" outlineLevel="0" collapsed="false">
      <c r="A74" s="12" t="s">
        <v>189</v>
      </c>
      <c r="B74" s="12" t="n">
        <v>3</v>
      </c>
      <c r="C74" s="12" t="s">
        <v>194</v>
      </c>
      <c r="D74" s="13" t="s">
        <v>193</v>
      </c>
      <c r="E74" s="12" t="s">
        <v>323</v>
      </c>
      <c r="F74" s="14" t="n">
        <v>35.72</v>
      </c>
      <c r="G74" s="15" t="n">
        <v>86442.4</v>
      </c>
      <c r="H74" s="15" t="n">
        <v>615.026599999997</v>
      </c>
      <c r="I74" s="15" t="n">
        <v>614.562600000005</v>
      </c>
      <c r="J74" s="15" t="n">
        <f aca="false">I74-H74</f>
        <v>-0.463999999992211</v>
      </c>
      <c r="K74" s="12" t="n">
        <v>25</v>
      </c>
      <c r="L74" s="12" t="n">
        <v>25</v>
      </c>
      <c r="M74" s="15" t="n">
        <f aca="false">(L74-K74)*F74</f>
        <v>0</v>
      </c>
      <c r="N74" s="12" t="n">
        <v>0</v>
      </c>
      <c r="O74" s="12" t="n">
        <v>0</v>
      </c>
      <c r="P74" s="15" t="n">
        <f aca="false">(N74-O74)*F74</f>
        <v>0</v>
      </c>
      <c r="Q74" s="21" t="n">
        <v>0.865</v>
      </c>
      <c r="R74" s="21" t="n">
        <v>0.865</v>
      </c>
      <c r="S74" s="15" t="n">
        <f aca="false">(R74-Q74)*(G74-23*F74)</f>
        <v>0</v>
      </c>
      <c r="T74" s="21" t="n">
        <v>0.86</v>
      </c>
      <c r="U74" s="21" t="n">
        <v>0.86</v>
      </c>
      <c r="V74" s="15" t="n">
        <f aca="false">(T74-U74)*G74</f>
        <v>0</v>
      </c>
      <c r="W74" s="15" t="n">
        <v>0</v>
      </c>
      <c r="X74" s="15" t="n">
        <f aca="false">-W74</f>
        <v>-0</v>
      </c>
      <c r="Y74" s="15" t="n">
        <f aca="false">J74-M74-P74-S74-V74-X74</f>
        <v>-0.463999999992211</v>
      </c>
      <c r="Z74" s="12" t="str">
        <f aca="false">IF(OR(ABS(M74)&gt;0.5,ABS(P74)&gt;0.5,ABS(S74)&gt;0.5,ABS(V74)&gt;0.5,ABS(X74)&gt;0.5),"是","")</f>
        <v/>
      </c>
    </row>
    <row r="75" customFormat="false" ht="15" hidden="false" customHeight="false" outlineLevel="0" collapsed="false">
      <c r="A75" s="12" t="s">
        <v>189</v>
      </c>
      <c r="B75" s="12" t="n">
        <v>4</v>
      </c>
      <c r="C75" s="12" t="s">
        <v>197</v>
      </c>
      <c r="D75" s="13" t="s">
        <v>196</v>
      </c>
      <c r="E75" s="12" t="s">
        <v>323</v>
      </c>
      <c r="F75" s="14" t="n">
        <v>38.07</v>
      </c>
      <c r="G75" s="15" t="n">
        <v>91748.7</v>
      </c>
      <c r="H75" s="15" t="n">
        <v>652.972849999991</v>
      </c>
      <c r="I75" s="15" t="n">
        <v>653.090849999993</v>
      </c>
      <c r="J75" s="15" t="n">
        <f aca="false">I75-H75</f>
        <v>0.118000000002212</v>
      </c>
      <c r="K75" s="12" t="n">
        <v>25</v>
      </c>
      <c r="L75" s="12" t="n">
        <v>25</v>
      </c>
      <c r="M75" s="15" t="n">
        <f aca="false">(L75-K75)*F75</f>
        <v>0</v>
      </c>
      <c r="N75" s="12" t="n">
        <v>0</v>
      </c>
      <c r="O75" s="12" t="n">
        <v>0</v>
      </c>
      <c r="P75" s="15" t="n">
        <f aca="false">(N75-O75)*F75</f>
        <v>0</v>
      </c>
      <c r="Q75" s="21" t="n">
        <v>0.865</v>
      </c>
      <c r="R75" s="21" t="n">
        <v>0.865</v>
      </c>
      <c r="S75" s="15" t="n">
        <f aca="false">(R75-Q75)*(G75-23*F75)</f>
        <v>0</v>
      </c>
      <c r="T75" s="21" t="n">
        <v>0.86</v>
      </c>
      <c r="U75" s="21" t="n">
        <v>0.86</v>
      </c>
      <c r="V75" s="15" t="n">
        <f aca="false">(T75-U75)*G75</f>
        <v>0</v>
      </c>
      <c r="W75" s="15" t="n">
        <v>0</v>
      </c>
      <c r="X75" s="15" t="n">
        <f aca="false">-W75</f>
        <v>-0</v>
      </c>
      <c r="Y75" s="15" t="n">
        <f aca="false">J75-M75-P75-S75-V75-X75</f>
        <v>0.118000000002212</v>
      </c>
      <c r="Z75" s="12" t="str">
        <f aca="false">IF(OR(ABS(M75)&gt;0.5,ABS(P75)&gt;0.5,ABS(S75)&gt;0.5,ABS(V75)&gt;0.5,ABS(X75)&gt;0.5),"是","")</f>
        <v/>
      </c>
    </row>
    <row r="76" customFormat="false" ht="15" hidden="false" customHeight="false" outlineLevel="0" collapsed="false">
      <c r="A76" s="12" t="s">
        <v>189</v>
      </c>
      <c r="B76" s="12" t="n">
        <v>5</v>
      </c>
      <c r="C76" s="12" t="s">
        <v>199</v>
      </c>
      <c r="D76" s="13" t="s">
        <v>198</v>
      </c>
      <c r="E76" s="12" t="s">
        <v>323</v>
      </c>
      <c r="F76" s="14" t="n">
        <v>35.28</v>
      </c>
      <c r="G76" s="15" t="n">
        <v>68714.8</v>
      </c>
      <c r="H76" s="15" t="n">
        <v>524.4064</v>
      </c>
      <c r="I76" s="15" t="n">
        <v>523.678399999997</v>
      </c>
      <c r="J76" s="15" t="n">
        <f aca="false">I76-H76</f>
        <v>-0.728000000002908</v>
      </c>
      <c r="K76" s="12" t="n">
        <v>25</v>
      </c>
      <c r="L76" s="12" t="n">
        <v>25</v>
      </c>
      <c r="M76" s="15" t="n">
        <f aca="false">(L76-K76)*F76</f>
        <v>0</v>
      </c>
      <c r="N76" s="12" t="n">
        <v>0</v>
      </c>
      <c r="O76" s="12" t="n">
        <v>0</v>
      </c>
      <c r="P76" s="15" t="n">
        <f aca="false">(N76-O76)*F76</f>
        <v>0</v>
      </c>
      <c r="Q76" s="21" t="n">
        <v>0.865</v>
      </c>
      <c r="R76" s="21" t="n">
        <v>0.865</v>
      </c>
      <c r="S76" s="15" t="n">
        <f aca="false">(R76-Q76)*(G76-23*F76)</f>
        <v>0</v>
      </c>
      <c r="T76" s="21" t="n">
        <v>0.86</v>
      </c>
      <c r="U76" s="21" t="n">
        <v>0.86</v>
      </c>
      <c r="V76" s="15" t="n">
        <f aca="false">(T76-U76)*G76</f>
        <v>0</v>
      </c>
      <c r="W76" s="15" t="n">
        <v>0</v>
      </c>
      <c r="X76" s="15" t="n">
        <f aca="false">-W76</f>
        <v>-0</v>
      </c>
      <c r="Y76" s="15" t="n">
        <f aca="false">J76-M76-P76-S76-V76-X76</f>
        <v>-0.728000000002908</v>
      </c>
      <c r="Z76" s="12" t="str">
        <f aca="false">IF(OR(ABS(M76)&gt;0.5,ABS(P76)&gt;0.5,ABS(S76)&gt;0.5,ABS(V76)&gt;0.5,ABS(X76)&gt;0.5),"是","")</f>
        <v/>
      </c>
    </row>
    <row r="77" customFormat="false" ht="15" hidden="false" customHeight="false" outlineLevel="0" collapsed="false">
      <c r="A77" s="12" t="s">
        <v>200</v>
      </c>
      <c r="B77" s="12" t="n">
        <v>2</v>
      </c>
      <c r="C77" s="12" t="s">
        <v>202</v>
      </c>
      <c r="D77" s="13" t="s">
        <v>201</v>
      </c>
      <c r="E77" s="12" t="s">
        <v>323</v>
      </c>
      <c r="F77" s="14" t="n">
        <v>39.16</v>
      </c>
      <c r="G77" s="15" t="n">
        <v>91242.8</v>
      </c>
      <c r="H77" s="15" t="n">
        <v>461.133799999996</v>
      </c>
      <c r="I77" s="15" t="n">
        <v>460.325800000009</v>
      </c>
      <c r="J77" s="15" t="n">
        <f aca="false">I77-H77</f>
        <v>-0.807999999987089</v>
      </c>
      <c r="K77" s="12" t="n">
        <v>20</v>
      </c>
      <c r="L77" s="12" t="n">
        <v>20</v>
      </c>
      <c r="M77" s="15" t="n">
        <f aca="false">(L77-K77)*F77</f>
        <v>0</v>
      </c>
      <c r="N77" s="12" t="n">
        <v>0</v>
      </c>
      <c r="O77" s="12" t="n">
        <v>0</v>
      </c>
      <c r="P77" s="15" t="n">
        <f aca="false">(N77-O77)*F77</f>
        <v>0</v>
      </c>
      <c r="Q77" s="21" t="n">
        <v>0.865</v>
      </c>
      <c r="R77" s="21" t="n">
        <v>0.865</v>
      </c>
      <c r="S77" s="15" t="n">
        <f aca="false">(R77-Q77)*(G77-23*F77)</f>
        <v>0</v>
      </c>
      <c r="T77" s="21" t="n">
        <v>0.86</v>
      </c>
      <c r="U77" s="21" t="n">
        <v>0.86</v>
      </c>
      <c r="V77" s="15" t="n">
        <f aca="false">(T77-U77)*G77</f>
        <v>0</v>
      </c>
      <c r="W77" s="15" t="n">
        <v>0</v>
      </c>
      <c r="X77" s="15" t="n">
        <f aca="false">-W77</f>
        <v>-0</v>
      </c>
      <c r="Y77" s="15" t="n">
        <f aca="false">J77-M77-P77-S77-V77-X77</f>
        <v>-0.807999999987089</v>
      </c>
      <c r="Z77" s="12" t="str">
        <f aca="false">IF(OR(ABS(M77)&gt;0.5,ABS(P77)&gt;0.5,ABS(S77)&gt;0.5,ABS(V77)&gt;0.5,ABS(X77)&gt;0.5),"是","")</f>
        <v/>
      </c>
    </row>
    <row r="78" customFormat="false" ht="15" hidden="false" customHeight="false" outlineLevel="0" collapsed="false">
      <c r="A78" s="12" t="s">
        <v>200</v>
      </c>
      <c r="B78" s="12" t="n">
        <v>3</v>
      </c>
      <c r="C78" s="12" t="s">
        <v>204</v>
      </c>
      <c r="D78" s="13" t="s">
        <v>203</v>
      </c>
      <c r="E78" s="12" t="s">
        <v>323</v>
      </c>
      <c r="F78" s="14" t="n">
        <v>38.78</v>
      </c>
      <c r="G78" s="15" t="n">
        <v>89969.6</v>
      </c>
      <c r="H78" s="15" t="n">
        <v>454.775900000008</v>
      </c>
      <c r="I78" s="15" t="n">
        <v>647.819900000002</v>
      </c>
      <c r="J78" s="15" t="n">
        <f aca="false">I78-H78</f>
        <v>193.043999999994</v>
      </c>
      <c r="K78" s="12" t="n">
        <v>20</v>
      </c>
      <c r="L78" s="12" t="n">
        <v>25</v>
      </c>
      <c r="M78" s="15" t="n">
        <f aca="false">(L78-K78)*F78</f>
        <v>193.9</v>
      </c>
      <c r="N78" s="12" t="n">
        <v>0</v>
      </c>
      <c r="O78" s="12" t="n">
        <v>0</v>
      </c>
      <c r="P78" s="15" t="n">
        <f aca="false">(N78-O78)*F78</f>
        <v>0</v>
      </c>
      <c r="Q78" s="21" t="n">
        <v>0.865</v>
      </c>
      <c r="R78" s="21" t="n">
        <v>0.865</v>
      </c>
      <c r="S78" s="15" t="n">
        <f aca="false">(R78-Q78)*(G78-23*F78)</f>
        <v>0</v>
      </c>
      <c r="T78" s="21" t="n">
        <v>0.86</v>
      </c>
      <c r="U78" s="21" t="n">
        <v>0.86</v>
      </c>
      <c r="V78" s="15" t="n">
        <f aca="false">(T78-U78)*G78</f>
        <v>0</v>
      </c>
      <c r="W78" s="15" t="n">
        <v>0</v>
      </c>
      <c r="X78" s="15" t="n">
        <f aca="false">-W78</f>
        <v>-0</v>
      </c>
      <c r="Y78" s="15" t="n">
        <f aca="false">J78-M78-P78-S78-V78-X78</f>
        <v>-0.856000000005764</v>
      </c>
      <c r="Z78" s="12" t="str">
        <f aca="false">IF(OR(ABS(M78)&gt;0.5,ABS(P78)&gt;0.5,ABS(S78)&gt;0.5,ABS(V78)&gt;0.5,ABS(X78)&gt;0.5),"是","")</f>
        <v>是</v>
      </c>
    </row>
    <row r="79" customFormat="false" ht="15" hidden="false" customHeight="false" outlineLevel="0" collapsed="false">
      <c r="A79" s="12" t="s">
        <v>200</v>
      </c>
      <c r="B79" s="12" t="n">
        <v>4</v>
      </c>
      <c r="C79" s="12" t="s">
        <v>206</v>
      </c>
      <c r="D79" s="13" t="s">
        <v>205</v>
      </c>
      <c r="E79" s="12" t="s">
        <v>323</v>
      </c>
      <c r="F79" s="14" t="n">
        <v>39.96</v>
      </c>
      <c r="G79" s="15" t="n">
        <v>93186.72</v>
      </c>
      <c r="H79" s="15" t="n">
        <v>470.708599999998</v>
      </c>
      <c r="I79" s="15" t="n">
        <v>669.929400000008</v>
      </c>
      <c r="J79" s="15" t="n">
        <f aca="false">I79-H79</f>
        <v>199.22080000001</v>
      </c>
      <c r="K79" s="12" t="n">
        <v>20</v>
      </c>
      <c r="L79" s="12" t="n">
        <v>25</v>
      </c>
      <c r="M79" s="15" t="n">
        <f aca="false">(L79-K79)*F79</f>
        <v>199.8</v>
      </c>
      <c r="N79" s="12" t="n">
        <v>0</v>
      </c>
      <c r="O79" s="12" t="n">
        <v>0</v>
      </c>
      <c r="P79" s="15" t="n">
        <f aca="false">(N79-O79)*F79</f>
        <v>0</v>
      </c>
      <c r="Q79" s="21" t="n">
        <v>0.865</v>
      </c>
      <c r="R79" s="21" t="n">
        <v>0.865</v>
      </c>
      <c r="S79" s="15" t="n">
        <f aca="false">(R79-Q79)*(G79-23*F79)</f>
        <v>0</v>
      </c>
      <c r="T79" s="21" t="n">
        <v>0.86</v>
      </c>
      <c r="U79" s="21" t="n">
        <v>0.86</v>
      </c>
      <c r="V79" s="15" t="n">
        <f aca="false">(T79-U79)*G79</f>
        <v>0</v>
      </c>
      <c r="W79" s="15" t="n">
        <v>0</v>
      </c>
      <c r="X79" s="15" t="n">
        <f aca="false">-W79</f>
        <v>-0</v>
      </c>
      <c r="Y79" s="15" t="n">
        <f aca="false">J79-M79-P79-S79-V79-X79</f>
        <v>-0.579199999989839</v>
      </c>
      <c r="Z79" s="12" t="str">
        <f aca="false">IF(OR(ABS(M79)&gt;0.5,ABS(P79)&gt;0.5,ABS(S79)&gt;0.5,ABS(V79)&gt;0.5,ABS(X79)&gt;0.5),"是","")</f>
        <v>是</v>
      </c>
    </row>
    <row r="80" customFormat="false" ht="15" hidden="false" customHeight="false" outlineLevel="0" collapsed="false">
      <c r="A80" s="12" t="s">
        <v>200</v>
      </c>
      <c r="B80" s="12" t="n">
        <v>5</v>
      </c>
      <c r="C80" s="12" t="s">
        <v>208</v>
      </c>
      <c r="D80" s="13" t="s">
        <v>207</v>
      </c>
      <c r="E80" s="12" t="s">
        <v>323</v>
      </c>
      <c r="F80" s="14" t="n">
        <v>39.17</v>
      </c>
      <c r="G80" s="15" t="n">
        <v>94008</v>
      </c>
      <c r="H80" s="15" t="n">
        <v>670.882849999995</v>
      </c>
      <c r="I80" s="15" t="n">
        <v>670.00284999999</v>
      </c>
      <c r="J80" s="15" t="n">
        <f aca="false">I80-H80</f>
        <v>-0.880000000005111</v>
      </c>
      <c r="K80" s="12" t="n">
        <v>25</v>
      </c>
      <c r="L80" s="12" t="n">
        <v>25</v>
      </c>
      <c r="M80" s="15" t="n">
        <f aca="false">(L80-K80)*F80</f>
        <v>0</v>
      </c>
      <c r="N80" s="12" t="n">
        <v>0</v>
      </c>
      <c r="O80" s="12" t="n">
        <v>0</v>
      </c>
      <c r="P80" s="15" t="n">
        <f aca="false">(N80-O80)*F80</f>
        <v>0</v>
      </c>
      <c r="Q80" s="21" t="n">
        <v>0.865</v>
      </c>
      <c r="R80" s="21" t="n">
        <v>0.865</v>
      </c>
      <c r="S80" s="15" t="n">
        <f aca="false">(R80-Q80)*(G80-23*F80)</f>
        <v>0</v>
      </c>
      <c r="T80" s="21" t="n">
        <v>0.86</v>
      </c>
      <c r="U80" s="21" t="n">
        <v>0.86</v>
      </c>
      <c r="V80" s="15" t="n">
        <f aca="false">(T80-U80)*G80</f>
        <v>0</v>
      </c>
      <c r="W80" s="15" t="n">
        <v>0</v>
      </c>
      <c r="X80" s="15" t="n">
        <f aca="false">-W80</f>
        <v>-0</v>
      </c>
      <c r="Y80" s="15" t="n">
        <f aca="false">J80-M80-P80-S80-V80-X80</f>
        <v>-0.880000000005111</v>
      </c>
      <c r="Z80" s="12" t="str">
        <f aca="false">IF(OR(ABS(M80)&gt;0.5,ABS(P80)&gt;0.5,ABS(S80)&gt;0.5,ABS(V80)&gt;0.5,ABS(X80)&gt;0.5),"是","")</f>
        <v/>
      </c>
    </row>
    <row r="81" customFormat="false" ht="15" hidden="false" customHeight="false" outlineLevel="0" collapsed="false">
      <c r="A81" s="12" t="s">
        <v>200</v>
      </c>
      <c r="B81" s="12" t="n">
        <v>6</v>
      </c>
      <c r="C81" s="12" t="s">
        <v>210</v>
      </c>
      <c r="D81" s="13" t="s">
        <v>209</v>
      </c>
      <c r="E81" s="12" t="s">
        <v>323</v>
      </c>
      <c r="F81" s="14" t="n">
        <v>34.42</v>
      </c>
      <c r="G81" s="15" t="n">
        <v>82263.8</v>
      </c>
      <c r="H81" s="15" t="n">
        <v>587.901100000003</v>
      </c>
      <c r="I81" s="15" t="n">
        <v>831.449519999995</v>
      </c>
      <c r="J81" s="15" t="n">
        <f aca="false">I81-H81</f>
        <v>243.548419999992</v>
      </c>
      <c r="K81" s="12" t="n">
        <v>25</v>
      </c>
      <c r="L81" s="12" t="n">
        <v>25</v>
      </c>
      <c r="M81" s="15" t="n">
        <f aca="false">(L81-K81)*F81</f>
        <v>0</v>
      </c>
      <c r="N81" s="12" t="n">
        <v>0</v>
      </c>
      <c r="O81" s="12" t="n">
        <v>0</v>
      </c>
      <c r="P81" s="15" t="n">
        <f aca="false">(N81-O81)*F81</f>
        <v>0</v>
      </c>
      <c r="Q81" s="21" t="n">
        <v>0.865</v>
      </c>
      <c r="R81" s="21" t="n">
        <v>0.868</v>
      </c>
      <c r="S81" s="15" t="n">
        <f aca="false">(R81-Q81)*(G81-23*F81)</f>
        <v>244.41642</v>
      </c>
      <c r="T81" s="21" t="n">
        <v>0.86</v>
      </c>
      <c r="U81" s="21" t="n">
        <v>0.86</v>
      </c>
      <c r="V81" s="15" t="n">
        <f aca="false">(T81-U81)*G81</f>
        <v>0</v>
      </c>
      <c r="W81" s="15" t="n">
        <v>0</v>
      </c>
      <c r="X81" s="15" t="n">
        <f aca="false">-W81</f>
        <v>-0</v>
      </c>
      <c r="Y81" s="15" t="n">
        <f aca="false">J81-M81-P81-S81-V81-X81</f>
        <v>-0.86800000000855</v>
      </c>
      <c r="Z81" s="12" t="str">
        <f aca="false">IF(OR(ABS(M81)&gt;0.5,ABS(P81)&gt;0.5,ABS(S81)&gt;0.5,ABS(V81)&gt;0.5,ABS(X81)&gt;0.5),"是","")</f>
        <v>是</v>
      </c>
    </row>
    <row r="82" customFormat="false" ht="15" hidden="false" customHeight="false" outlineLevel="0" collapsed="false">
      <c r="A82" s="12" t="s">
        <v>200</v>
      </c>
      <c r="B82" s="12" t="n">
        <v>7</v>
      </c>
      <c r="C82" s="12" t="s">
        <v>213</v>
      </c>
      <c r="D82" s="13" t="s">
        <v>212</v>
      </c>
      <c r="E82" s="12" t="s">
        <v>323</v>
      </c>
      <c r="F82" s="14" t="n">
        <v>41.42</v>
      </c>
      <c r="G82" s="15" t="n">
        <v>96094.4</v>
      </c>
      <c r="H82" s="15" t="n">
        <v>692.105100000001</v>
      </c>
      <c r="I82" s="15" t="n">
        <v>977.346319999997</v>
      </c>
      <c r="J82" s="15" t="n">
        <f aca="false">I82-H82</f>
        <v>285.241219999996</v>
      </c>
      <c r="K82" s="12" t="n">
        <v>25</v>
      </c>
      <c r="L82" s="12" t="n">
        <v>25</v>
      </c>
      <c r="M82" s="15" t="n">
        <f aca="false">(L82-K82)*F82</f>
        <v>0</v>
      </c>
      <c r="N82" s="12" t="n">
        <v>0</v>
      </c>
      <c r="O82" s="12" t="n">
        <v>0</v>
      </c>
      <c r="P82" s="15" t="n">
        <f aca="false">(N82-O82)*F82</f>
        <v>0</v>
      </c>
      <c r="Q82" s="21" t="n">
        <v>0.865</v>
      </c>
      <c r="R82" s="21" t="n">
        <v>0.868</v>
      </c>
      <c r="S82" s="15" t="n">
        <f aca="false">(R82-Q82)*(G82-23*F82)</f>
        <v>285.42522</v>
      </c>
      <c r="T82" s="21" t="n">
        <v>0.86</v>
      </c>
      <c r="U82" s="21" t="n">
        <v>0.86</v>
      </c>
      <c r="V82" s="15" t="n">
        <f aca="false">(T82-U82)*G82</f>
        <v>0</v>
      </c>
      <c r="W82" s="15" t="n">
        <v>0</v>
      </c>
      <c r="X82" s="15" t="n">
        <f aca="false">-W82</f>
        <v>-0</v>
      </c>
      <c r="Y82" s="15" t="n">
        <f aca="false">J82-M82-P82-S82-V82-X82</f>
        <v>-0.184000000004346</v>
      </c>
      <c r="Z82" s="12" t="str">
        <f aca="false">IF(OR(ABS(M82)&gt;0.5,ABS(P82)&gt;0.5,ABS(S82)&gt;0.5,ABS(V82)&gt;0.5,ABS(X82)&gt;0.5),"是","")</f>
        <v>是</v>
      </c>
    </row>
    <row r="83" customFormat="false" ht="15" hidden="false" customHeight="false" outlineLevel="0" collapsed="false">
      <c r="A83" s="12" t="s">
        <v>214</v>
      </c>
      <c r="B83" s="12" t="n">
        <v>2</v>
      </c>
      <c r="C83" s="12" t="s">
        <v>216</v>
      </c>
      <c r="D83" s="13" t="s">
        <v>215</v>
      </c>
      <c r="E83" s="12" t="s">
        <v>323</v>
      </c>
      <c r="F83" s="14" t="n">
        <v>34.49</v>
      </c>
      <c r="G83" s="15" t="n">
        <v>80430.68</v>
      </c>
      <c r="H83" s="15" t="n">
        <v>578.609649999984</v>
      </c>
      <c r="I83" s="15" t="n">
        <v>578.224849999984</v>
      </c>
      <c r="J83" s="15" t="n">
        <f aca="false">I83-H83</f>
        <v>-0.384799999999814</v>
      </c>
      <c r="K83" s="12" t="n">
        <v>25</v>
      </c>
      <c r="L83" s="12" t="n">
        <v>25</v>
      </c>
      <c r="M83" s="15" t="n">
        <f aca="false">(L83-K83)*F83</f>
        <v>0</v>
      </c>
      <c r="N83" s="12" t="n">
        <v>0</v>
      </c>
      <c r="O83" s="12" t="n">
        <v>0</v>
      </c>
      <c r="P83" s="15" t="n">
        <f aca="false">(N83-O83)*F83</f>
        <v>0</v>
      </c>
      <c r="Q83" s="21" t="n">
        <v>0.865</v>
      </c>
      <c r="R83" s="21" t="n">
        <v>0.865</v>
      </c>
      <c r="S83" s="15" t="n">
        <f aca="false">(R83-Q83)*(G83-23*F83)</f>
        <v>0</v>
      </c>
      <c r="T83" s="21" t="n">
        <v>0.86</v>
      </c>
      <c r="U83" s="21" t="n">
        <v>0.86</v>
      </c>
      <c r="V83" s="15" t="n">
        <f aca="false">(T83-U83)*G83</f>
        <v>0</v>
      </c>
      <c r="W83" s="15" t="n">
        <v>0</v>
      </c>
      <c r="X83" s="15" t="n">
        <f aca="false">-W83</f>
        <v>-0</v>
      </c>
      <c r="Y83" s="15" t="n">
        <f aca="false">J83-M83-P83-S83-V83-X83</f>
        <v>-0.384799999999814</v>
      </c>
      <c r="Z83" s="12" t="str">
        <f aca="false">IF(OR(ABS(M83)&gt;0.5,ABS(P83)&gt;0.5,ABS(S83)&gt;0.5,ABS(V83)&gt;0.5,ABS(X83)&gt;0.5),"是","")</f>
        <v/>
      </c>
    </row>
    <row r="84" customFormat="false" ht="15" hidden="false" customHeight="false" outlineLevel="0" collapsed="false">
      <c r="A84" s="12" t="s">
        <v>214</v>
      </c>
      <c r="B84" s="12" t="n">
        <v>4</v>
      </c>
      <c r="C84" s="12" t="s">
        <v>220</v>
      </c>
      <c r="D84" s="13" t="s">
        <v>219</v>
      </c>
      <c r="E84" s="12" t="s">
        <v>323</v>
      </c>
      <c r="F84" s="14" t="n">
        <v>33.02</v>
      </c>
      <c r="G84" s="15" t="n">
        <v>76606.4</v>
      </c>
      <c r="H84" s="15" t="n">
        <v>552.103100000008</v>
      </c>
      <c r="I84" s="15" t="n">
        <v>779.139919999987</v>
      </c>
      <c r="J84" s="15" t="n">
        <f aca="false">I84-H84</f>
        <v>227.036819999979</v>
      </c>
      <c r="K84" s="12" t="n">
        <v>25</v>
      </c>
      <c r="L84" s="12" t="n">
        <v>25</v>
      </c>
      <c r="M84" s="15" t="n">
        <f aca="false">(L84-K84)*F84</f>
        <v>0</v>
      </c>
      <c r="N84" s="12" t="n">
        <v>0</v>
      </c>
      <c r="O84" s="12" t="n">
        <v>0</v>
      </c>
      <c r="P84" s="15" t="n">
        <f aca="false">(N84-O84)*F84</f>
        <v>0</v>
      </c>
      <c r="Q84" s="21" t="n">
        <v>0.865</v>
      </c>
      <c r="R84" s="21" t="n">
        <v>0.868</v>
      </c>
      <c r="S84" s="15" t="n">
        <f aca="false">(R84-Q84)*(G84-23*F84)</f>
        <v>227.54082</v>
      </c>
      <c r="T84" s="21" t="n">
        <v>0.86</v>
      </c>
      <c r="U84" s="21" t="n">
        <v>0.86</v>
      </c>
      <c r="V84" s="15" t="n">
        <f aca="false">(T84-U84)*G84</f>
        <v>0</v>
      </c>
      <c r="W84" s="15" t="n">
        <v>0</v>
      </c>
      <c r="X84" s="15" t="n">
        <f aca="false">-W84</f>
        <v>-0</v>
      </c>
      <c r="Y84" s="15" t="n">
        <f aca="false">J84-M84-P84-S84-V84-X84</f>
        <v>-0.504000000021165</v>
      </c>
      <c r="Z84" s="12" t="str">
        <f aca="false">IF(OR(ABS(M84)&gt;0.5,ABS(P84)&gt;0.5,ABS(S84)&gt;0.5,ABS(V84)&gt;0.5,ABS(X84)&gt;0.5),"是","")</f>
        <v>是</v>
      </c>
    </row>
    <row r="85" customFormat="false" ht="15" hidden="false" customHeight="false" outlineLevel="0" collapsed="false">
      <c r="A85" s="12" t="s">
        <v>221</v>
      </c>
      <c r="B85" s="12" t="n">
        <v>2</v>
      </c>
      <c r="C85" s="12" t="s">
        <v>224</v>
      </c>
      <c r="D85" s="13" t="s">
        <v>223</v>
      </c>
      <c r="E85" s="12" t="s">
        <v>323</v>
      </c>
      <c r="F85" s="14" t="n">
        <v>56.14</v>
      </c>
      <c r="G85" s="15" t="n">
        <v>132939.52</v>
      </c>
      <c r="H85" s="15" t="n">
        <v>952.27949999999</v>
      </c>
      <c r="I85" s="15" t="n">
        <v>951.292300000001</v>
      </c>
      <c r="J85" s="15" t="n">
        <f aca="false">I85-H85</f>
        <v>-0.987199999989002</v>
      </c>
      <c r="K85" s="12" t="n">
        <v>25</v>
      </c>
      <c r="L85" s="12" t="n">
        <v>25</v>
      </c>
      <c r="M85" s="15" t="n">
        <f aca="false">(L85-K85)*F85</f>
        <v>0</v>
      </c>
      <c r="N85" s="12" t="n">
        <v>0</v>
      </c>
      <c r="O85" s="12" t="n">
        <v>0</v>
      </c>
      <c r="P85" s="15" t="n">
        <f aca="false">(N85-O85)*F85</f>
        <v>0</v>
      </c>
      <c r="Q85" s="21" t="n">
        <v>0.865</v>
      </c>
      <c r="R85" s="21" t="n">
        <v>0.865</v>
      </c>
      <c r="S85" s="15" t="n">
        <f aca="false">(R85-Q85)*(G85-23*F85)</f>
        <v>0</v>
      </c>
      <c r="T85" s="21" t="n">
        <v>0.86</v>
      </c>
      <c r="U85" s="21" t="n">
        <v>0.86</v>
      </c>
      <c r="V85" s="15" t="n">
        <f aca="false">(T85-U85)*G85</f>
        <v>0</v>
      </c>
      <c r="W85" s="15" t="n">
        <v>0</v>
      </c>
      <c r="X85" s="15" t="n">
        <f aca="false">-W85</f>
        <v>-0</v>
      </c>
      <c r="Y85" s="15" t="n">
        <f aca="false">J85-M85-P85-S85-V85-X85</f>
        <v>-0.987199999989002</v>
      </c>
      <c r="Z85" s="12" t="str">
        <f aca="false">IF(OR(ABS(M85)&gt;0.5,ABS(P85)&gt;0.5,ABS(S85)&gt;0.5,ABS(V85)&gt;0.5,ABS(X85)&gt;0.5),"是","")</f>
        <v/>
      </c>
    </row>
    <row r="86" customFormat="false" ht="15" hidden="false" customHeight="false" outlineLevel="0" collapsed="false">
      <c r="A86" s="12" t="s">
        <v>221</v>
      </c>
      <c r="B86" s="12" t="n">
        <v>4</v>
      </c>
      <c r="C86" s="12" t="s">
        <v>226</v>
      </c>
      <c r="D86" s="13" t="s">
        <v>227</v>
      </c>
      <c r="E86" s="12" t="s">
        <v>314</v>
      </c>
      <c r="F86" s="14" t="n">
        <v>79.58</v>
      </c>
      <c r="G86" s="15" t="n">
        <v>199745.8</v>
      </c>
      <c r="H86" s="15" t="n">
        <v>2389.37959999999</v>
      </c>
      <c r="I86" s="15" t="n">
        <v>2388.99160000001</v>
      </c>
      <c r="J86" s="15" t="n">
        <f aca="false">I86-H86</f>
        <v>-0.387999999982185</v>
      </c>
      <c r="K86" s="12" t="n">
        <v>25</v>
      </c>
      <c r="L86" s="12" t="n">
        <v>25</v>
      </c>
      <c r="M86" s="15" t="n">
        <f aca="false">(L86-K86)*F86</f>
        <v>0</v>
      </c>
      <c r="N86" s="12" t="n">
        <v>0</v>
      </c>
      <c r="O86" s="12" t="n">
        <v>0</v>
      </c>
      <c r="P86" s="15" t="n">
        <f aca="false">(N86-O86)*F86</f>
        <v>0</v>
      </c>
      <c r="Q86" s="21" t="n">
        <v>0.862</v>
      </c>
      <c r="R86" s="21" t="n">
        <v>0.862</v>
      </c>
      <c r="S86" s="15" t="n">
        <f aca="false">(R86-Q86)*G86</f>
        <v>0</v>
      </c>
      <c r="T86" s="21" t="n">
        <v>0.86</v>
      </c>
      <c r="U86" s="21" t="n">
        <v>0.86</v>
      </c>
      <c r="V86" s="15" t="n">
        <f aca="false">(T86-U86)*G86</f>
        <v>0</v>
      </c>
      <c r="W86" s="15" t="n">
        <v>0</v>
      </c>
      <c r="X86" s="15" t="n">
        <f aca="false">-W86</f>
        <v>-0</v>
      </c>
      <c r="Y86" s="15" t="n">
        <f aca="false">J86-M86-P86-S86-V86-X86</f>
        <v>-0.387999999982185</v>
      </c>
      <c r="Z86" s="12" t="str">
        <f aca="false">IF(OR(ABS(M86)&gt;0.5,ABS(P86)&gt;0.5,ABS(S86)&gt;0.5,ABS(V86)&gt;0.5,ABS(X86)&gt;0.5),"是","")</f>
        <v/>
      </c>
    </row>
    <row r="87" customFormat="false" ht="15" hidden="false" customHeight="false" outlineLevel="0" collapsed="false">
      <c r="A87" s="12" t="s">
        <v>221</v>
      </c>
      <c r="B87" s="12" t="n">
        <v>5</v>
      </c>
      <c r="C87" s="12" t="s">
        <v>229</v>
      </c>
      <c r="D87" s="13" t="s">
        <v>228</v>
      </c>
      <c r="E87" s="12" t="s">
        <v>314</v>
      </c>
      <c r="F87" s="14" t="n">
        <v>47.98</v>
      </c>
      <c r="G87" s="15" t="n">
        <v>123308.6</v>
      </c>
      <c r="H87" s="15" t="n">
        <v>1446.5132</v>
      </c>
      <c r="I87" s="15" t="n">
        <v>1446.11719999999</v>
      </c>
      <c r="J87" s="15" t="n">
        <f aca="false">I87-H87</f>
        <v>-0.396000000007007</v>
      </c>
      <c r="K87" s="12" t="n">
        <v>25</v>
      </c>
      <c r="L87" s="12" t="n">
        <v>25</v>
      </c>
      <c r="M87" s="15" t="n">
        <f aca="false">(L87-K87)*F87</f>
        <v>0</v>
      </c>
      <c r="N87" s="12" t="n">
        <v>0</v>
      </c>
      <c r="O87" s="12" t="n">
        <v>0</v>
      </c>
      <c r="P87" s="15" t="n">
        <f aca="false">(N87-O87)*F87</f>
        <v>0</v>
      </c>
      <c r="Q87" s="21" t="n">
        <v>0.862</v>
      </c>
      <c r="R87" s="21" t="n">
        <v>0.862</v>
      </c>
      <c r="S87" s="15" t="n">
        <f aca="false">(R87-Q87)*G87</f>
        <v>0</v>
      </c>
      <c r="T87" s="21" t="n">
        <v>0.86</v>
      </c>
      <c r="U87" s="21" t="n">
        <v>0.86</v>
      </c>
      <c r="V87" s="15" t="n">
        <f aca="false">(T87-U87)*G87</f>
        <v>0</v>
      </c>
      <c r="W87" s="15" t="n">
        <v>0</v>
      </c>
      <c r="X87" s="15" t="n">
        <f aca="false">-W87</f>
        <v>-0</v>
      </c>
      <c r="Y87" s="15" t="n">
        <f aca="false">J87-M87-P87-S87-V87-X87</f>
        <v>-0.396000000007007</v>
      </c>
      <c r="Z87" s="12" t="str">
        <f aca="false">IF(OR(ABS(M87)&gt;0.5,ABS(P87)&gt;0.5,ABS(S87)&gt;0.5,ABS(V87)&gt;0.5,ABS(X87)&gt;0.5),"是","")</f>
        <v/>
      </c>
    </row>
    <row r="88" customFormat="false" ht="15" hidden="false" customHeight="false" outlineLevel="0" collapsed="false">
      <c r="A88" s="12" t="s">
        <v>221</v>
      </c>
      <c r="B88" s="12" t="n">
        <v>6</v>
      </c>
      <c r="C88" s="12" t="s">
        <v>231</v>
      </c>
      <c r="D88" s="13" t="s">
        <v>230</v>
      </c>
      <c r="E88" s="12" t="s">
        <v>314</v>
      </c>
      <c r="F88" s="14" t="n">
        <v>50.72</v>
      </c>
      <c r="G88" s="15" t="n">
        <v>128017.28</v>
      </c>
      <c r="H88" s="15" t="n">
        <v>1524.89535999999</v>
      </c>
      <c r="I88" s="15" t="n">
        <v>1524.03456</v>
      </c>
      <c r="J88" s="15" t="n">
        <f aca="false">I88-H88</f>
        <v>-0.860799999989922</v>
      </c>
      <c r="K88" s="12" t="n">
        <v>25</v>
      </c>
      <c r="L88" s="12" t="n">
        <v>25</v>
      </c>
      <c r="M88" s="15" t="n">
        <f aca="false">(L88-K88)*F88</f>
        <v>0</v>
      </c>
      <c r="N88" s="12" t="n">
        <v>0</v>
      </c>
      <c r="O88" s="12" t="n">
        <v>0</v>
      </c>
      <c r="P88" s="15" t="n">
        <f aca="false">(N88-O88)*F88</f>
        <v>0</v>
      </c>
      <c r="Q88" s="21" t="n">
        <v>0.862</v>
      </c>
      <c r="R88" s="21" t="n">
        <v>0.862</v>
      </c>
      <c r="S88" s="15" t="n">
        <f aca="false">(R88-Q88)*G88</f>
        <v>0</v>
      </c>
      <c r="T88" s="21" t="n">
        <v>0.86</v>
      </c>
      <c r="U88" s="21" t="n">
        <v>0.86</v>
      </c>
      <c r="V88" s="15" t="n">
        <f aca="false">(T88-U88)*G88</f>
        <v>0</v>
      </c>
      <c r="W88" s="15" t="n">
        <v>0</v>
      </c>
      <c r="X88" s="15" t="n">
        <f aca="false">-W88</f>
        <v>-0</v>
      </c>
      <c r="Y88" s="15" t="n">
        <f aca="false">J88-M88-P88-S88-V88-X88</f>
        <v>-0.860799999989922</v>
      </c>
      <c r="Z88" s="12" t="str">
        <f aca="false">IF(OR(ABS(M88)&gt;0.5,ABS(P88)&gt;0.5,ABS(S88)&gt;0.5,ABS(V88)&gt;0.5,ABS(X88)&gt;0.5),"是","")</f>
        <v/>
      </c>
    </row>
    <row r="89" customFormat="false" ht="15" hidden="false" customHeight="false" outlineLevel="0" collapsed="false">
      <c r="A89" s="12" t="s">
        <v>221</v>
      </c>
      <c r="B89" s="12" t="n">
        <v>7</v>
      </c>
      <c r="C89" s="12" t="s">
        <v>226</v>
      </c>
      <c r="D89" s="13" t="s">
        <v>232</v>
      </c>
      <c r="E89" s="12" t="s">
        <v>314</v>
      </c>
      <c r="F89" s="14" t="n">
        <v>73.54</v>
      </c>
      <c r="G89" s="15" t="n">
        <v>186056.2</v>
      </c>
      <c r="H89" s="15" t="n">
        <v>2210.94440000001</v>
      </c>
      <c r="I89" s="15" t="n">
        <v>2210.61240000001</v>
      </c>
      <c r="J89" s="15" t="n">
        <f aca="false">I89-H89</f>
        <v>-0.331999999996697</v>
      </c>
      <c r="K89" s="12" t="n">
        <v>25</v>
      </c>
      <c r="L89" s="12" t="n">
        <v>25</v>
      </c>
      <c r="M89" s="15" t="n">
        <f aca="false">(L89-K89)*F89</f>
        <v>0</v>
      </c>
      <c r="N89" s="12" t="n">
        <v>0</v>
      </c>
      <c r="O89" s="12" t="n">
        <v>0</v>
      </c>
      <c r="P89" s="15" t="n">
        <f aca="false">(N89-O89)*F89</f>
        <v>0</v>
      </c>
      <c r="Q89" s="21" t="n">
        <v>0.862</v>
      </c>
      <c r="R89" s="21" t="n">
        <v>0.862</v>
      </c>
      <c r="S89" s="15" t="n">
        <f aca="false">(R89-Q89)*G89</f>
        <v>0</v>
      </c>
      <c r="T89" s="21" t="n">
        <v>0.86</v>
      </c>
      <c r="U89" s="21" t="n">
        <v>0.86</v>
      </c>
      <c r="V89" s="15" t="n">
        <f aca="false">(T89-U89)*G89</f>
        <v>0</v>
      </c>
      <c r="W89" s="15" t="n">
        <v>0</v>
      </c>
      <c r="X89" s="15" t="n">
        <f aca="false">-W89</f>
        <v>-0</v>
      </c>
      <c r="Y89" s="15" t="n">
        <f aca="false">J89-M89-P89-S89-V89-X89</f>
        <v>-0.331999999996697</v>
      </c>
      <c r="Z89" s="12" t="str">
        <f aca="false">IF(OR(ABS(M89)&gt;0.5,ABS(P89)&gt;0.5,ABS(S89)&gt;0.5,ABS(V89)&gt;0.5,ABS(X89)&gt;0.5),"是","")</f>
        <v/>
      </c>
    </row>
    <row r="90" customFormat="false" ht="15" hidden="false" customHeight="false" outlineLevel="0" collapsed="false">
      <c r="A90" s="12" t="s">
        <v>221</v>
      </c>
      <c r="B90" s="12" t="n">
        <v>8</v>
      </c>
      <c r="C90" s="12" t="s">
        <v>234</v>
      </c>
      <c r="D90" s="13" t="s">
        <v>233</v>
      </c>
      <c r="E90" s="12" t="s">
        <v>314</v>
      </c>
      <c r="F90" s="14" t="n">
        <v>52</v>
      </c>
      <c r="G90" s="15" t="n">
        <v>126308</v>
      </c>
      <c r="H90" s="15" t="n">
        <v>1553.496</v>
      </c>
      <c r="I90" s="15" t="n">
        <v>1552.616</v>
      </c>
      <c r="J90" s="15" t="n">
        <f aca="false">I90-H90</f>
        <v>-0.880000000005111</v>
      </c>
      <c r="K90" s="12" t="n">
        <v>25</v>
      </c>
      <c r="L90" s="12" t="n">
        <v>25</v>
      </c>
      <c r="M90" s="15" t="n">
        <f aca="false">(L90-K90)*F90</f>
        <v>0</v>
      </c>
      <c r="N90" s="12" t="n">
        <v>0</v>
      </c>
      <c r="O90" s="12" t="n">
        <v>0</v>
      </c>
      <c r="P90" s="15" t="n">
        <f aca="false">(N90-O90)*F90</f>
        <v>0</v>
      </c>
      <c r="Q90" s="21" t="n">
        <v>0.862</v>
      </c>
      <c r="R90" s="21" t="n">
        <v>0.862</v>
      </c>
      <c r="S90" s="15" t="n">
        <f aca="false">(R90-Q90)*G90</f>
        <v>0</v>
      </c>
      <c r="T90" s="21" t="n">
        <v>0.86</v>
      </c>
      <c r="U90" s="21" t="n">
        <v>0.86</v>
      </c>
      <c r="V90" s="15" t="n">
        <f aca="false">(T90-U90)*G90</f>
        <v>0</v>
      </c>
      <c r="W90" s="15" t="n">
        <v>0</v>
      </c>
      <c r="X90" s="15" t="n">
        <f aca="false">-W90</f>
        <v>-0</v>
      </c>
      <c r="Y90" s="15" t="n">
        <f aca="false">J90-M90-P90-S90-V90-X90</f>
        <v>-0.880000000005111</v>
      </c>
      <c r="Z90" s="12" t="str">
        <f aca="false">IF(OR(ABS(M90)&gt;0.5,ABS(P90)&gt;0.5,ABS(S90)&gt;0.5,ABS(V90)&gt;0.5,ABS(X90)&gt;0.5),"是","")</f>
        <v/>
      </c>
    </row>
    <row r="91" customFormat="false" ht="15" hidden="false" customHeight="false" outlineLevel="0" collapsed="false">
      <c r="A91" s="12" t="s">
        <v>221</v>
      </c>
      <c r="B91" s="12" t="n">
        <v>9</v>
      </c>
      <c r="C91" s="12" t="s">
        <v>236</v>
      </c>
      <c r="D91" s="13" t="s">
        <v>235</v>
      </c>
      <c r="E91" s="12" t="s">
        <v>314</v>
      </c>
      <c r="F91" s="14" t="n">
        <v>30.22</v>
      </c>
      <c r="G91" s="15" t="n">
        <v>75852.2</v>
      </c>
      <c r="H91" s="15" t="n">
        <v>908.096399999995</v>
      </c>
      <c r="I91" s="15" t="n">
        <v>907.204399999995</v>
      </c>
      <c r="J91" s="15" t="n">
        <f aca="false">I91-H91</f>
        <v>-0.891999999999939</v>
      </c>
      <c r="K91" s="12" t="n">
        <v>25</v>
      </c>
      <c r="L91" s="12" t="n">
        <v>25</v>
      </c>
      <c r="M91" s="15" t="n">
        <f aca="false">(L91-K91)*F91</f>
        <v>0</v>
      </c>
      <c r="N91" s="12" t="n">
        <v>0</v>
      </c>
      <c r="O91" s="12" t="n">
        <v>0</v>
      </c>
      <c r="P91" s="15" t="n">
        <f aca="false">(N91-O91)*F91</f>
        <v>0</v>
      </c>
      <c r="Q91" s="21" t="n">
        <v>0.862</v>
      </c>
      <c r="R91" s="21" t="n">
        <v>0.862</v>
      </c>
      <c r="S91" s="15" t="n">
        <f aca="false">(R91-Q91)*G91</f>
        <v>0</v>
      </c>
      <c r="T91" s="21" t="n">
        <v>0.86</v>
      </c>
      <c r="U91" s="21" t="n">
        <v>0.86</v>
      </c>
      <c r="V91" s="15" t="n">
        <f aca="false">(T91-U91)*G91</f>
        <v>0</v>
      </c>
      <c r="W91" s="15" t="n">
        <v>0</v>
      </c>
      <c r="X91" s="15" t="n">
        <f aca="false">-W91</f>
        <v>-0</v>
      </c>
      <c r="Y91" s="15" t="n">
        <f aca="false">J91-M91-P91-S91-V91-X91</f>
        <v>-0.891999999999939</v>
      </c>
      <c r="Z91" s="12" t="str">
        <f aca="false">IF(OR(ABS(M91)&gt;0.5,ABS(P91)&gt;0.5,ABS(S91)&gt;0.5,ABS(V91)&gt;0.5,ABS(X91)&gt;0.5),"是","")</f>
        <v/>
      </c>
    </row>
    <row r="92" customFormat="false" ht="15" hidden="false" customHeight="false" outlineLevel="0" collapsed="false">
      <c r="A92" s="12" t="s">
        <v>241</v>
      </c>
      <c r="B92" s="12" t="n">
        <v>2</v>
      </c>
      <c r="C92" s="12" t="s">
        <v>243</v>
      </c>
      <c r="D92" s="13" t="s">
        <v>242</v>
      </c>
      <c r="E92" s="12" t="s">
        <v>323</v>
      </c>
      <c r="F92" s="14" t="n">
        <v>481.77</v>
      </c>
      <c r="G92" s="15" t="n">
        <v>1181813.6</v>
      </c>
      <c r="H92" s="15" t="n">
        <v>8369.19985000009</v>
      </c>
      <c r="I92" s="15" t="n">
        <v>8368.50384999998</v>
      </c>
      <c r="J92" s="15" t="n">
        <f aca="false">I92-H92</f>
        <v>-0.696000000110871</v>
      </c>
      <c r="K92" s="12" t="n">
        <v>25</v>
      </c>
      <c r="L92" s="12" t="n">
        <v>25</v>
      </c>
      <c r="M92" s="15" t="n">
        <f aca="false">(L92-K92)*F92</f>
        <v>0</v>
      </c>
      <c r="N92" s="12" t="n">
        <v>0</v>
      </c>
      <c r="O92" s="12" t="n">
        <v>0</v>
      </c>
      <c r="P92" s="15" t="n">
        <f aca="false">(N92-O92)*F92</f>
        <v>0</v>
      </c>
      <c r="Q92" s="21" t="n">
        <v>0.865</v>
      </c>
      <c r="R92" s="21" t="n">
        <v>0.865</v>
      </c>
      <c r="S92" s="15" t="n">
        <f aca="false">(R92-Q92)*(G92-23*F92)</f>
        <v>0</v>
      </c>
      <c r="T92" s="21" t="n">
        <v>0.86</v>
      </c>
      <c r="U92" s="21" t="n">
        <v>0.86</v>
      </c>
      <c r="V92" s="15" t="n">
        <f aca="false">(T92-U92)*G92</f>
        <v>0</v>
      </c>
      <c r="W92" s="15" t="n">
        <v>0</v>
      </c>
      <c r="X92" s="15" t="n">
        <f aca="false">-W92</f>
        <v>-0</v>
      </c>
      <c r="Y92" s="15" t="n">
        <f aca="false">J92-M92-P92-S92-V92-X92</f>
        <v>-0.696000000110871</v>
      </c>
      <c r="Z92" s="12" t="str">
        <f aca="false">IF(OR(ABS(M92)&gt;0.5,ABS(P92)&gt;0.5,ABS(S92)&gt;0.5,ABS(V92)&gt;0.5,ABS(X92)&gt;0.5),"是","")</f>
        <v/>
      </c>
    </row>
    <row r="93" customFormat="false" ht="15" hidden="false" customHeight="false" outlineLevel="0" collapsed="false">
      <c r="A93" s="12" t="s">
        <v>241</v>
      </c>
      <c r="B93" s="12" t="n">
        <v>3</v>
      </c>
      <c r="C93" s="12" t="s">
        <v>246</v>
      </c>
      <c r="D93" s="13" t="s">
        <v>245</v>
      </c>
      <c r="E93" s="12" t="s">
        <v>323</v>
      </c>
      <c r="F93" s="14" t="n">
        <v>560.21</v>
      </c>
      <c r="G93" s="15" t="n">
        <v>1381864.15</v>
      </c>
      <c r="H93" s="15" t="n">
        <v>9769.36179999984</v>
      </c>
      <c r="I93" s="15" t="n">
        <v>13876.1307599999</v>
      </c>
      <c r="J93" s="15" t="n">
        <f aca="false">I93-H93</f>
        <v>4106.76896000001</v>
      </c>
      <c r="K93" s="12" t="n">
        <v>25</v>
      </c>
      <c r="L93" s="12" t="n">
        <v>25</v>
      </c>
      <c r="M93" s="15" t="n">
        <f aca="false">(L93-K93)*F93</f>
        <v>0</v>
      </c>
      <c r="N93" s="12" t="n">
        <v>0</v>
      </c>
      <c r="O93" s="12" t="n">
        <v>0</v>
      </c>
      <c r="P93" s="15" t="n">
        <f aca="false">(N93-O93)*F93</f>
        <v>0</v>
      </c>
      <c r="Q93" s="21" t="n">
        <v>0.865</v>
      </c>
      <c r="R93" s="21" t="n">
        <v>0.868</v>
      </c>
      <c r="S93" s="15" t="n">
        <f aca="false">(R93-Q93)*(G93-23*F93)</f>
        <v>4106.93796</v>
      </c>
      <c r="T93" s="21" t="n">
        <v>0.86</v>
      </c>
      <c r="U93" s="21" t="n">
        <v>0.86</v>
      </c>
      <c r="V93" s="15" t="n">
        <f aca="false">(T93-U93)*G93</f>
        <v>0</v>
      </c>
      <c r="W93" s="15" t="n">
        <v>0</v>
      </c>
      <c r="X93" s="15" t="n">
        <f aca="false">-W93</f>
        <v>-0</v>
      </c>
      <c r="Y93" s="15" t="n">
        <f aca="false">J93-M93-P93-S93-V93-X93</f>
        <v>-0.168999999992593</v>
      </c>
      <c r="Z93" s="12" t="str">
        <f aca="false">IF(OR(ABS(M93)&gt;0.5,ABS(P93)&gt;0.5,ABS(S93)&gt;0.5,ABS(V93)&gt;0.5,ABS(X93)&gt;0.5),"是","")</f>
        <v>是</v>
      </c>
    </row>
    <row r="94" customFormat="false" ht="15" hidden="false" customHeight="false" outlineLevel="0" collapsed="false">
      <c r="A94" s="12" t="s">
        <v>241</v>
      </c>
      <c r="B94" s="12" t="n">
        <v>4</v>
      </c>
      <c r="C94" s="12" t="s">
        <v>248</v>
      </c>
      <c r="D94" s="13" t="s">
        <v>247</v>
      </c>
      <c r="E94" s="12" t="s">
        <v>323</v>
      </c>
      <c r="F94" s="14" t="n">
        <v>589.24</v>
      </c>
      <c r="G94" s="15" t="n">
        <v>1444596.08</v>
      </c>
      <c r="H94" s="15" t="n">
        <v>10231.6794</v>
      </c>
      <c r="I94" s="15" t="n">
        <v>14524.1812799999</v>
      </c>
      <c r="J94" s="15" t="n">
        <f aca="false">I94-H94</f>
        <v>4292.5018799999</v>
      </c>
      <c r="K94" s="12" t="n">
        <v>25</v>
      </c>
      <c r="L94" s="12" t="n">
        <v>25</v>
      </c>
      <c r="M94" s="15" t="n">
        <f aca="false">(L94-K94)*F94</f>
        <v>0</v>
      </c>
      <c r="N94" s="12" t="n">
        <v>0</v>
      </c>
      <c r="O94" s="12" t="n">
        <v>0</v>
      </c>
      <c r="P94" s="15" t="n">
        <f aca="false">(N94-O94)*F94</f>
        <v>0</v>
      </c>
      <c r="Q94" s="21" t="n">
        <v>0.865</v>
      </c>
      <c r="R94" s="21" t="n">
        <v>0.868</v>
      </c>
      <c r="S94" s="15" t="n">
        <f aca="false">(R94-Q94)*(G94-23*F94)</f>
        <v>4293.13068</v>
      </c>
      <c r="T94" s="21" t="n">
        <v>0.86</v>
      </c>
      <c r="U94" s="21" t="n">
        <v>0.86</v>
      </c>
      <c r="V94" s="15" t="n">
        <f aca="false">(T94-U94)*G94</f>
        <v>0</v>
      </c>
      <c r="W94" s="15" t="n">
        <v>0</v>
      </c>
      <c r="X94" s="15" t="n">
        <f aca="false">-W94</f>
        <v>-0</v>
      </c>
      <c r="Y94" s="15" t="n">
        <f aca="false">J94-M94-P94-S94-V94-X94</f>
        <v>-0.628800000104093</v>
      </c>
      <c r="Z94" s="12" t="str">
        <f aca="false">IF(OR(ABS(M94)&gt;0.5,ABS(P94)&gt;0.5,ABS(S94)&gt;0.5,ABS(V94)&gt;0.5,ABS(X94)&gt;0.5),"是","")</f>
        <v>是</v>
      </c>
    </row>
    <row r="95" customFormat="false" ht="15" hidden="false" customHeight="false" outlineLevel="0" collapsed="false">
      <c r="A95" s="12" t="s">
        <v>241</v>
      </c>
      <c r="B95" s="12" t="n">
        <v>5</v>
      </c>
      <c r="C95" s="12" t="s">
        <v>250</v>
      </c>
      <c r="D95" s="13" t="s">
        <v>249</v>
      </c>
      <c r="E95" s="12" t="s">
        <v>314</v>
      </c>
      <c r="F95" s="14" t="n">
        <v>646.85</v>
      </c>
      <c r="G95" s="15" t="n">
        <v>1563945.84</v>
      </c>
      <c r="H95" s="15" t="n">
        <v>19299.5640800002</v>
      </c>
      <c r="I95" s="15" t="n">
        <v>19299.1416800001</v>
      </c>
      <c r="J95" s="15" t="n">
        <f aca="false">I95-H95</f>
        <v>-0.422400000079506</v>
      </c>
      <c r="K95" s="12" t="n">
        <v>25</v>
      </c>
      <c r="L95" s="12" t="n">
        <v>25</v>
      </c>
      <c r="M95" s="15" t="n">
        <f aca="false">(L95-K95)*F95</f>
        <v>0</v>
      </c>
      <c r="N95" s="12" t="n">
        <v>0</v>
      </c>
      <c r="O95" s="12" t="n">
        <v>0</v>
      </c>
      <c r="P95" s="15" t="n">
        <f aca="false">(N95-O95)*F95</f>
        <v>0</v>
      </c>
      <c r="Q95" s="21" t="n">
        <v>0.862</v>
      </c>
      <c r="R95" s="21" t="n">
        <v>0.862</v>
      </c>
      <c r="S95" s="15" t="n">
        <f aca="false">(R95-Q95)*G95</f>
        <v>0</v>
      </c>
      <c r="T95" s="21" t="n">
        <v>0.86</v>
      </c>
      <c r="U95" s="21" t="n">
        <v>0.86</v>
      </c>
      <c r="V95" s="15" t="n">
        <f aca="false">(T95-U95)*G95</f>
        <v>0</v>
      </c>
      <c r="W95" s="15" t="n">
        <v>0</v>
      </c>
      <c r="X95" s="15" t="n">
        <f aca="false">-W95</f>
        <v>-0</v>
      </c>
      <c r="Y95" s="15" t="n">
        <f aca="false">J95-M95-P95-S95-V95-X95</f>
        <v>-0.422400000079506</v>
      </c>
      <c r="Z95" s="12" t="str">
        <f aca="false">IF(OR(ABS(M95)&gt;0.5,ABS(P95)&gt;0.5,ABS(S95)&gt;0.5,ABS(V95)&gt;0.5,ABS(X95)&gt;0.5),"是","")</f>
        <v/>
      </c>
    </row>
    <row r="96" customFormat="false" ht="15" hidden="false" customHeight="false" outlineLevel="0" collapsed="false">
      <c r="A96" s="12" t="s">
        <v>251</v>
      </c>
      <c r="B96" s="12" t="n">
        <v>2</v>
      </c>
      <c r="C96" s="12" t="s">
        <v>253</v>
      </c>
      <c r="D96" s="13" t="s">
        <v>252</v>
      </c>
      <c r="E96" s="12" t="s">
        <v>323</v>
      </c>
      <c r="F96" s="14" t="n">
        <v>518.48</v>
      </c>
      <c r="G96" s="15" t="n">
        <v>1271258.96</v>
      </c>
      <c r="H96" s="15" t="n">
        <v>6460.84079999989</v>
      </c>
      <c r="I96" s="15" t="n">
        <v>9003.1351999999</v>
      </c>
      <c r="J96" s="15" t="n">
        <f aca="false">I96-H96</f>
        <v>2542.29440000001</v>
      </c>
      <c r="K96" s="12" t="n">
        <v>25</v>
      </c>
      <c r="L96" s="12" t="n">
        <v>25</v>
      </c>
      <c r="M96" s="15" t="n">
        <f aca="false">(L96-K96)*F96</f>
        <v>0</v>
      </c>
      <c r="N96" s="12" t="n">
        <v>0</v>
      </c>
      <c r="O96" s="12" t="n">
        <v>0</v>
      </c>
      <c r="P96" s="15" t="n">
        <f aca="false">(N96-O96)*F96</f>
        <v>0</v>
      </c>
      <c r="Q96" s="21" t="n">
        <v>0.865</v>
      </c>
      <c r="R96" s="21" t="n">
        <v>0.865</v>
      </c>
      <c r="S96" s="15" t="n">
        <f aca="false">(R96-Q96)*(G96-23*F96)</f>
        <v>0</v>
      </c>
      <c r="T96" s="21" t="n">
        <v>0.862</v>
      </c>
      <c r="U96" s="21" t="n">
        <v>0.86</v>
      </c>
      <c r="V96" s="15" t="n">
        <f aca="false">(T96-U96)*G96</f>
        <v>2542.51792</v>
      </c>
      <c r="W96" s="15" t="n">
        <v>0</v>
      </c>
      <c r="X96" s="15" t="n">
        <f aca="false">-W96</f>
        <v>-0</v>
      </c>
      <c r="Y96" s="15" t="n">
        <f aca="false">J96-M96-P96-S96-V96-X96</f>
        <v>-0.223519999989549</v>
      </c>
      <c r="Z96" s="12" t="str">
        <f aca="false">IF(OR(ABS(M96)&gt;0.5,ABS(P96)&gt;0.5,ABS(S96)&gt;0.5,ABS(V96)&gt;0.5,ABS(X96)&gt;0.5),"是","")</f>
        <v>是</v>
      </c>
    </row>
    <row r="97" customFormat="false" ht="15" hidden="false" customHeight="false" outlineLevel="0" collapsed="false">
      <c r="A97" s="12" t="s">
        <v>254</v>
      </c>
      <c r="B97" s="12" t="n">
        <v>2</v>
      </c>
      <c r="C97" s="12" t="s">
        <v>256</v>
      </c>
      <c r="D97" s="13" t="s">
        <v>255</v>
      </c>
      <c r="E97" s="12" t="s">
        <v>323</v>
      </c>
      <c r="F97" s="14" t="n">
        <v>39.12</v>
      </c>
      <c r="G97" s="15" t="n">
        <v>89584.8</v>
      </c>
      <c r="H97" s="15" t="n">
        <v>648.559599999993</v>
      </c>
      <c r="I97" s="15" t="n">
        <v>647.631600000008</v>
      </c>
      <c r="J97" s="15" t="n">
        <f aca="false">I97-H97</f>
        <v>-0.927999999985218</v>
      </c>
      <c r="K97" s="12" t="n">
        <v>25</v>
      </c>
      <c r="L97" s="12" t="n">
        <v>25</v>
      </c>
      <c r="M97" s="15" t="n">
        <f aca="false">(L97-K97)*F97</f>
        <v>0</v>
      </c>
      <c r="N97" s="12" t="n">
        <v>0</v>
      </c>
      <c r="O97" s="12" t="n">
        <v>0</v>
      </c>
      <c r="P97" s="15" t="n">
        <f aca="false">(N97-O97)*F97</f>
        <v>0</v>
      </c>
      <c r="Q97" s="21" t="n">
        <v>0.865</v>
      </c>
      <c r="R97" s="21" t="n">
        <v>0.865</v>
      </c>
      <c r="S97" s="15" t="n">
        <f aca="false">(R97-Q97)*(G97-23*F97)</f>
        <v>0</v>
      </c>
      <c r="T97" s="21" t="n">
        <v>0.86</v>
      </c>
      <c r="U97" s="21" t="n">
        <v>0.86</v>
      </c>
      <c r="V97" s="15" t="n">
        <f aca="false">(T97-U97)*G97</f>
        <v>0</v>
      </c>
      <c r="W97" s="15" t="n">
        <v>0</v>
      </c>
      <c r="X97" s="15" t="n">
        <f aca="false">-W97</f>
        <v>-0</v>
      </c>
      <c r="Y97" s="15" t="n">
        <f aca="false">J97-M97-P97-S97-V97-X97</f>
        <v>-0.927999999985218</v>
      </c>
      <c r="Z97" s="12" t="str">
        <f aca="false">IF(OR(ABS(M97)&gt;0.5,ABS(P97)&gt;0.5,ABS(S97)&gt;0.5,ABS(V97)&gt;0.5,ABS(X97)&gt;0.5),"是","")</f>
        <v/>
      </c>
    </row>
    <row r="98" customFormat="false" ht="15" hidden="false" customHeight="false" outlineLevel="0" collapsed="false">
      <c r="A98" s="7" t="s">
        <v>36</v>
      </c>
      <c r="F98" s="22" t="n">
        <f aca="false">SUM(F3:F97)</f>
        <v>9069.26</v>
      </c>
      <c r="G98" s="23" t="n">
        <f aca="false">SUM(G3:G97)</f>
        <v>21956971.05</v>
      </c>
      <c r="H98" s="23" t="n">
        <f aca="false">SUM(H3:H97)</f>
        <v>151814.85827</v>
      </c>
      <c r="I98" s="23" t="n">
        <f aca="false">SUM(I3:I97)</f>
        <v>179658.52957</v>
      </c>
      <c r="J98" s="23" t="n">
        <f aca="false">SUM(J3:J97)</f>
        <v>27843.6713000003</v>
      </c>
      <c r="M98" s="23" t="n">
        <f aca="false">SUM(M3:M97)</f>
        <v>12531.4</v>
      </c>
      <c r="P98" s="23" t="n">
        <f aca="false">SUM(P3:P97)</f>
        <v>4460.52904</v>
      </c>
      <c r="S98" s="23" t="n">
        <f aca="false">SUM(S3:S97)</f>
        <v>9157.45110000001</v>
      </c>
      <c r="V98" s="23" t="n">
        <f aca="false">SUM(V3:V97)</f>
        <v>2542.51792</v>
      </c>
      <c r="X98" s="23" t="n">
        <f aca="false">SUM(X3:X97)</f>
        <v>-800</v>
      </c>
      <c r="Y98" s="23" t="n">
        <f aca="false">SUM(Y3:Y97)</f>
        <v>-48.2267599996949</v>
      </c>
      <c r="Z98" s="7" t="n">
        <f aca="false">COUNTIF(Z3:Z97,"是")</f>
        <v>50</v>
      </c>
    </row>
  </sheetData>
  <autoFilter ref="A2:Z97"/>
  <mergeCells count="1">
    <mergeCell ref="A1:V1"/>
  </mergeCells>
  <conditionalFormatting sqref="A3:Z97">
    <cfRule type="expression" priority="2" aboveAverage="0" equalAverage="0" bottom="0" percent="0" rank="0" text="" dxfId="7">
      <formula>$Z3="是"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60"/>
    <col collapsed="false" customWidth="true" hidden="false" outlineLevel="0" max="4" min="4" style="0" width="30"/>
  </cols>
  <sheetData>
    <row r="1" customFormat="false" ht="31.5" hidden="false" customHeight="true" outlineLevel="0" collapsed="false">
      <c r="A1" s="3" t="s">
        <v>334</v>
      </c>
      <c r="B1" s="3" t="s">
        <v>355</v>
      </c>
      <c r="C1" s="3" t="s">
        <v>356</v>
      </c>
      <c r="D1" s="3" t="s">
        <v>357</v>
      </c>
    </row>
    <row r="2" customFormat="false" ht="29.85" hidden="false" customHeight="false" outlineLevel="0" collapsed="false">
      <c r="A2" s="4" t="s">
        <v>358</v>
      </c>
      <c r="B2" s="4" t="s">
        <v>359</v>
      </c>
      <c r="C2" s="4" t="s">
        <v>360</v>
      </c>
      <c r="D2" s="4" t="s">
        <v>361</v>
      </c>
    </row>
    <row r="3" customFormat="false" ht="29.85" hidden="false" customHeight="false" outlineLevel="0" collapsed="false">
      <c r="A3" s="4" t="s">
        <v>362</v>
      </c>
      <c r="B3" s="4" t="s">
        <v>363</v>
      </c>
      <c r="C3" s="4" t="s">
        <v>364</v>
      </c>
      <c r="D3" s="4" t="s">
        <v>365</v>
      </c>
    </row>
    <row r="4" customFormat="false" ht="29.85" hidden="false" customHeight="false" outlineLevel="0" collapsed="false">
      <c r="A4" s="4" t="s">
        <v>314</v>
      </c>
      <c r="B4" s="4" t="s">
        <v>366</v>
      </c>
      <c r="C4" s="4" t="s">
        <v>367</v>
      </c>
      <c r="D4" s="4" t="s">
        <v>4</v>
      </c>
    </row>
    <row r="5" customFormat="false" ht="29.85" hidden="false" customHeight="false" outlineLevel="0" collapsed="false">
      <c r="A5" s="4" t="s">
        <v>326</v>
      </c>
      <c r="B5" s="4" t="s">
        <v>368</v>
      </c>
      <c r="C5" s="4" t="s">
        <v>369</v>
      </c>
      <c r="D5" s="4" t="s">
        <v>370</v>
      </c>
    </row>
    <row r="6" customFormat="false" ht="15" hidden="false" customHeight="false" outlineLevel="0" collapsed="false">
      <c r="A6" s="4" t="s">
        <v>371</v>
      </c>
      <c r="B6" s="4" t="s">
        <v>372</v>
      </c>
      <c r="C6" s="4" t="s">
        <v>373</v>
      </c>
      <c r="D6" s="6" t="s">
        <v>374</v>
      </c>
    </row>
    <row r="7" customFormat="false" ht="15" hidden="false" customHeight="false" outlineLevel="0" collapsed="false">
      <c r="A7" s="4" t="s">
        <v>375</v>
      </c>
      <c r="B7" s="4" t="s">
        <v>376</v>
      </c>
      <c r="C7" s="4" t="s">
        <v>377</v>
      </c>
      <c r="D7" s="4" t="s">
        <v>378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2026-09-22T03:22:28Z</dcterms:created>
  <dc:creator>openpyxl</dc:creator>
  <dc:description/>
  <dc:language>en-US</dc:language>
  <cp:lastModifiedBy/>
  <dcterms:modified xsi:type="dcterms:W3CDTF">2026-09-22T03:22:28Z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