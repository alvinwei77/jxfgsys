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差异汇总" sheetId="1" state="visible" r:id="rId3"/>
    <sheet name="逐车比对" sheetId="2" state="visible" r:id="rId4"/>
    <sheet name="计算口径对照" sheetId="3" state="visible" r:id="rId5"/>
  </sheets>
  <definedNames>
    <definedName function="false" hidden="true" localSheetId="1" name="_xlnm._FilterDatabase" vbProcedure="false">逐车比对!$A$1:$AA$102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Noto Sans CJK SC"/>
            <family val="2"/>
          </rPr>
          <t xml:space="preserve">系统利润 − 财务利润。正数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Noto Sans CJK SC"/>
            <family val="2"/>
          </rPr>
          <t xml:space="preserve">系统算得比财务多。</t>
        </r>
      </text>
    </comment>
    <comment ref="Z1" authorId="0">
      <text>
        <r>
          <rPr>
            <sz val="10"/>
            <rFont val="Noto Sans CJK SC"/>
            <family val="2"/>
          </rPr>
          <t xml:space="preserve">各分项差额相加减去总差额，应为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；不为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说明有没解释到的差异。</t>
        </r>
      </text>
    </comment>
  </commentList>
</comments>
</file>

<file path=xl/sharedStrings.xml><?xml version="1.0" encoding="utf-8"?>
<sst xmlns="http://schemas.openxmlformats.org/spreadsheetml/2006/main" count="1188" uniqueCount="364">
  <si>
    <t xml:space="preserve">财务「发货记录表」与系统车次比对</t>
  </si>
  <si>
    <r>
      <rPr>
        <sz val="10"/>
        <color rgb="FF555555"/>
        <rFont val="Noto Sans CJK SC"/>
        <family val="2"/>
      </rPr>
      <t xml:space="preserve">数据：财务表 </t>
    </r>
    <r>
      <rPr>
        <sz val="10"/>
        <color rgb="FF555555"/>
        <rFont val="Arial"/>
        <family val="0"/>
        <charset val="1"/>
      </rPr>
      <t xml:space="preserve">12 </t>
    </r>
    <r>
      <rPr>
        <sz val="10"/>
        <color rgb="FF555555"/>
        <rFont val="Noto Sans CJK SC"/>
        <family val="2"/>
      </rPr>
      <t xml:space="preserve">个分表共 </t>
    </r>
    <r>
      <rPr>
        <sz val="10"/>
        <color rgb="FF555555"/>
        <rFont val="Arial"/>
        <family val="0"/>
        <charset val="1"/>
      </rPr>
      <t xml:space="preserve">101 </t>
    </r>
    <r>
      <rPr>
        <sz val="10"/>
        <color rgb="FF555555"/>
        <rFont val="Noto Sans CJK SC"/>
        <family val="2"/>
      </rPr>
      <t xml:space="preserve">行；系统为你电脑上 </t>
    </r>
    <r>
      <rPr>
        <sz val="10"/>
        <color rgb="FF555555"/>
        <rFont val="Arial"/>
        <family val="0"/>
        <charset val="1"/>
      </rPr>
      <t xml:space="preserve">2026-09-22 </t>
    </r>
    <r>
      <rPr>
        <sz val="10"/>
        <color rgb="FF555555"/>
        <rFont val="Noto Sans CJK SC"/>
        <family val="2"/>
      </rPr>
      <t xml:space="preserve">的数据库（</t>
    </r>
    <r>
      <rPr>
        <sz val="10"/>
        <color rgb="FF555555"/>
        <rFont val="Arial"/>
        <family val="0"/>
        <charset val="1"/>
      </rPr>
      <t xml:space="preserve">101 </t>
    </r>
    <r>
      <rPr>
        <sz val="10"/>
        <color rgb="FF555555"/>
        <rFont val="Noto Sans CJK SC"/>
        <family val="2"/>
      </rPr>
      <t xml:space="preserve">车，不含作废）。利润口径：系统为主营净利润（不含票差留存）。</t>
    </r>
  </si>
  <si>
    <r>
      <rPr>
        <b val="true"/>
        <sz val="10"/>
        <rFont val="Noto Sans CJK SC"/>
        <family val="2"/>
      </rPr>
      <t xml:space="preserve">财务利润合计（</t>
    </r>
    <r>
      <rPr>
        <b val="true"/>
        <sz val="10"/>
        <rFont val="Arial"/>
        <family val="0"/>
        <charset val="1"/>
      </rPr>
      <t xml:space="preserve">101</t>
    </r>
    <r>
      <rPr>
        <b val="true"/>
        <sz val="10"/>
        <rFont val="Noto Sans CJK SC"/>
        <family val="2"/>
      </rPr>
      <t xml:space="preserve">行全部）</t>
    </r>
  </si>
  <si>
    <r>
      <rPr>
        <sz val="10"/>
        <color rgb="FF555555"/>
        <rFont val="Noto Sans CJK SC"/>
        <family val="2"/>
      </rPr>
      <t xml:space="preserve">比财务表自己的合计单元格</t>
    </r>
    <r>
      <rPr>
        <sz val="10"/>
        <color rgb="FF555555"/>
        <rFont val="Arial"/>
        <family val="0"/>
        <charset val="1"/>
      </rPr>
      <t xml:space="preserve">(</t>
    </r>
    <r>
      <rPr>
        <sz val="10"/>
        <color rgb="FF555555"/>
        <rFont val="Noto Sans CJK SC"/>
        <family val="2"/>
      </rPr>
      <t xml:space="preserve">林凯</t>
    </r>
    <r>
      <rPr>
        <sz val="10"/>
        <color rgb="FF555555"/>
        <rFont val="Arial"/>
        <family val="0"/>
        <charset val="1"/>
      </rPr>
      <t xml:space="preserve">!L23=160,390.91)</t>
    </r>
    <r>
      <rPr>
        <sz val="10"/>
        <color rgb="FF555555"/>
        <rFont val="Noto Sans CJK SC"/>
        <family val="2"/>
      </rPr>
      <t xml:space="preserve">多 </t>
    </r>
    <r>
      <rPr>
        <sz val="10"/>
        <color rgb="FF555555"/>
        <rFont val="Arial"/>
        <family val="0"/>
        <charset val="1"/>
      </rPr>
      <t xml:space="preserve">840.59</t>
    </r>
    <r>
      <rPr>
        <sz val="10"/>
        <color rgb="FF555555"/>
        <rFont val="Noto Sans CJK SC"/>
        <family val="2"/>
      </rPr>
      <t xml:space="preserve">：它的公式漏了闫东鹏 </t>
    </r>
    <r>
      <rPr>
        <sz val="10"/>
        <color rgb="FF555555"/>
        <rFont val="Arial"/>
        <family val="0"/>
        <charset val="1"/>
      </rPr>
      <t xml:space="preserve">9/21 </t>
    </r>
    <r>
      <rPr>
        <sz val="10"/>
        <color rgb="FF555555"/>
        <rFont val="Noto Sans CJK SC"/>
        <family val="2"/>
      </rPr>
      <t xml:space="preserve">那一行</t>
    </r>
  </si>
  <si>
    <r>
      <rPr>
        <b val="true"/>
        <sz val="10"/>
        <rFont val="Noto Sans CJK SC"/>
        <family val="2"/>
      </rPr>
      <t xml:space="preserve">系统利润合计（</t>
    </r>
    <r>
      <rPr>
        <b val="true"/>
        <sz val="10"/>
        <rFont val="Arial"/>
        <family val="0"/>
        <charset val="1"/>
      </rPr>
      <t xml:space="preserve">101</t>
    </r>
    <r>
      <rPr>
        <b val="true"/>
        <sz val="10"/>
        <rFont val="Noto Sans CJK SC"/>
        <family val="2"/>
      </rPr>
      <t xml:space="preserve">车）</t>
    </r>
  </si>
  <si>
    <r>
      <rPr>
        <sz val="10"/>
        <color rgb="FF555555"/>
        <rFont val="Noto Sans CJK SC"/>
        <family val="2"/>
      </rPr>
      <t xml:space="preserve">系统首页「累计利润」；逐车比对里 </t>
    </r>
    <r>
      <rPr>
        <sz val="10"/>
        <color rgb="FF555555"/>
        <rFont val="Arial"/>
        <family val="0"/>
        <charset val="1"/>
      </rPr>
      <t xml:space="preserve">#33</t>
    </r>
    <r>
      <rPr>
        <sz val="10"/>
        <color rgb="FF555555"/>
        <rFont val="Noto Sans CJK SC"/>
        <family val="2"/>
      </rPr>
      <t xml:space="preserve">、</t>
    </r>
    <r>
      <rPr>
        <sz val="10"/>
        <color rgb="FF555555"/>
        <rFont val="Arial"/>
        <family val="0"/>
        <charset val="1"/>
      </rPr>
      <t xml:space="preserve">#34 </t>
    </r>
    <r>
      <rPr>
        <sz val="10"/>
        <color rgb="FF555555"/>
        <rFont val="Noto Sans CJK SC"/>
        <family val="2"/>
      </rPr>
      <t xml:space="preserve">两车合在一行</t>
    </r>
  </si>
  <si>
    <t xml:space="preserve">总差额（系统−财务）</t>
  </si>
  <si>
    <t xml:space="preserve">差额拆解</t>
  </si>
  <si>
    <t xml:space="preserve">原因</t>
  </si>
  <si>
    <r>
      <rPr>
        <b val="true"/>
        <sz val="10"/>
        <color rgb="FFFFFFFF"/>
        <rFont val="Noto Sans CJK SC"/>
        <family val="2"/>
      </rPr>
      <t xml:space="preserve">金额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系统−财务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</si>
  <si>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涉及车数</t>
  </si>
  <si>
    <t xml:space="preserve">说明</t>
  </si>
  <si>
    <t xml:space="preserve">谁对？需要确认什么</t>
  </si>
  <si>
    <t xml:space="preserve">量补单价</t>
  </si>
  <si>
    <r>
      <rPr>
        <sz val="10"/>
        <rFont val="Arial"/>
        <family val="0"/>
        <charset val="1"/>
      </rPr>
      <t xml:space="preserve">8/26 </t>
    </r>
    <r>
      <rPr>
        <sz val="10"/>
        <rFont val="Noto Sans CJK SC"/>
        <family val="2"/>
      </rPr>
      <t xml:space="preserve">之后结算的车，系统量补按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吨（本期 </t>
    </r>
    <r>
      <rPr>
        <sz val="10"/>
        <rFont val="Arial"/>
        <family val="0"/>
        <charset val="1"/>
      </rPr>
      <t xml:space="preserve">8/26~9/25 </t>
    </r>
    <r>
      <rPr>
        <sz val="10"/>
        <rFont val="Noto Sans CJK SC"/>
        <family val="2"/>
      </rPr>
      <t xml:space="preserve">累计已过档），财务在「林凯」表 </t>
    </r>
    <r>
      <rPr>
        <sz val="10"/>
        <rFont val="Arial"/>
        <family val="0"/>
        <charset val="1"/>
      </rPr>
      <t xml:space="preserve">8/26~9/01 </t>
    </r>
    <r>
      <rPr>
        <sz val="10"/>
        <rFont val="Noto Sans CJK SC"/>
        <family val="2"/>
      </rPr>
      <t xml:space="preserve">的车、「邓晶焱」</t>
    </r>
    <r>
      <rPr>
        <sz val="10"/>
        <rFont val="Arial"/>
        <family val="0"/>
        <charset val="1"/>
      </rPr>
      <t xml:space="preserve">8/27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两车仍按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吨；但财务李涛 </t>
    </r>
    <r>
      <rPr>
        <sz val="10"/>
        <rFont val="Arial"/>
        <family val="0"/>
        <charset val="1"/>
      </rPr>
      <t xml:space="preserve">8/30</t>
    </r>
    <r>
      <rPr>
        <sz val="10"/>
        <rFont val="Noto Sans CJK SC"/>
        <family val="2"/>
      </rPr>
      <t xml:space="preserve">、高栾凤 </t>
    </r>
    <r>
      <rPr>
        <sz val="10"/>
        <rFont val="Arial"/>
        <family val="0"/>
        <charset val="1"/>
      </rPr>
      <t xml:space="preserve">8/28</t>
    </r>
    <r>
      <rPr>
        <sz val="10"/>
        <rFont val="Noto Sans CJK SC"/>
        <family val="2"/>
      </rPr>
      <t xml:space="preserve">、王荣胜 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又按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算，财务自己前后不一致</t>
    </r>
  </si>
  <si>
    <r>
      <rPr>
        <sz val="10"/>
        <rFont val="Noto Sans CJK SC"/>
        <family val="2"/>
      </rPr>
      <t xml:space="preserve">确认 </t>
    </r>
    <r>
      <rPr>
        <sz val="10"/>
        <rFont val="Arial"/>
        <family val="0"/>
        <charset val="1"/>
      </rPr>
      <t xml:space="preserve">8/26~9/05 </t>
    </r>
    <r>
      <rPr>
        <sz val="10"/>
        <rFont val="Noto Sans CJK SC"/>
        <family val="2"/>
      </rPr>
      <t xml:space="preserve">这段林凯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邓晶焱的车量补到底是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还是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。如果和林凯另有约定（例如这段量补只给到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），告诉我，系统可以按调货人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时段设</t>
    </r>
  </si>
  <si>
    <t xml:space="preserve">调货提成</t>
  </si>
  <si>
    <r>
      <rPr>
        <sz val="10"/>
        <rFont val="Noto Sans CJK SC"/>
        <family val="2"/>
      </rPr>
      <t xml:space="preserve">财务把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车记在林凯名下并扣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吨提成（</t>
    </r>
    <r>
      <rPr>
        <sz val="10"/>
        <rFont val="Arial"/>
        <family val="0"/>
        <charset val="1"/>
      </rPr>
      <t xml:space="preserve">8/21 </t>
    </r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M2A505</t>
    </r>
    <r>
      <rPr>
        <sz val="10"/>
        <rFont val="Noto Sans CJK SC"/>
        <family val="2"/>
      </rPr>
      <t xml:space="preserve">、苏</t>
    </r>
    <r>
      <rPr>
        <sz val="10"/>
        <rFont val="Arial"/>
        <family val="0"/>
        <charset val="1"/>
      </rPr>
      <t xml:space="preserve">EQB977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8/22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MAK862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8/26 </t>
    </r>
    <r>
      <rPr>
        <sz val="10"/>
        <rFont val="Noto Sans CJK SC"/>
        <family val="2"/>
      </rPr>
      <t xml:space="preserve">苏淮货</t>
    </r>
    <r>
      <rPr>
        <sz val="10"/>
        <rFont val="Arial"/>
        <family val="0"/>
        <charset val="1"/>
      </rPr>
      <t xml:space="preserve">16776 </t>
    </r>
    <r>
      <rPr>
        <sz val="10"/>
        <rFont val="Noto Sans CJK SC"/>
        <family val="2"/>
      </rPr>
      <t xml:space="preserve">船，</t>
    </r>
    <r>
      <rPr>
        <sz val="10"/>
        <rFont val="Arial"/>
        <family val="0"/>
        <charset val="1"/>
      </rPr>
      <t xml:space="preserve">8/30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DBE961</t>
    </r>
    <r>
      <rPr>
        <sz val="10"/>
        <rFont val="Noto Sans CJK SC"/>
        <family val="2"/>
      </rPr>
      <t xml:space="preserve">、苏</t>
    </r>
    <r>
      <rPr>
        <sz val="10"/>
        <rFont val="Arial"/>
        <family val="0"/>
        <charset val="1"/>
      </rPr>
      <t xml:space="preserve">DFB287</t>
    </r>
    <r>
      <rPr>
        <sz val="10"/>
        <rFont val="Noto Sans CJK SC"/>
        <family val="2"/>
      </rPr>
      <t xml:space="preserve">、冀</t>
    </r>
    <r>
      <rPr>
        <sz val="10"/>
        <rFont val="Arial"/>
        <family val="0"/>
        <charset val="1"/>
      </rPr>
      <t xml:space="preserve">A224E6</t>
    </r>
    <r>
      <rPr>
        <sz val="10"/>
        <rFont val="Noto Sans CJK SC"/>
        <family val="2"/>
      </rPr>
      <t xml:space="preserve">），系统这几车没填调货人（供货厂写的俊兴），没扣提成；另有合并行里的冀</t>
    </r>
    <r>
      <rPr>
        <sz val="10"/>
        <rFont val="Arial"/>
        <family val="0"/>
        <charset val="1"/>
      </rPr>
      <t xml:space="preserve">A224E6 20 </t>
    </r>
    <r>
      <rPr>
        <sz val="10"/>
        <rFont val="Noto Sans CJK SC"/>
        <family val="2"/>
      </rPr>
      <t xml:space="preserve">吨</t>
    </r>
  </si>
  <si>
    <r>
      <rPr>
        <sz val="10"/>
        <rFont val="Noto Sans CJK SC"/>
        <family val="2"/>
      </rPr>
      <t xml:space="preserve">确认这几车是不是林凯调的。是的话在系统里补上调货人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林凯，利润会减少这部分</t>
    </r>
  </si>
  <si>
    <t xml:space="preserve">票点系数</t>
  </si>
  <si>
    <r>
      <rPr>
        <sz val="10"/>
        <rFont val="Noto Sans CJK SC"/>
        <family val="2"/>
      </rPr>
      <t xml:space="preserve">煌烽票源的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车（苏兴达货</t>
    </r>
    <r>
      <rPr>
        <sz val="10"/>
        <rFont val="Arial"/>
        <family val="0"/>
        <charset val="1"/>
      </rPr>
      <t xml:space="preserve">8566</t>
    </r>
    <r>
      <rPr>
        <sz val="10"/>
        <rFont val="Noto Sans CJK SC"/>
        <family val="2"/>
      </rPr>
      <t xml:space="preserve">、皖四航</t>
    </r>
    <r>
      <rPr>
        <sz val="10"/>
        <rFont val="Arial"/>
        <family val="0"/>
        <charset val="1"/>
      </rPr>
      <t xml:space="preserve">6058 </t>
    </r>
    <r>
      <rPr>
        <sz val="10"/>
        <rFont val="Noto Sans CJK SC"/>
        <family val="2"/>
      </rPr>
      <t xml:space="preserve">两条船，邓晶焱 </t>
    </r>
    <r>
      <rPr>
        <sz val="10"/>
        <rFont val="Arial"/>
        <family val="0"/>
        <charset val="1"/>
      </rPr>
      <t xml:space="preserve">9/15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9/16</t>
    </r>
    <r>
      <rPr>
        <sz val="10"/>
        <rFont val="Noto Sans CJK SC"/>
        <family val="2"/>
      </rPr>
      <t xml:space="preserve">，高栾凤 </t>
    </r>
    <r>
      <rPr>
        <sz val="10"/>
        <rFont val="Arial"/>
        <family val="0"/>
        <charset val="1"/>
      </rPr>
      <t xml:space="preserve">9/15</t>
    </r>
    <r>
      <rPr>
        <sz val="10"/>
        <rFont val="Noto Sans CJK SC"/>
        <family val="2"/>
      </rPr>
      <t xml:space="preserve">），财务利润公式用 </t>
    </r>
    <r>
      <rPr>
        <sz val="10"/>
        <rFont val="Arial"/>
        <family val="0"/>
        <charset val="1"/>
      </rPr>
      <t xml:space="preserve">×0.865</t>
    </r>
    <r>
      <rPr>
        <sz val="10"/>
        <rFont val="Noto Sans CJK SC"/>
        <family val="2"/>
      </rPr>
      <t xml:space="preserve">（俊兴 </t>
    </r>
    <r>
      <rPr>
        <sz val="10"/>
        <rFont val="Arial"/>
        <family val="0"/>
        <charset val="1"/>
      </rPr>
      <t xml:space="preserve">13.5%</t>
    </r>
    <r>
      <rPr>
        <sz val="10"/>
        <rFont val="Noto Sans CJK SC"/>
        <family val="2"/>
      </rPr>
      <t xml:space="preserve">），而同一张表的“带票公司付”和「林凯」表的煌烽车都用 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（煌烽 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</si>
  <si>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大概率是财务公式没改：煌烽的车应该用 </t>
    </r>
    <r>
      <rPr>
        <sz val="10"/>
        <rFont val="Arial"/>
        <family val="0"/>
        <charset val="1"/>
      </rPr>
      <t xml:space="preserve">0.868</t>
    </r>
    <r>
      <rPr>
        <sz val="10"/>
        <rFont val="Noto Sans CJK SC"/>
        <family val="2"/>
      </rPr>
      <t xml:space="preserve">，系统是对的。请财务确认</t>
    </r>
  </si>
  <si>
    <t xml:space="preserve">给客户点位</t>
  </si>
  <si>
    <r>
      <rPr>
        <sz val="10"/>
        <rFont val="Noto Sans CJK SC"/>
        <family val="2"/>
      </rPr>
      <t xml:space="preserve">王荣胜 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4095 </t>
    </r>
    <r>
      <rPr>
        <sz val="10"/>
        <rFont val="Noto Sans CJK SC"/>
        <family val="2"/>
      </rPr>
      <t xml:space="preserve">船：财务实际付款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×0.862</t>
    </r>
    <r>
      <rPr>
        <sz val="10"/>
        <rFont val="Noto Sans CJK SC"/>
        <family val="2"/>
      </rPr>
      <t xml:space="preserve">（按 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），系统按统一 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</si>
  <si>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财务“实际付款金额”是真付出去的钱：如果这条船当时就是按 </t>
    </r>
    <r>
      <rPr>
        <sz val="10"/>
        <rFont val="Arial"/>
        <family val="0"/>
        <charset val="1"/>
      </rPr>
      <t xml:space="preserve">13.8% </t>
    </r>
    <r>
      <rPr>
        <sz val="10"/>
        <rFont val="Noto Sans CJK SC"/>
        <family val="2"/>
      </rPr>
      <t xml:space="preserve">付的，系统这车要把“给客户付”改成 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（车次详情里本车费率可改），利润会少 </t>
    </r>
    <r>
      <rPr>
        <sz val="10"/>
        <rFont val="Arial"/>
        <family val="0"/>
        <charset val="1"/>
      </rPr>
      <t xml:space="preserve">2,542.52</t>
    </r>
  </si>
  <si>
    <t xml:space="preserve">切割费</t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</si>
  <si>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车有切割费（苏</t>
    </r>
    <r>
      <rPr>
        <sz val="10"/>
        <rFont val="Arial"/>
        <family val="0"/>
        <charset val="1"/>
      </rPr>
      <t xml:space="preserve">BZP839 100</t>
    </r>
    <r>
      <rPr>
        <sz val="10"/>
        <rFont val="Noto Sans CJK SC"/>
        <family val="2"/>
      </rPr>
      <t xml:space="preserve">、苏</t>
    </r>
    <r>
      <rPr>
        <sz val="10"/>
        <rFont val="Arial"/>
        <family val="0"/>
        <charset val="1"/>
      </rPr>
      <t xml:space="preserve">GE2356 100</t>
    </r>
    <r>
      <rPr>
        <sz val="10"/>
        <rFont val="Noto Sans CJK SC"/>
        <family val="2"/>
      </rPr>
      <t xml:space="preserve">、苏</t>
    </r>
    <r>
      <rPr>
        <sz val="10"/>
        <rFont val="Arial"/>
        <family val="0"/>
        <charset val="1"/>
      </rPr>
      <t xml:space="preserve">NHY179 100</t>
    </r>
    <r>
      <rPr>
        <sz val="10"/>
        <rFont val="Noto Sans CJK SC"/>
        <family val="2"/>
      </rPr>
      <t xml:space="preserve">、苏</t>
    </r>
    <r>
      <rPr>
        <sz val="10"/>
        <rFont val="Arial"/>
        <family val="0"/>
        <charset val="1"/>
      </rPr>
      <t xml:space="preserve">DBE075(</t>
    </r>
    <r>
      <rPr>
        <sz val="10"/>
        <rFont val="Noto Sans CJK SC"/>
        <family val="2"/>
      </rPr>
      <t xml:space="preserve">鑫景通</t>
    </r>
    <r>
      <rPr>
        <sz val="10"/>
        <rFont val="Arial"/>
        <family val="0"/>
        <charset val="1"/>
      </rPr>
      <t xml:space="preserve">) 500</t>
    </r>
    <r>
      <rPr>
        <sz val="10"/>
        <rFont val="Noto Sans CJK SC"/>
        <family val="2"/>
      </rPr>
      <t xml:space="preserve">，合计 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；李涛皖</t>
    </r>
    <r>
      <rPr>
        <sz val="10"/>
        <rFont val="Arial"/>
        <family val="0"/>
        <charset val="1"/>
      </rPr>
      <t xml:space="preserve">LE9644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16310 </t>
    </r>
    <r>
      <rPr>
        <sz val="10"/>
        <rFont val="Noto Sans CJK SC"/>
        <family val="2"/>
      </rPr>
      <t xml:space="preserve">两边利润一致未计入）。两边的结算金额里都已经扣掉了切割费；系统又从利润里再减一次，财务没有</t>
    </r>
  </si>
  <si>
    <t xml:space="preserve">要定一个规则：钢厂从结算额里扣掉的切割费，是客户承担（按扣完的结算额给客户付，系统不应再扣）还是我们承担（系统现在的做法）。你定了我改规则</t>
  </si>
  <si>
    <t xml:space="preserve">路径不同</t>
  </si>
  <si>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车两边走的路径不一样：苏</t>
    </r>
    <r>
      <rPr>
        <sz val="10"/>
        <rFont val="Arial"/>
        <family val="0"/>
        <charset val="1"/>
      </rPr>
      <t xml:space="preserve">DBB772 8/27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9/14 </t>
    </r>
    <r>
      <rPr>
        <sz val="10"/>
        <rFont val="Noto Sans CJK SC"/>
        <family val="2"/>
      </rPr>
      <t xml:space="preserve">财务记君盛带票，系统是配票；苏</t>
    </r>
    <r>
      <rPr>
        <sz val="10"/>
        <rFont val="Arial"/>
        <family val="0"/>
        <charset val="1"/>
      </rPr>
      <t xml:space="preserve">DBB772 9/18 83.74 </t>
    </r>
    <r>
      <rPr>
        <sz val="10"/>
        <rFont val="Noto Sans CJK SC"/>
        <family val="2"/>
      </rPr>
      <t xml:space="preserve">吨财务记林凯配票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煌烽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，系统是君盛直签带票；鲁</t>
    </r>
    <r>
      <rPr>
        <sz val="10"/>
        <rFont val="Arial"/>
        <family val="0"/>
        <charset val="1"/>
      </rPr>
      <t xml:space="preserve">DC6106 9/14 </t>
    </r>
    <r>
      <rPr>
        <sz val="10"/>
        <rFont val="Noto Sans CJK SC"/>
        <family val="2"/>
      </rPr>
      <t xml:space="preserve">财务记高栾凤配票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煌烽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，系统是户头通道且固化快照里服务费异常</t>
    </r>
    <r>
      <rPr>
        <sz val="10"/>
        <rFont val="Arial"/>
        <family val="0"/>
        <charset val="1"/>
      </rPr>
      <t xml:space="preserve">(18.56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</si>
  <si>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逐车确认这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车实际怎么走的，改系统里的链条规则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票源；鲁</t>
    </r>
    <r>
      <rPr>
        <sz val="10"/>
        <rFont val="Arial"/>
        <family val="0"/>
        <charset val="1"/>
      </rPr>
      <t xml:space="preserve">DC6106 </t>
    </r>
    <r>
      <rPr>
        <sz val="10"/>
        <rFont val="Noto Sans CJK SC"/>
        <family val="2"/>
      </rPr>
      <t xml:space="preserve">建议解除固化重算</t>
    </r>
  </si>
  <si>
    <t xml:space="preserve">取整</t>
  </si>
  <si>
    <r>
      <rPr>
        <sz val="10"/>
        <rFont val="Noto Sans CJK SC"/>
        <family val="2"/>
      </rPr>
      <t xml:space="preserve">财务“实际付款金额”用 </t>
    </r>
    <r>
      <rPr>
        <sz val="10"/>
        <rFont val="Arial"/>
        <family val="0"/>
        <charset val="1"/>
      </rPr>
      <t xml:space="preserve">INT() </t>
    </r>
    <r>
      <rPr>
        <sz val="10"/>
        <rFont val="Noto Sans CJK SC"/>
        <family val="2"/>
      </rPr>
      <t xml:space="preserve">向下取整，每车差几毛钱；另含 </t>
    </r>
    <r>
      <rPr>
        <sz val="10"/>
        <rFont val="Arial"/>
        <family val="0"/>
        <charset val="1"/>
      </rPr>
      <t xml:space="preserve">#86 </t>
    </r>
    <r>
      <rPr>
        <sz val="10"/>
        <rFont val="Noto Sans CJK SC"/>
        <family val="2"/>
      </rPr>
      <t xml:space="preserve">吨位差 </t>
    </r>
    <r>
      <rPr>
        <sz val="10"/>
        <rFont val="Arial"/>
        <family val="0"/>
        <charset val="1"/>
      </rPr>
      <t xml:space="preserve">0.18 </t>
    </r>
    <r>
      <rPr>
        <sz val="10"/>
        <rFont val="Noto Sans CJK SC"/>
        <family val="2"/>
      </rPr>
      <t xml:space="preserve">吨的影响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)</t>
    </r>
  </si>
  <si>
    <t xml:space="preserve">不用处理</t>
  </si>
  <si>
    <r>
      <rPr>
        <sz val="10"/>
        <rFont val="Noto Sans CJK SC"/>
        <family val="2"/>
      </rPr>
      <t xml:space="preserve">系统没有的车（闫东鹏 </t>
    </r>
    <r>
      <rPr>
        <sz val="10"/>
        <rFont val="Arial"/>
        <family val="0"/>
        <charset val="1"/>
      </rPr>
      <t xml:space="preserve">9/21 27.98</t>
    </r>
    <r>
      <rPr>
        <sz val="10"/>
        <rFont val="Noto Sans CJK SC"/>
        <family val="2"/>
      </rPr>
      <t xml:space="preserve">吨）</t>
    </r>
  </si>
  <si>
    <r>
      <rPr>
        <sz val="10"/>
        <rFont val="Noto Sans CJK SC"/>
        <family val="2"/>
      </rPr>
      <t xml:space="preserve">财务有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闫东鹏反向一车（</t>
    </r>
    <r>
      <rPr>
        <sz val="10"/>
        <rFont val="Arial"/>
        <family val="0"/>
        <charset val="1"/>
      </rPr>
      <t xml:space="preserve">70,229.80 </t>
    </r>
    <r>
      <rPr>
        <sz val="10"/>
        <rFont val="Noto Sans CJK SC"/>
        <family val="2"/>
      </rPr>
      <t xml:space="preserve">元，利润 </t>
    </r>
    <r>
      <rPr>
        <sz val="10"/>
        <rFont val="Arial"/>
        <family val="0"/>
        <charset val="1"/>
      </rPr>
      <t xml:space="preserve">840.59</t>
    </r>
    <r>
      <rPr>
        <sz val="10"/>
        <rFont val="Noto Sans CJK SC"/>
        <family val="2"/>
      </rPr>
      <t xml:space="preserve">），系统还没录</t>
    </r>
  </si>
  <si>
    <t xml:space="preserve">补录到系统</t>
  </si>
  <si>
    <t xml:space="preserve">合计</t>
  </si>
  <si>
    <t xml:space="preserve">应等于上面的总差额</t>
  </si>
  <si>
    <t xml:space="preserve">不影响利润、但需要统一的记录差异</t>
  </si>
  <si>
    <t xml:space="preserve">类型</t>
  </si>
  <si>
    <t xml:space="preserve">内容</t>
  </si>
  <si>
    <t xml:space="preserve">建议</t>
  </si>
  <si>
    <t xml:space="preserve">车次合并</t>
  </si>
  <si>
    <r>
      <rPr>
        <sz val="10"/>
        <rFont val="Noto Sans CJK SC"/>
        <family val="2"/>
      </rPr>
      <t xml:space="preserve">财务 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林凯 </t>
    </r>
    <r>
      <rPr>
        <sz val="10"/>
        <rFont val="Arial"/>
        <family val="0"/>
        <charset val="1"/>
      </rPr>
      <t xml:space="preserve">99.68 </t>
    </r>
    <r>
      <rPr>
        <sz val="10"/>
        <rFont val="Noto Sans CJK SC"/>
        <family val="2"/>
      </rPr>
      <t xml:space="preserve">吨一行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系统 苏</t>
    </r>
    <r>
      <rPr>
        <sz val="10"/>
        <rFont val="Arial"/>
        <family val="0"/>
        <charset val="1"/>
      </rPr>
      <t xml:space="preserve">DBE075 79.68 </t>
    </r>
    <r>
      <rPr>
        <sz val="10"/>
        <rFont val="Noto Sans CJK SC"/>
        <family val="2"/>
      </rPr>
      <t xml:space="preserve">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 20 </t>
    </r>
    <r>
      <rPr>
        <sz val="10"/>
        <rFont val="Noto Sans CJK SC"/>
        <family val="2"/>
      </rPr>
      <t xml:space="preserve">吨两车</t>
    </r>
  </si>
  <si>
    <t xml:space="preserve">以系统两车为准，财务可拆开</t>
  </si>
  <si>
    <t xml:space="preserve">吨位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</si>
  <si>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力拓 </t>
    </r>
    <r>
      <rPr>
        <sz val="10"/>
        <rFont val="Arial"/>
        <family val="0"/>
        <charset val="1"/>
      </rPr>
      <t xml:space="preserve">9/17</t>
    </r>
    <r>
      <rPr>
        <sz val="10"/>
        <rFont val="Noto Sans CJK SC"/>
        <family val="2"/>
      </rPr>
      <t xml:space="preserve">：财务 </t>
    </r>
    <r>
      <rPr>
        <sz val="10"/>
        <rFont val="Arial"/>
        <family val="0"/>
        <charset val="1"/>
      </rPr>
      <t xml:space="preserve">29.97 </t>
    </r>
    <r>
      <rPr>
        <sz val="10"/>
        <rFont val="Noto Sans CJK SC"/>
        <family val="2"/>
      </rPr>
      <t xml:space="preserve">吨，系统 </t>
    </r>
    <r>
      <rPr>
        <sz val="10"/>
        <rFont val="Arial"/>
        <family val="0"/>
        <charset val="1"/>
      </rPr>
      <t xml:space="preserve">29.79 </t>
    </r>
    <r>
      <rPr>
        <sz val="10"/>
        <rFont val="Noto Sans CJK SC"/>
        <family val="2"/>
      </rPr>
      <t xml:space="preserve">吨（金额都是 </t>
    </r>
    <r>
      <rPr>
        <sz val="10"/>
        <rFont val="Arial"/>
        <family val="0"/>
        <charset val="1"/>
      </rPr>
      <t xml:space="preserve">68,576.58</t>
    </r>
    <r>
      <rPr>
        <sz val="10"/>
        <rFont val="Noto Sans CJK SC"/>
        <family val="2"/>
      </rPr>
      <t xml:space="preserve">）</t>
    </r>
  </si>
  <si>
    <t xml:space="preserve">看结算单确认</t>
  </si>
  <si>
    <t xml:space="preserve">应收金额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</si>
  <si>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鑫景通 </t>
    </r>
    <r>
      <rPr>
        <sz val="10"/>
        <rFont val="Arial"/>
        <family val="0"/>
        <charset val="1"/>
      </rPr>
      <t xml:space="preserve">9/15</t>
    </r>
    <r>
      <rPr>
        <sz val="10"/>
        <rFont val="Noto Sans CJK SC"/>
        <family val="2"/>
      </rPr>
      <t xml:space="preserve">：财务应收写死 </t>
    </r>
    <r>
      <rPr>
        <sz val="10"/>
        <rFont val="Arial"/>
        <family val="0"/>
        <charset val="1"/>
      </rPr>
      <t xml:space="preserve">200,063.80</t>
    </r>
    <r>
      <rPr>
        <sz val="10"/>
        <rFont val="Noto Sans CJK SC"/>
        <family val="2"/>
      </rPr>
      <t xml:space="preserve">，按 </t>
    </r>
    <r>
      <rPr>
        <sz val="10"/>
        <rFont val="Arial"/>
        <family val="0"/>
        <charset val="1"/>
      </rPr>
      <t xml:space="preserve">71.5×2370 </t>
    </r>
    <r>
      <rPr>
        <sz val="10"/>
        <rFont val="Noto Sans CJK SC"/>
        <family val="2"/>
      </rPr>
      <t xml:space="preserve">应为 </t>
    </r>
    <r>
      <rPr>
        <sz val="10"/>
        <rFont val="Arial"/>
        <family val="0"/>
        <charset val="1"/>
      </rPr>
      <t xml:space="preserve">169,455.00</t>
    </r>
    <r>
      <rPr>
        <sz val="10"/>
        <rFont val="Noto Sans CJK SC"/>
        <family val="2"/>
      </rPr>
      <t xml:space="preserve">（系统）</t>
    </r>
  </si>
  <si>
    <t xml:space="preserve">财务改</t>
  </si>
  <si>
    <t xml:space="preserve">供货厂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</si>
  <si>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 9/10</t>
    </r>
    <r>
      <rPr>
        <sz val="10"/>
        <rFont val="Noto Sans CJK SC"/>
        <family val="2"/>
      </rPr>
      <t xml:space="preserve">、苏</t>
    </r>
    <r>
      <rPr>
        <sz val="10"/>
        <rFont val="Arial"/>
        <family val="0"/>
        <charset val="1"/>
      </rPr>
      <t xml:space="preserve">DBB772 9/11</t>
    </r>
    <r>
      <rPr>
        <sz val="10"/>
        <rFont val="Noto Sans CJK SC"/>
        <family val="2"/>
      </rPr>
      <t xml:space="preserve">：财务记力拓，系统记君盛；林凯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力拓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同上；苏</t>
    </r>
    <r>
      <rPr>
        <sz val="10"/>
        <rFont val="Arial"/>
        <family val="0"/>
        <charset val="1"/>
      </rPr>
      <t xml:space="preserve">DBB772 9/14 </t>
    </r>
    <r>
      <rPr>
        <sz val="10"/>
        <rFont val="Noto Sans CJK SC"/>
        <family val="2"/>
      </rPr>
      <t xml:space="preserve">系统供货厂写的林凯</t>
    </r>
  </si>
  <si>
    <t xml:space="preserve">看结算单确认后改系统</t>
  </si>
  <si>
    <r>
      <rPr>
        <sz val="10"/>
        <rFont val="Noto Sans CJK SC"/>
        <family val="2"/>
      </rPr>
      <t xml:space="preserve">调货人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货主</t>
    </r>
  </si>
  <si>
    <r>
      <rPr>
        <sz val="10"/>
        <rFont val="Noto Sans CJK SC"/>
        <family val="2"/>
      </rPr>
      <t xml:space="preserve">财务按人分表：高栾凤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车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、王荣胜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、尹鹏飞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、邓晶焱 </t>
    </r>
    <r>
      <rPr>
        <sz val="10"/>
        <rFont val="Arial"/>
        <family val="0"/>
        <charset val="1"/>
      </rPr>
      <t xml:space="preserve">9/15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9/16 </t>
    </r>
    <r>
      <rPr>
        <sz val="10"/>
        <rFont val="Noto Sans CJK SC"/>
        <family val="2"/>
      </rPr>
      <t xml:space="preserve">等；系统里这些车多数没填调货人、供货厂写的“俊兴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邓晶焱”</t>
    </r>
  </si>
  <si>
    <t xml:space="preserve">确认后补调货人，调货人统计才准</t>
  </si>
  <si>
    <t xml:space="preserve">票源</t>
  </si>
  <si>
    <r>
      <rPr>
        <sz val="10"/>
        <rFont val="Noto Sans CJK SC"/>
        <family val="2"/>
      </rPr>
      <t xml:space="preserve">林凯 </t>
    </r>
    <r>
      <rPr>
        <sz val="10"/>
        <rFont val="Arial"/>
        <family val="0"/>
        <charset val="1"/>
      </rPr>
      <t xml:space="preserve">8/31~9/06</t>
    </r>
    <r>
      <rPr>
        <sz val="10"/>
        <rFont val="Noto Sans CJK SC"/>
        <family val="2"/>
      </rPr>
      <t xml:space="preserve">、李涛 </t>
    </r>
    <r>
      <rPr>
        <sz val="10"/>
        <rFont val="Arial"/>
        <family val="0"/>
        <charset val="1"/>
      </rPr>
      <t xml:space="preserve">9/04 </t>
    </r>
    <r>
      <rPr>
        <sz val="10"/>
        <rFont val="Noto Sans CJK SC"/>
        <family val="2"/>
      </rPr>
      <t xml:space="preserve">两车：财务写俊兴，系统益周（利润口径一样，但系统对益周另算票差留存约 </t>
    </r>
    <r>
      <rPr>
        <sz val="10"/>
        <rFont val="Arial"/>
        <family val="0"/>
        <charset val="1"/>
      </rPr>
      <t xml:space="preserve">2.2 </t>
    </r>
    <r>
      <rPr>
        <sz val="10"/>
        <rFont val="Noto Sans CJK SC"/>
        <family val="2"/>
      </rPr>
      <t xml:space="preserve">万）；陈杰 </t>
    </r>
    <r>
      <rPr>
        <sz val="10"/>
        <rFont val="Arial"/>
        <family val="0"/>
        <charset val="1"/>
      </rPr>
      <t xml:space="preserve">9/04 </t>
    </r>
    <r>
      <rPr>
        <sz val="10"/>
        <rFont val="Noto Sans CJK SC"/>
        <family val="2"/>
      </rPr>
      <t xml:space="preserve">财务煌烽、系统益周；尹鹏飞 </t>
    </r>
    <r>
      <rPr>
        <sz val="10"/>
        <rFont val="Arial"/>
        <family val="0"/>
        <charset val="1"/>
      </rPr>
      <t xml:space="preserve">9/03 </t>
    </r>
    <r>
      <rPr>
        <sz val="10"/>
        <rFont val="Noto Sans CJK SC"/>
        <family val="2"/>
      </rPr>
      <t xml:space="preserve">船 财务益周、系统俊兴；邓晶焱 </t>
    </r>
    <r>
      <rPr>
        <sz val="10"/>
        <rFont val="Arial"/>
        <family val="0"/>
        <charset val="1"/>
      </rPr>
      <t xml:space="preserve">9/12 </t>
    </r>
    <r>
      <rPr>
        <sz val="10"/>
        <rFont val="Noto Sans CJK SC"/>
        <family val="2"/>
      </rPr>
      <t xml:space="preserve">财务煌烽、系统俊兴</t>
    </r>
  </si>
  <si>
    <t xml:space="preserve">以开票实际为准统一；票源决定额度占用和票差留存</t>
  </si>
  <si>
    <t xml:space="preserve">日期</t>
  </si>
  <si>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车日期差 </t>
    </r>
    <r>
      <rPr>
        <sz val="10"/>
        <rFont val="Arial"/>
        <family val="0"/>
        <charset val="1"/>
      </rPr>
      <t xml:space="preserve">1~2 </t>
    </r>
    <r>
      <rPr>
        <sz val="10"/>
        <rFont val="Noto Sans CJK SC"/>
        <family val="2"/>
      </rPr>
      <t xml:space="preserve">天，主要是船（财务像是结算单日期，系统是结算日期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过磅日期）</t>
    </r>
  </si>
  <si>
    <t xml:space="preserve">一般不影响；月底跨期的要注意</t>
  </si>
  <si>
    <t xml:space="preserve">链条名称</t>
  </si>
  <si>
    <r>
      <rPr>
        <sz val="10"/>
        <rFont val="Noto Sans CJK SC"/>
        <family val="2"/>
      </rPr>
      <t xml:space="preserve">闫东朋 </t>
    </r>
    <r>
      <rPr>
        <sz val="10"/>
        <rFont val="Arial"/>
        <family val="0"/>
        <charset val="1"/>
      </rPr>
      <t xml:space="preserve">9/14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J19371</t>
    </r>
    <r>
      <rPr>
        <sz val="10"/>
        <rFont val="Noto Sans CJK SC"/>
        <family val="2"/>
      </rPr>
      <t xml:space="preserve">：系统标“户头通道”，实际是反向（利润一样）</t>
    </r>
  </si>
  <si>
    <t xml:space="preserve">系统改成“反向”</t>
  </si>
  <si>
    <t xml:space="preserve">财务表</t>
  </si>
  <si>
    <t xml:space="preserve">行</t>
  </si>
  <si>
    <t xml:space="preserve">财务日期</t>
  </si>
  <si>
    <t xml:space="preserve">财务吨位</t>
  </si>
  <si>
    <t xml:space="preserve">财务应收金额</t>
  </si>
  <si>
    <t xml:space="preserve">财务路径</t>
  </si>
  <si>
    <t xml:space="preserve">财务票源</t>
  </si>
  <si>
    <t xml:space="preserve">财务利润</t>
  </si>
  <si>
    <t xml:space="preserve">系统车次</t>
  </si>
  <si>
    <t xml:space="preserve">车号</t>
  </si>
  <si>
    <t xml:space="preserve">系统结算日期</t>
  </si>
  <si>
    <t xml:space="preserve">系统吨位</t>
  </si>
  <si>
    <t xml:space="preserve">系统结算金额</t>
  </si>
  <si>
    <t xml:space="preserve">调货人：供货厂</t>
  </si>
  <si>
    <t xml:space="preserve">系统票源</t>
  </si>
  <si>
    <t xml:space="preserve">系统链条</t>
  </si>
  <si>
    <t xml:space="preserve">系统利润</t>
  </si>
  <si>
    <r>
      <rPr>
        <b val="true"/>
        <sz val="10"/>
        <color rgb="FFFFFFFF"/>
        <rFont val="Noto Sans CJK SC"/>
        <family val="2"/>
      </rPr>
      <t xml:space="preserve">差额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系统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财务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</si>
  <si>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差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量补单价</t>
    </r>
  </si>
  <si>
    <r>
      <rPr>
        <b val="true"/>
        <sz val="10"/>
        <color rgb="FFFFFFFF"/>
        <rFont val="Noto Sans CJK SC"/>
        <family val="2"/>
      </rPr>
      <t xml:space="preserve">差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调货提成</t>
    </r>
  </si>
  <si>
    <r>
      <rPr>
        <b val="true"/>
        <sz val="10"/>
        <color rgb="FFFFFFFF"/>
        <rFont val="Noto Sans CJK SC"/>
        <family val="2"/>
      </rPr>
      <t xml:space="preserve">差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票点系数</t>
    </r>
  </si>
  <si>
    <r>
      <rPr>
        <b val="true"/>
        <sz val="10"/>
        <color rgb="FFFFFFFF"/>
        <rFont val="Noto Sans CJK SC"/>
        <family val="2"/>
      </rPr>
      <t xml:space="preserve">差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给客户点位</t>
    </r>
  </si>
  <si>
    <r>
      <rPr>
        <b val="true"/>
        <sz val="10"/>
        <color rgb="FFFFFFFF"/>
        <rFont val="Noto Sans CJK SC"/>
        <family val="2"/>
      </rPr>
      <t xml:space="preserve">差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切割费</t>
    </r>
  </si>
  <si>
    <r>
      <rPr>
        <b val="true"/>
        <sz val="10"/>
        <color rgb="FFFFFFFF"/>
        <rFont val="Noto Sans CJK SC"/>
        <family val="2"/>
      </rPr>
      <t xml:space="preserve">差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路径不同</t>
    </r>
  </si>
  <si>
    <r>
      <rPr>
        <b val="true"/>
        <sz val="10"/>
        <color rgb="FFFFFFFF"/>
        <rFont val="Noto Sans CJK SC"/>
        <family val="2"/>
      </rPr>
      <t xml:space="preserve">差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取整</t>
    </r>
  </si>
  <si>
    <t xml:space="preserve">分项合计核对</t>
  </si>
  <si>
    <t xml:space="preserve">差异说明</t>
  </si>
  <si>
    <t xml:space="preserve">林凯</t>
  </si>
  <si>
    <t xml:space="preserve">2026-08-19</t>
  </si>
  <si>
    <t xml:space="preserve">配票</t>
  </si>
  <si>
    <t xml:space="preserve">俊兴</t>
  </si>
  <si>
    <t xml:space="preserve">#1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</si>
  <si>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DBB772</t>
    </r>
  </si>
  <si>
    <t xml:space="preserve">2026-08-20</t>
  </si>
  <si>
    <t xml:space="preserve">#2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</si>
  <si>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DFM060</t>
    </r>
  </si>
  <si>
    <t xml:space="preserve">2026-08-21</t>
  </si>
  <si>
    <t xml:space="preserve">#3</t>
  </si>
  <si>
    <t xml:space="preserve">#4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</si>
  <si>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M2A505</t>
    </r>
  </si>
  <si>
    <r>
      <rPr>
        <sz val="10"/>
        <rFont val="Noto Sans CJK SC"/>
        <family val="2"/>
      </rPr>
      <t xml:space="preserve">提成：财务扣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吨（算林凯的），系统没填调货人、没扣</t>
    </r>
  </si>
  <si>
    <t xml:space="preserve">#5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</si>
  <si>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EQB977</t>
    </r>
  </si>
  <si>
    <t xml:space="preserve">#6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</si>
  <si>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BUK952</t>
    </r>
  </si>
  <si>
    <t xml:space="preserve">2026-08-22</t>
  </si>
  <si>
    <t xml:space="preserve">#7</t>
  </si>
  <si>
    <t xml:space="preserve">#9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</si>
  <si>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MAK862</t>
    </r>
  </si>
  <si>
    <t xml:space="preserve">2026-08-25</t>
  </si>
  <si>
    <t xml:space="preserve">#10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</si>
  <si>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</t>
    </r>
  </si>
  <si>
    <t xml:space="preserve">2026-08-26</t>
  </si>
  <si>
    <t xml:space="preserve">#11</t>
  </si>
  <si>
    <r>
      <rPr>
        <sz val="10"/>
        <rFont val="Noto Sans CJK SC"/>
        <family val="2"/>
      </rPr>
      <t xml:space="preserve">苏淮货</t>
    </r>
    <r>
      <rPr>
        <sz val="10"/>
        <rFont val="Arial"/>
        <family val="0"/>
        <charset val="1"/>
      </rPr>
      <t xml:space="preserve">16776</t>
    </r>
  </si>
  <si>
    <t xml:space="preserve">2026-08-27</t>
  </si>
  <si>
    <r>
      <rPr>
        <sz val="10"/>
        <rFont val="Noto Sans CJK SC"/>
        <family val="2"/>
      </rPr>
      <t xml:space="preserve">量补：财务按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吨，系统按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吨；提成：财务扣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吨（算林凯的），系统没填调货人、没扣；日期：财务</t>
    </r>
    <r>
      <rPr>
        <sz val="10"/>
        <rFont val="Arial"/>
        <family val="0"/>
        <charset val="1"/>
      </rPr>
      <t xml:space="preserve">08-26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08-27</t>
    </r>
  </si>
  <si>
    <t xml:space="preserve">#12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</si>
  <si>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NEX375</t>
    </r>
  </si>
  <si>
    <r>
      <rPr>
        <sz val="10"/>
        <rFont val="Noto Sans CJK SC"/>
        <family val="2"/>
      </rPr>
      <t xml:space="preserve">量补：财务按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吨，系统按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</si>
  <si>
    <t xml:space="preserve">#13</t>
  </si>
  <si>
    <t xml:space="preserve">#15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</si>
  <si>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BDK567</t>
    </r>
  </si>
  <si>
    <t xml:space="preserve">#16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</si>
  <si>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BZP839</t>
    </r>
  </si>
  <si>
    <r>
      <rPr>
        <sz val="10"/>
        <rFont val="Noto Sans CJK SC"/>
        <family val="2"/>
      </rPr>
      <t xml:space="preserve">量补：财务按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吨，系统按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吨；切割费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元：两边结算额里都已扣掉；系统又从利润里再扣一次，财务没扣</t>
    </r>
  </si>
  <si>
    <t xml:space="preserve">#18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</si>
  <si>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ERS080</t>
    </r>
  </si>
  <si>
    <t xml:space="preserve">2026-08-28</t>
  </si>
  <si>
    <t xml:space="preserve">#22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</si>
  <si>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DFB287</t>
    </r>
  </si>
  <si>
    <t xml:space="preserve">#21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</si>
  <si>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DBX137</t>
    </r>
  </si>
  <si>
    <t xml:space="preserve">#20</t>
  </si>
  <si>
    <t xml:space="preserve">#23</t>
  </si>
  <si>
    <t xml:space="preserve">#24</t>
  </si>
  <si>
    <t xml:space="preserve">#26</t>
  </si>
  <si>
    <t xml:space="preserve">#25</t>
  </si>
  <si>
    <t xml:space="preserve">#28</t>
  </si>
  <si>
    <t xml:space="preserve">#30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</si>
  <si>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BWX568</t>
    </r>
  </si>
  <si>
    <t xml:space="preserve">#29</t>
  </si>
  <si>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</si>
  <si>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2026-08-29</t>
  </si>
  <si>
    <t xml:space="preserve">#31</t>
  </si>
  <si>
    <t xml:space="preserve">#32</t>
  </si>
  <si>
    <t xml:space="preserve">#33+#34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</si>
  <si>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 /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</si>
  <si>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r>
      <rPr>
        <sz val="10"/>
        <rFont val="Noto Sans CJK SC"/>
        <family val="2"/>
      </rPr>
      <t xml:space="preserve">林凯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俊兴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无调货人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</si>
  <si>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财务把两车合成一行</t>
    </r>
    <r>
      <rPr>
        <sz val="10"/>
        <rFont val="Arial"/>
        <family val="0"/>
        <charset val="1"/>
      </rPr>
      <t xml:space="preserve">(99.68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；系统分两车：苏</t>
    </r>
    <r>
      <rPr>
        <sz val="10"/>
        <rFont val="Arial"/>
        <family val="0"/>
        <charset val="1"/>
      </rPr>
      <t xml:space="preserve">DBE075 79.68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 20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没填调货人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。量补财务按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、系统按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；冀</t>
    </r>
    <r>
      <rPr>
        <sz val="10"/>
        <rFont val="Arial"/>
        <family val="0"/>
        <charset val="1"/>
      </rPr>
      <t xml:space="preserve">A224E6</t>
    </r>
    <r>
      <rPr>
        <sz val="10"/>
        <rFont val="Noto Sans CJK SC"/>
        <family val="2"/>
      </rPr>
      <t xml:space="preserve">财务扣了林凯提成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吨，系统没有调货人没扣</t>
    </r>
  </si>
  <si>
    <t xml:space="preserve">#36</t>
  </si>
  <si>
    <t xml:space="preserve">2026-08-30</t>
  </si>
  <si>
    <t xml:space="preserve">#44</t>
  </si>
  <si>
    <t xml:space="preserve">#43</t>
  </si>
  <si>
    <r>
      <rPr>
        <sz val="10"/>
        <rFont val="Noto Sans CJK SC"/>
        <family val="2"/>
      </rPr>
      <t xml:space="preserve">量补：财务按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吨，系统按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吨；提成：财务扣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吨（算林凯的），系统没填调货人、没扣</t>
    </r>
  </si>
  <si>
    <t xml:space="preserve">#42</t>
  </si>
  <si>
    <t xml:space="preserve">#41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</si>
  <si>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SB2849</t>
    </r>
  </si>
  <si>
    <t xml:space="preserve">#38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</si>
  <si>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DBE961</t>
    </r>
  </si>
  <si>
    <t xml:space="preserve">#39</t>
  </si>
  <si>
    <t xml:space="preserve">#37</t>
  </si>
  <si>
    <t xml:space="preserve">2026-08-31</t>
  </si>
  <si>
    <t xml:space="preserve">#45</t>
  </si>
  <si>
    <t xml:space="preserve">益周</t>
  </si>
  <si>
    <r>
      <rPr>
        <sz val="10"/>
        <rFont val="Noto Sans CJK SC"/>
        <family val="2"/>
      </rPr>
      <t xml:space="preserve">量补：财务按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吨，系统按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吨；票源：财务俊兴，系统益周（益周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俊兴主营利润口径相同，但系统对益周另算票差留存）</t>
    </r>
  </si>
  <si>
    <t xml:space="preserve">#46</t>
  </si>
  <si>
    <t xml:space="preserve">#47</t>
  </si>
  <si>
    <t xml:space="preserve">#48</t>
  </si>
  <si>
    <t xml:space="preserve">#49</t>
  </si>
  <si>
    <t xml:space="preserve">2026-09-01</t>
  </si>
  <si>
    <t xml:space="preserve">#50</t>
  </si>
  <si>
    <t xml:space="preserve">#51</t>
  </si>
  <si>
    <t xml:space="preserve">#52</t>
  </si>
  <si>
    <t xml:space="preserve">#53</t>
  </si>
  <si>
    <t xml:space="preserve">2026-09-06</t>
  </si>
  <si>
    <t xml:space="preserve">#61</t>
  </si>
  <si>
    <r>
      <rPr>
        <sz val="10"/>
        <rFont val="Noto Sans CJK SC"/>
        <family val="2"/>
      </rPr>
      <t xml:space="preserve">皖城兴货</t>
    </r>
    <r>
      <rPr>
        <sz val="10"/>
        <rFont val="Arial"/>
        <family val="0"/>
        <charset val="1"/>
      </rPr>
      <t xml:space="preserve">688</t>
    </r>
  </si>
  <si>
    <t xml:space="preserve">2026-09-05</t>
  </si>
  <si>
    <r>
      <rPr>
        <sz val="10"/>
        <rFont val="Noto Sans CJK SC"/>
        <family val="2"/>
      </rPr>
      <t xml:space="preserve">票源：财务俊兴，系统益周（益周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俊兴主营利润口径相同，但系统对益周另算票差留存）；日期：财务</t>
    </r>
    <r>
      <rPr>
        <sz val="10"/>
        <rFont val="Arial"/>
        <family val="0"/>
        <charset val="1"/>
      </rPr>
      <t xml:space="preserve">09-06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09-05</t>
    </r>
  </si>
  <si>
    <t xml:space="preserve">2026-09-08</t>
  </si>
  <si>
    <t xml:space="preserve">煌烽</t>
  </si>
  <si>
    <t xml:space="preserve">#62</t>
  </si>
  <si>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1567</t>
    </r>
  </si>
  <si>
    <t xml:space="preserve">2026-09-07</t>
  </si>
  <si>
    <r>
      <rPr>
        <sz val="10"/>
        <rFont val="Noto Sans CJK SC"/>
        <family val="2"/>
      </rPr>
      <t xml:space="preserve">日期：财务</t>
    </r>
    <r>
      <rPr>
        <sz val="10"/>
        <rFont val="Arial"/>
        <family val="0"/>
        <charset val="1"/>
      </rPr>
      <t xml:space="preserve">09-08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09-07</t>
    </r>
  </si>
  <si>
    <t xml:space="preserve">2026-09-18</t>
  </si>
  <si>
    <t xml:space="preserve">#89</t>
  </si>
  <si>
    <t xml:space="preserve">林凯：君盛</t>
  </si>
  <si>
    <t xml:space="preserve">自带票</t>
  </si>
  <si>
    <t xml:space="preserve">直签带票</t>
  </si>
  <si>
    <r>
      <rPr>
        <sz val="10"/>
        <rFont val="Noto Sans CJK SC"/>
        <family val="2"/>
      </rPr>
      <t xml:space="preserve">财务记在林凯配票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煌烽票源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；系统是君盛直签带票</t>
    </r>
  </si>
  <si>
    <t xml:space="preserve">#90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</si>
  <si>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NEN536</t>
    </r>
  </si>
  <si>
    <t xml:space="preserve">2026-09-19</t>
  </si>
  <si>
    <t xml:space="preserve">#95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</si>
  <si>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GE2356</t>
    </r>
  </si>
  <si>
    <r>
      <rPr>
        <sz val="10"/>
        <rFont val="Noto Sans CJK SC"/>
        <family val="2"/>
      </rPr>
      <t xml:space="preserve">切割费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元：两边结算额里都已扣掉；系统又从利润里再扣一次，财务没扣</t>
    </r>
  </si>
  <si>
    <t xml:space="preserve">#96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</si>
  <si>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NHY179</t>
    </r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</si>
  <si>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鑫景通</t>
    </r>
  </si>
  <si>
    <t xml:space="preserve">2026-09-12</t>
  </si>
  <si>
    <t xml:space="preserve">带票</t>
  </si>
  <si>
    <t xml:space="preserve">#66</t>
  </si>
  <si>
    <t xml:space="preserve">林凯：𠓾景通</t>
  </si>
  <si>
    <t xml:space="preserve">户头通道</t>
  </si>
  <si>
    <r>
      <rPr>
        <sz val="10"/>
        <rFont val="Noto Sans CJK SC"/>
        <family val="2"/>
      </rPr>
      <t xml:space="preserve">切割费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元：两边结算额里都已扣掉；系统又从利润里再扣一次，财务没扣</t>
    </r>
  </si>
  <si>
    <t xml:space="preserve">2026-09-15</t>
  </si>
  <si>
    <t xml:space="preserve">#78</t>
  </si>
  <si>
    <r>
      <rPr>
        <sz val="10"/>
        <rFont val="Noto Sans CJK SC"/>
        <family val="2"/>
      </rPr>
      <t xml:space="preserve">金额：财务应收写死</t>
    </r>
    <r>
      <rPr>
        <sz val="10"/>
        <rFont val="Arial"/>
        <family val="0"/>
        <charset val="1"/>
      </rPr>
      <t xml:space="preserve">200063.8</t>
    </r>
    <r>
      <rPr>
        <sz val="10"/>
        <rFont val="Noto Sans CJK SC"/>
        <family val="2"/>
      </rPr>
      <t xml:space="preserve">，按</t>
    </r>
    <r>
      <rPr>
        <sz val="10"/>
        <rFont val="Arial"/>
        <family val="0"/>
        <charset val="1"/>
      </rPr>
      <t xml:space="preserve">71.5×2370</t>
    </r>
    <r>
      <rPr>
        <sz val="10"/>
        <rFont val="Noto Sans CJK SC"/>
        <family val="2"/>
      </rPr>
      <t xml:space="preserve">应为</t>
    </r>
    <r>
      <rPr>
        <sz val="10"/>
        <rFont val="Arial"/>
        <family val="0"/>
        <charset val="1"/>
      </rPr>
      <t xml:space="preserve">169455</t>
    </r>
    <r>
      <rPr>
        <sz val="10"/>
        <rFont val="Noto Sans CJK SC"/>
        <family val="2"/>
      </rPr>
      <t xml:space="preserve">（系统）；利润公式与金额无关所以利润一致，但财务应收金额多记</t>
    </r>
    <r>
      <rPr>
        <sz val="10"/>
        <rFont val="Arial"/>
        <family val="0"/>
        <charset val="1"/>
      </rPr>
      <t xml:space="preserve">30608.8</t>
    </r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</si>
  <si>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</t>
    </r>
  </si>
  <si>
    <t xml:space="preserve">#14</t>
  </si>
  <si>
    <r>
      <rPr>
        <sz val="10"/>
        <rFont val="Noto Sans CJK SC"/>
        <family val="2"/>
      </rPr>
      <t xml:space="preserve">财务记在“林凯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君盛”带票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服务费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；系统是配票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俊兴票源</t>
    </r>
  </si>
  <si>
    <t xml:space="preserve">#68</t>
  </si>
  <si>
    <t xml:space="preserve">2026-09-14</t>
  </si>
  <si>
    <t xml:space="preserve">#69</t>
  </si>
  <si>
    <r>
      <rPr>
        <sz val="10"/>
        <rFont val="Noto Sans CJK SC"/>
        <family val="2"/>
      </rPr>
      <t xml:space="preserve">财务记在“林凯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君盛”带票；系统是配票、供货厂写的林凯</t>
    </r>
  </si>
  <si>
    <t xml:space="preserve">#79</t>
  </si>
  <si>
    <t xml:space="preserve">#74</t>
  </si>
  <si>
    <t xml:space="preserve">2026-09-17</t>
  </si>
  <si>
    <t xml:space="preserve">#87</t>
  </si>
  <si>
    <t xml:space="preserve">#91</t>
  </si>
  <si>
    <t xml:space="preserve">#92</t>
  </si>
  <si>
    <t xml:space="preserve">2026-09-20</t>
  </si>
  <si>
    <t xml:space="preserve">#98</t>
  </si>
  <si>
    <t xml:space="preserve">#99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</si>
  <si>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力拓</t>
    </r>
  </si>
  <si>
    <t xml:space="preserve">2026-09-10</t>
  </si>
  <si>
    <t xml:space="preserve">#63</t>
  </si>
  <si>
    <t xml:space="preserve">供货厂：财务力拓，系统君盛</t>
  </si>
  <si>
    <t xml:space="preserve">2026-09-11</t>
  </si>
  <si>
    <t xml:space="preserve">#64</t>
  </si>
  <si>
    <t xml:space="preserve">#65</t>
  </si>
  <si>
    <t xml:space="preserve">林凯：力拓</t>
  </si>
  <si>
    <r>
      <rPr>
        <sz val="10"/>
        <rFont val="Noto Sans CJK SC"/>
        <family val="2"/>
      </rPr>
      <t xml:space="preserve">日期：财务</t>
    </r>
    <r>
      <rPr>
        <sz val="10"/>
        <rFont val="Arial"/>
        <family val="0"/>
        <charset val="1"/>
      </rPr>
      <t xml:space="preserve">09-11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09-12</t>
    </r>
  </si>
  <si>
    <t xml:space="preserve">#70</t>
  </si>
  <si>
    <t xml:space="preserve">#86</t>
  </si>
  <si>
    <r>
      <rPr>
        <sz val="10"/>
        <rFont val="Noto Sans CJK SC"/>
        <family val="2"/>
      </rPr>
      <t xml:space="preserve">吨位：财务</t>
    </r>
    <r>
      <rPr>
        <sz val="10"/>
        <rFont val="Arial"/>
        <family val="0"/>
        <charset val="1"/>
      </rPr>
      <t xml:space="preserve">29.97</t>
    </r>
    <r>
      <rPr>
        <sz val="10"/>
        <rFont val="Noto Sans CJK SC"/>
        <family val="2"/>
      </rPr>
      <t xml:space="preserve">，系统</t>
    </r>
    <r>
      <rPr>
        <sz val="10"/>
        <rFont val="Arial"/>
        <family val="0"/>
        <charset val="1"/>
      </rPr>
      <t xml:space="preserve">29.79</t>
    </r>
    <r>
      <rPr>
        <sz val="10"/>
        <rFont val="Noto Sans CJK SC"/>
        <family val="2"/>
      </rPr>
      <t xml:space="preserve">（金额一样</t>
    </r>
    <r>
      <rPr>
        <sz val="10"/>
        <rFont val="Arial"/>
        <family val="0"/>
        <charset val="1"/>
      </rPr>
      <t xml:space="preserve">68576.58</t>
    </r>
    <r>
      <rPr>
        <sz val="10"/>
        <rFont val="Noto Sans CJK SC"/>
        <family val="2"/>
      </rPr>
      <t xml:space="preserve">）；供货厂财务力拓、系统君盛</t>
    </r>
  </si>
  <si>
    <t xml:space="preserve">#83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</si>
  <si>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兴德</t>
    </r>
  </si>
  <si>
    <t xml:space="preserve">#97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</si>
  <si>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SG1498</t>
    </r>
  </si>
  <si>
    <t xml:space="preserve">林凯：兴德</t>
  </si>
  <si>
    <t xml:space="preserve">#100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</si>
  <si>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BYR535</t>
    </r>
  </si>
  <si>
    <t xml:space="preserve">#101</t>
  </si>
  <si>
    <t xml:space="preserve">#102</t>
  </si>
  <si>
    <t xml:space="preserve">李涛</t>
  </si>
  <si>
    <t xml:space="preserve">#40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</si>
  <si>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BTQ938</t>
    </r>
  </si>
  <si>
    <t xml:space="preserve">2026-09-03</t>
  </si>
  <si>
    <t xml:space="preserve">#56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</si>
  <si>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NER821</t>
    </r>
  </si>
  <si>
    <t xml:space="preserve">2026-09-04</t>
  </si>
  <si>
    <t xml:space="preserve">#58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</si>
  <si>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SG1123</t>
    </r>
  </si>
  <si>
    <r>
      <rPr>
        <sz val="10"/>
        <rFont val="Noto Sans CJK SC"/>
        <family val="2"/>
      </rPr>
      <t xml:space="preserve">票源：财务俊兴，系统益周（益周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俊兴主营利润口径相同，但系统对益周另算票差留存）</t>
    </r>
  </si>
  <si>
    <t xml:space="preserve">#59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</si>
  <si>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LE9644</t>
    </r>
  </si>
  <si>
    <r>
      <rPr>
        <sz val="10"/>
        <rFont val="Noto Sans CJK SC"/>
        <family val="2"/>
      </rPr>
      <t xml:space="preserve">结算额里扣了</t>
    </r>
    <r>
      <rPr>
        <sz val="10"/>
        <rFont val="Arial"/>
        <family val="0"/>
        <charset val="1"/>
      </rPr>
      <t xml:space="preserve">16310</t>
    </r>
    <r>
      <rPr>
        <sz val="10"/>
        <rFont val="Noto Sans CJK SC"/>
        <family val="2"/>
      </rPr>
      <t xml:space="preserve">元（两边一致），系统把它记在切割费字段，但固化利润没再扣，所以利润一致；票源：财务俊兴，系统益周（益周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俊兴主营利润口径相同，但系统对益周另算票差留存）</t>
    </r>
  </si>
  <si>
    <t xml:space="preserve">邓晶焱</t>
  </si>
  <si>
    <t xml:space="preserve">#8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</si>
  <si>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E9W908</t>
    </r>
  </si>
  <si>
    <t xml:space="preserve">#17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</si>
  <si>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NEV615</t>
    </r>
  </si>
  <si>
    <t xml:space="preserve">#35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</si>
  <si>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AE8896</t>
    </r>
  </si>
  <si>
    <t xml:space="preserve">#67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</si>
  <si>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F30399</t>
    </r>
  </si>
  <si>
    <r>
      <rPr>
        <sz val="10"/>
        <rFont val="Noto Sans CJK SC"/>
        <family val="2"/>
      </rPr>
      <t xml:space="preserve">票源：财务煌烽，系统俊兴（若实为煌烽，系统利润约</t>
    </r>
    <r>
      <rPr>
        <sz val="10"/>
        <rFont val="Arial"/>
        <family val="0"/>
        <charset val="1"/>
      </rPr>
      <t xml:space="preserve">+279</t>
    </r>
    <r>
      <rPr>
        <sz val="10"/>
        <rFont val="Noto Sans CJK SC"/>
        <family val="2"/>
      </rPr>
      <t xml:space="preserve">元）</t>
    </r>
  </si>
  <si>
    <t xml:space="preserve">#73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</si>
  <si>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ELU629</t>
    </r>
  </si>
  <si>
    <r>
      <rPr>
        <sz val="10"/>
        <rFont val="Noto Sans CJK SC"/>
        <family val="2"/>
      </rPr>
      <t xml:space="preserve">票点：票源煌烽，财务利润公式用</t>
    </r>
    <r>
      <rPr>
        <sz val="10"/>
        <rFont val="Arial"/>
        <family val="0"/>
        <charset val="1"/>
      </rPr>
      <t xml:space="preserve">×0.865</t>
    </r>
    <r>
      <rPr>
        <sz val="10"/>
        <rFont val="Noto Sans CJK SC"/>
        <family val="2"/>
      </rPr>
      <t xml:space="preserve">（俊兴</t>
    </r>
    <r>
      <rPr>
        <sz val="10"/>
        <rFont val="Arial"/>
        <family val="0"/>
        <charset val="1"/>
      </rPr>
      <t xml:space="preserve">13.5%</t>
    </r>
    <r>
      <rPr>
        <sz val="10"/>
        <rFont val="Noto Sans CJK SC"/>
        <family val="2"/>
      </rPr>
      <t xml:space="preserve">的口径），系统用煌烽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），财务本表“带票公司付”列自己也是</t>
    </r>
    <r>
      <rPr>
        <sz val="10"/>
        <rFont val="Arial"/>
        <family val="0"/>
        <charset val="1"/>
      </rPr>
      <t xml:space="preserve">×0.868</t>
    </r>
  </si>
  <si>
    <t xml:space="preserve">2026-09-16</t>
  </si>
  <si>
    <t xml:space="preserve">#82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</si>
  <si>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AK6033</t>
    </r>
  </si>
  <si>
    <t xml:space="preserve">高栾凤</t>
  </si>
  <si>
    <t xml:space="preserve">#27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</si>
  <si>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KQ1052</t>
    </r>
  </si>
  <si>
    <t xml:space="preserve">#71</t>
  </si>
  <si>
    <r>
      <rPr>
        <sz val="10"/>
        <rFont val="Noto Sans CJK SC"/>
        <family val="2"/>
      </rPr>
      <t xml:space="preserve">鲁</t>
    </r>
    <r>
      <rPr>
        <sz val="10"/>
        <rFont val="Arial"/>
        <family val="0"/>
        <charset val="1"/>
      </rPr>
      <t xml:space="preserve">DC6106</t>
    </r>
  </si>
  <si>
    <r>
      <rPr>
        <sz val="10"/>
        <rFont val="Noto Sans CJK SC"/>
        <family val="2"/>
      </rPr>
      <t xml:space="preserve">财务记在高栾凤配票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煌烽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；系统是户头通道，且固化快照里服务费按</t>
    </r>
    <r>
      <rPr>
        <sz val="10"/>
        <rFont val="Arial"/>
        <family val="0"/>
        <charset val="1"/>
      </rPr>
      <t xml:space="preserve">18.56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历史导入的异常值</t>
    </r>
    <r>
      <rPr>
        <sz val="10"/>
        <rFont val="Arial"/>
        <family val="0"/>
        <charset val="1"/>
      </rPr>
      <t xml:space="preserve">)</t>
    </r>
  </si>
  <si>
    <t xml:space="preserve">#77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</si>
  <si>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CLK667</t>
    </r>
  </si>
  <si>
    <t xml:space="preserve">闫东鹏</t>
  </si>
  <si>
    <t xml:space="preserve">2026-09-02</t>
  </si>
  <si>
    <t xml:space="preserve">#55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</si>
  <si>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BXT103</t>
    </r>
  </si>
  <si>
    <t xml:space="preserve">闫东朋</t>
  </si>
  <si>
    <t xml:space="preserve">反向</t>
  </si>
  <si>
    <t xml:space="preserve">#72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</si>
  <si>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J19371</t>
    </r>
  </si>
  <si>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闫东朋</t>
    </r>
  </si>
  <si>
    <t xml:space="preserve">链条：系统标“户头通道”，财务是反向；利润算出来一样，但建议改成“反向”</t>
  </si>
  <si>
    <t xml:space="preserve">#76</t>
  </si>
  <si>
    <t xml:space="preserve">#75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</si>
  <si>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L80153</t>
    </r>
  </si>
  <si>
    <t xml:space="preserve">#81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</si>
  <si>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SC6167</t>
    </r>
  </si>
  <si>
    <t xml:space="preserve">#85</t>
  </si>
  <si>
    <t xml:space="preserve">#84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</si>
  <si>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AP1626</t>
    </r>
  </si>
  <si>
    <t xml:space="preserve">#94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</si>
  <si>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AP7737</t>
    </r>
  </si>
  <si>
    <t xml:space="preserve">2026-09-21</t>
  </si>
  <si>
    <r>
      <rPr>
        <sz val="10"/>
        <rFont val="Noto Sans CJK SC"/>
        <family val="2"/>
      </rPr>
      <t xml:space="preserve">系统里没有这一车（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闫东鹏 反向，需补录）。另外财务表的总利润公式 </t>
    </r>
    <r>
      <rPr>
        <sz val="10"/>
        <rFont val="Arial"/>
        <family val="0"/>
        <charset val="1"/>
      </rPr>
      <t xml:space="preserve">SUM(</t>
    </r>
    <r>
      <rPr>
        <sz val="10"/>
        <rFont val="Noto Sans CJK SC"/>
        <family val="2"/>
      </rPr>
      <t xml:space="preserve">闫东鹏</t>
    </r>
    <r>
      <rPr>
        <sz val="10"/>
        <rFont val="Arial"/>
        <family val="0"/>
        <charset val="1"/>
      </rPr>
      <t xml:space="preserve">!J2:J9) </t>
    </r>
    <r>
      <rPr>
        <sz val="10"/>
        <rFont val="Noto Sans CJK SC"/>
        <family val="2"/>
      </rPr>
      <t xml:space="preserve">也没把这一行算进去</t>
    </r>
  </si>
  <si>
    <t xml:space="preserve">尹鹏飞</t>
  </si>
  <si>
    <t xml:space="preserve">#54</t>
  </si>
  <si>
    <r>
      <rPr>
        <sz val="10"/>
        <rFont val="Noto Sans CJK SC"/>
        <family val="2"/>
      </rPr>
      <t xml:space="preserve">通海机</t>
    </r>
    <r>
      <rPr>
        <sz val="10"/>
        <rFont val="Arial"/>
        <family val="0"/>
        <charset val="1"/>
      </rPr>
      <t xml:space="preserve">9998</t>
    </r>
  </si>
  <si>
    <r>
      <rPr>
        <sz val="10"/>
        <rFont val="Noto Sans CJK SC"/>
        <family val="2"/>
      </rPr>
      <t xml:space="preserve">票源：财务益周，系统俊兴（益周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俊兴主营利润口径相同，但系统对益周另算票差留存）；日期：财务</t>
    </r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09-01</t>
    </r>
  </si>
  <si>
    <t xml:space="preserve">#57</t>
  </si>
  <si>
    <r>
      <rPr>
        <sz val="10"/>
        <rFont val="Noto Sans CJK SC"/>
        <family val="2"/>
      </rPr>
      <t xml:space="preserve">苏兴达货</t>
    </r>
    <r>
      <rPr>
        <sz val="10"/>
        <rFont val="Arial"/>
        <family val="0"/>
        <charset val="1"/>
      </rPr>
      <t xml:space="preserve">8566</t>
    </r>
  </si>
  <si>
    <r>
      <rPr>
        <sz val="10"/>
        <rFont val="Noto Sans CJK SC"/>
        <family val="2"/>
      </rPr>
      <t xml:space="preserve">票点：票源煌烽，财务利润公式用</t>
    </r>
    <r>
      <rPr>
        <sz val="10"/>
        <rFont val="Arial"/>
        <family val="0"/>
        <charset val="1"/>
      </rPr>
      <t xml:space="preserve">×0.865</t>
    </r>
    <r>
      <rPr>
        <sz val="10"/>
        <rFont val="Noto Sans CJK SC"/>
        <family val="2"/>
      </rPr>
      <t xml:space="preserve">（俊兴</t>
    </r>
    <r>
      <rPr>
        <sz val="10"/>
        <rFont val="Arial"/>
        <family val="0"/>
        <charset val="1"/>
      </rPr>
      <t xml:space="preserve">13.5%</t>
    </r>
    <r>
      <rPr>
        <sz val="10"/>
        <rFont val="Noto Sans CJK SC"/>
        <family val="2"/>
      </rPr>
      <t xml:space="preserve">的口径），系统用煌烽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），财务本表“带票公司付”列自己也是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；日期：财务</t>
    </r>
    <r>
      <rPr>
        <sz val="10"/>
        <rFont val="Arial"/>
        <family val="0"/>
        <charset val="1"/>
      </rPr>
      <t xml:space="preserve">09-05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09-03</t>
    </r>
  </si>
  <si>
    <t xml:space="preserve">#80</t>
  </si>
  <si>
    <r>
      <rPr>
        <sz val="10"/>
        <rFont val="Noto Sans CJK SC"/>
        <family val="2"/>
      </rPr>
      <t xml:space="preserve">皖四航</t>
    </r>
    <r>
      <rPr>
        <sz val="10"/>
        <rFont val="Arial"/>
        <family val="0"/>
        <charset val="1"/>
      </rPr>
      <t xml:space="preserve">6058</t>
    </r>
  </si>
  <si>
    <r>
      <rPr>
        <sz val="10"/>
        <rFont val="Noto Sans CJK SC"/>
        <family val="2"/>
      </rPr>
      <t xml:space="preserve">票点：票源煌烽，财务利润公式用</t>
    </r>
    <r>
      <rPr>
        <sz val="10"/>
        <rFont val="Arial"/>
        <family val="0"/>
        <charset val="1"/>
      </rPr>
      <t xml:space="preserve">×0.865</t>
    </r>
    <r>
      <rPr>
        <sz val="10"/>
        <rFont val="Noto Sans CJK SC"/>
        <family val="2"/>
      </rPr>
      <t xml:space="preserve">（俊兴</t>
    </r>
    <r>
      <rPr>
        <sz val="10"/>
        <rFont val="Arial"/>
        <family val="0"/>
        <charset val="1"/>
      </rPr>
      <t xml:space="preserve">13.5%</t>
    </r>
    <r>
      <rPr>
        <sz val="10"/>
        <rFont val="Noto Sans CJK SC"/>
        <family val="2"/>
      </rPr>
      <t xml:space="preserve">的口径），系统用煌烽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），财务本表“带票公司付”列自己也是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；日期：财务</t>
    </r>
    <r>
      <rPr>
        <sz val="10"/>
        <rFont val="Arial"/>
        <family val="0"/>
        <charset val="1"/>
      </rPr>
      <t xml:space="preserve">09-16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09-15</t>
    </r>
  </si>
  <si>
    <t xml:space="preserve">#93</t>
  </si>
  <si>
    <r>
      <rPr>
        <sz val="10"/>
        <rFont val="Noto Sans CJK SC"/>
        <family val="2"/>
      </rPr>
      <t xml:space="preserve">苏通源货</t>
    </r>
    <r>
      <rPr>
        <sz val="10"/>
        <rFont val="Arial"/>
        <family val="0"/>
        <charset val="1"/>
      </rPr>
      <t xml:space="preserve">6666</t>
    </r>
  </si>
  <si>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尹鹏飞</t>
    </r>
  </si>
  <si>
    <r>
      <rPr>
        <sz val="10"/>
        <rFont val="Noto Sans CJK SC"/>
        <family val="2"/>
      </rPr>
      <t xml:space="preserve">日期：财务</t>
    </r>
    <r>
      <rPr>
        <sz val="10"/>
        <rFont val="Arial"/>
        <family val="0"/>
        <charset val="1"/>
      </rPr>
      <t xml:space="preserve">09-19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09-18</t>
    </r>
  </si>
  <si>
    <t xml:space="preserve">王荣胜</t>
  </si>
  <si>
    <t xml:space="preserve">#19</t>
  </si>
  <si>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4095</t>
    </r>
  </si>
  <si>
    <r>
      <rPr>
        <sz val="10"/>
        <rFont val="Noto Sans CJK SC"/>
        <family val="2"/>
      </rPr>
      <t xml:space="preserve">给客户付：财务按结算额</t>
    </r>
    <r>
      <rPr>
        <sz val="10"/>
        <rFont val="Arial"/>
        <family val="0"/>
        <charset val="1"/>
      </rPr>
      <t xml:space="preserve">×0.862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）付款，系统按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</t>
    </r>
    <r>
      <rPr>
        <sz val="10"/>
        <rFont val="Noto Sans CJK SC"/>
        <family val="2"/>
      </rPr>
      <t xml:space="preserve">）；日期：财务</t>
    </r>
    <r>
      <rPr>
        <sz val="10"/>
        <rFont val="Arial"/>
        <family val="0"/>
        <charset val="1"/>
      </rPr>
      <t xml:space="preserve">08-29</t>
    </r>
    <r>
      <rPr>
        <sz val="10"/>
        <rFont val="Noto Sans CJK SC"/>
        <family val="2"/>
      </rPr>
      <t xml:space="preserve">，系统结算日期</t>
    </r>
    <r>
      <rPr>
        <sz val="10"/>
        <rFont val="Arial"/>
        <family val="0"/>
        <charset val="1"/>
      </rPr>
      <t xml:space="preserve">08-27</t>
    </r>
  </si>
  <si>
    <t xml:space="preserve">陈杰</t>
  </si>
  <si>
    <t xml:space="preserve">#60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</si>
  <si>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K66529</t>
    </r>
  </si>
  <si>
    <r>
      <rPr>
        <sz val="10"/>
        <rFont val="Noto Sans CJK SC"/>
        <family val="2"/>
      </rPr>
      <t xml:space="preserve">票源：财务煌烽，系统益周（若实为煌烽，系统利润约</t>
    </r>
    <r>
      <rPr>
        <sz val="10"/>
        <rFont val="Arial"/>
        <family val="0"/>
        <charset val="1"/>
      </rPr>
      <t xml:space="preserve">+266</t>
    </r>
    <r>
      <rPr>
        <sz val="10"/>
        <rFont val="Noto Sans CJK SC"/>
        <family val="2"/>
      </rPr>
      <t xml:space="preserve">元）</t>
    </r>
  </si>
  <si>
    <t xml:space="preserve">系统有、财务表里没有的车次</t>
  </si>
  <si>
    <r>
      <rPr>
        <sz val="10"/>
        <rFont val="Noto Sans CJK SC"/>
        <family val="2"/>
      </rPr>
      <t xml:space="preserve">无（系统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车里，</t>
    </r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车一一对上，另外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车 </t>
    </r>
    <r>
      <rPr>
        <sz val="10"/>
        <rFont val="Arial"/>
        <family val="0"/>
        <charset val="1"/>
      </rPr>
      <t xml:space="preserve">#33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#34 </t>
    </r>
    <r>
      <rPr>
        <sz val="10"/>
        <rFont val="Noto Sans CJK SC"/>
        <family val="2"/>
      </rPr>
      <t xml:space="preserve">是财务合成一行的那两车）</t>
    </r>
  </si>
  <si>
    <t xml:space="preserve">路径</t>
  </si>
  <si>
    <r>
      <rPr>
        <b val="true"/>
        <sz val="10"/>
        <color rgb="FFFFFFFF"/>
        <rFont val="Noto Sans CJK SC"/>
        <family val="2"/>
      </rPr>
      <t xml:space="preserve">财务表公式（以第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行为例）</t>
    </r>
  </si>
  <si>
    <t xml:space="preserve">系统公式</t>
  </si>
  <si>
    <t xml:space="preserve">是否一致</t>
  </si>
  <si>
    <r>
      <rPr>
        <sz val="10"/>
        <rFont val="Noto Sans CJK SC"/>
        <family val="2"/>
      </rPr>
      <t xml:space="preserve">配票（俊兴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益周）</t>
    </r>
  </si>
  <si>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吨；实际付款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×0.865−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量补−提成</t>
    </r>
  </si>
  <si>
    <r>
      <rPr>
        <sz val="10"/>
        <rFont val="Noto Sans CJK SC"/>
        <family val="2"/>
      </rPr>
      <t xml:space="preserve">给客户付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×(1−14%)</t>
    </r>
    <r>
      <rPr>
        <sz val="10"/>
        <rFont val="Noto Sans CJK SC"/>
        <family val="2"/>
      </rPr>
      <t xml:space="preserve">；前端实付</t>
    </r>
    <r>
      <rPr>
        <sz val="10"/>
        <rFont val="Arial"/>
        <family val="0"/>
        <charset val="1"/>
      </rPr>
      <t xml:space="preserve">=(</t>
    </r>
    <r>
      <rPr>
        <sz val="10"/>
        <rFont val="Noto Sans CJK SC"/>
        <family val="2"/>
      </rPr>
      <t xml:space="preserve">结算额−垫资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)×(1−13.5%)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量补−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给客户付−前端实付</t>
    </r>
    <r>
      <rPr>
        <sz val="10"/>
        <rFont val="Arial"/>
        <family val="0"/>
        <charset val="1"/>
      </rPr>
      <t xml:space="preserve">)−</t>
    </r>
    <r>
      <rPr>
        <sz val="10"/>
        <rFont val="Noto Sans CJK SC"/>
        <family val="2"/>
      </rPr>
      <t xml:space="preserve">提成−切割费</t>
    </r>
  </si>
  <si>
    <r>
      <rPr>
        <sz val="10"/>
        <rFont val="Noto Sans CJK SC"/>
        <family val="2"/>
      </rPr>
      <t xml:space="preserve">一致（差 </t>
    </r>
    <r>
      <rPr>
        <sz val="10"/>
        <rFont val="Arial"/>
        <family val="0"/>
        <charset val="1"/>
      </rPr>
      <t xml:space="preserve">INT </t>
    </r>
    <r>
      <rPr>
        <sz val="10"/>
        <rFont val="Noto Sans CJK SC"/>
        <family val="2"/>
      </rPr>
      <t xml:space="preserve">取整、切割费）</t>
    </r>
  </si>
  <si>
    <t xml:space="preserve">配票（煌烽）</t>
  </si>
  <si>
    <r>
      <rPr>
        <sz val="10"/>
        <rFont val="Noto Sans CJK SC"/>
        <family val="2"/>
      </rPr>
      <t xml:space="preserve">「林凯」表：利润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×0.868−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吨；「邓晶焱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高栾凤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尹鹏飞」表：仍用</t>
    </r>
    <r>
      <rPr>
        <sz val="10"/>
        <rFont val="Arial"/>
        <family val="0"/>
        <charset val="1"/>
      </rPr>
      <t xml:space="preserve">×0.865</t>
    </r>
  </si>
  <si>
    <r>
      <rPr>
        <sz val="10"/>
        <rFont val="Noto Sans CJK SC"/>
        <family val="2"/>
      </rPr>
      <t xml:space="preserve">前端实付按煌烽 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）</t>
    </r>
  </si>
  <si>
    <t xml:space="preserve">「林凯」表一致；其它三张表财务公式疑似没改</t>
  </si>
  <si>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×0.86)</t>
    </r>
    <r>
      <rPr>
        <sz val="10"/>
        <rFont val="Noto Sans CJK SC"/>
        <family val="2"/>
      </rPr>
      <t xml:space="preserve">；带票公司付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×0.862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×0.862−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吨（不扣垫资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</si>
  <si>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反向票点 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，本期垫资费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（已含在反向票点里）</t>
    </r>
  </si>
  <si>
    <t xml:space="preserve">一致</t>
  </si>
  <si>
    <r>
      <rPr>
        <sz val="10"/>
        <rFont val="Noto Sans CJK SC"/>
        <family val="2"/>
      </rPr>
      <t xml:space="preserve">带票（君盛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力拓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兴德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鑫景通）</t>
    </r>
  </si>
  <si>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吨；付供货厂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40×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欧冶−付款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吨−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吨 </t>
    </r>
    <r>
      <rPr>
        <sz val="10"/>
        <rFont val="Arial"/>
        <family val="0"/>
        <charset val="1"/>
      </rPr>
      <t xml:space="preserve">=27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</si>
  <si>
    <r>
      <rPr>
        <sz val="10"/>
        <rFont val="Noto Sans CJK SC"/>
        <family val="2"/>
      </rPr>
      <t xml:space="preserve">毛服务费</t>
    </r>
    <r>
      <rPr>
        <sz val="10"/>
        <rFont val="Arial"/>
        <family val="0"/>
        <charset val="1"/>
      </rPr>
      <t xml:space="preserve">40−</t>
    </r>
    <r>
      <rPr>
        <sz val="10"/>
        <rFont val="Noto Sans CJK SC"/>
        <family val="2"/>
      </rPr>
      <t xml:space="preserve">垫资</t>
    </r>
    <r>
      <rPr>
        <sz val="10"/>
        <rFont val="Arial"/>
        <family val="0"/>
        <charset val="1"/>
      </rPr>
      <t xml:space="preserve">23−</t>
    </r>
    <r>
      <rPr>
        <sz val="10"/>
        <rFont val="Noto Sans CJK SC"/>
        <family val="2"/>
      </rPr>
      <t xml:space="preserve">提成</t>
    </r>
    <r>
      <rPr>
        <sz val="10"/>
        <rFont val="Arial"/>
        <family val="0"/>
        <charset val="1"/>
      </rPr>
      <t xml:space="preserve">15+</t>
    </r>
    <r>
      <rPr>
        <sz val="10"/>
        <rFont val="Noto Sans CJK SC"/>
        <family val="2"/>
      </rPr>
      <t xml:space="preserve">量补</t>
    </r>
    <r>
      <rPr>
        <sz val="10"/>
        <rFont val="Arial"/>
        <family val="0"/>
        <charset val="1"/>
      </rPr>
      <t xml:space="preserve">25 = 27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吨，再减切割费</t>
    </r>
  </si>
  <si>
    <t xml:space="preserve">一致（差切割费）</t>
  </si>
  <si>
    <t xml:space="preserve">量补</t>
  </si>
  <si>
    <r>
      <rPr>
        <sz val="10"/>
        <rFont val="Noto Sans CJK SC"/>
        <family val="2"/>
      </rPr>
      <t xml:space="preserve">每行手写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</si>
  <si>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按钢厂结算周期累计吨位查阶梯：</t>
    </r>
    <r>
      <rPr>
        <sz val="10"/>
        <rFont val="Arial"/>
        <family val="0"/>
        <charset val="1"/>
      </rPr>
      <t xml:space="preserve">7/26~8/25 </t>
    </r>
    <r>
      <rPr>
        <sz val="10"/>
        <rFont val="Noto Sans CJK SC"/>
        <family val="2"/>
      </rPr>
      <t xml:space="preserve">周期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8/26~9/25 </t>
    </r>
    <r>
      <rPr>
        <sz val="10"/>
        <rFont val="Noto Sans CJK SC"/>
        <family val="2"/>
      </rPr>
      <t xml:space="preserve">周期 </t>
    </r>
    <r>
      <rPr>
        <sz val="10"/>
        <rFont val="Arial"/>
        <family val="0"/>
        <charset val="1"/>
      </rPr>
      <t xml:space="preserve">25</t>
    </r>
  </si>
  <si>
    <r>
      <rPr>
        <sz val="10"/>
        <rFont val="Arial"/>
        <family val="0"/>
        <charset val="1"/>
      </rPr>
      <t xml:space="preserve">8/26~9/05 </t>
    </r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邓晶焱的车不一致</t>
    </r>
  </si>
  <si>
    <t xml:space="preserve">林凯提成</t>
  </si>
  <si>
    <r>
      <rPr>
        <sz val="10"/>
        <rFont val="Noto Sans CJK SC"/>
        <family val="2"/>
      </rPr>
      <t xml:space="preserve">配票 </t>
    </r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前每行 −</t>
    </r>
    <r>
      <rPr>
        <sz val="10"/>
        <rFont val="Arial"/>
        <family val="0"/>
        <charset val="1"/>
      </rPr>
      <t xml:space="preserve">5×</t>
    </r>
    <r>
      <rPr>
        <sz val="10"/>
        <rFont val="Noto Sans CJK SC"/>
        <family val="2"/>
      </rPr>
      <t xml:space="preserve">吨；带票 −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吨</t>
    </r>
  </si>
  <si>
    <r>
      <rPr>
        <sz val="10"/>
        <rFont val="Noto Sans CJK SC"/>
        <family val="2"/>
      </rPr>
      <t xml:space="preserve">配票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吨到 </t>
    </r>
    <r>
      <rPr>
        <sz val="10"/>
        <rFont val="Arial"/>
        <family val="0"/>
        <charset val="1"/>
      </rPr>
      <t xml:space="preserve">9/04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；带票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</si>
  <si>
    <t xml:space="preserve">规则一致；差在哪些车算林凯的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</si>
</sst>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-#,##0.00;\-"/>
    <numFmt numFmtId="166" formatCode="0.00"/>
    <numFmt numFmtId="16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0"/>
      <color rgb="FF555555"/>
      <name val="Noto Sans CJK SC"/>
      <family val="2"/>
    </font>
    <font>
      <sz val="10"/>
      <color rgb="FF555555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FFF4CC"/>
        <bgColor rgb="FFFDE2E2"/>
      </patternFill>
    </fill>
    <fill>
      <patternFill patternType="solid">
        <fgColor rgb="FFFDE2E2"/>
        <bgColor rgb="FFFFF4CC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68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6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n">
        <f aca="false">SUM(逐车比对!H2:H102)</f>
        <v>161231.49511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f aca="false">SUM(逐车比对!Q2:Q102)</f>
        <v>186934.97897</v>
      </c>
      <c r="C5" s="5" t="s">
        <v>5</v>
      </c>
    </row>
    <row r="6" customFormat="false" ht="15" hidden="false" customHeight="false" outlineLevel="0" collapsed="false">
      <c r="A6" s="3" t="s">
        <v>6</v>
      </c>
      <c r="B6" s="4" t="n">
        <f aca="false">B5-B4</f>
        <v>25703.4838600004</v>
      </c>
      <c r="C6" s="5"/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6" t="s">
        <v>8</v>
      </c>
      <c r="B9" s="7" t="s">
        <v>9</v>
      </c>
      <c r="C9" s="6" t="s">
        <v>10</v>
      </c>
      <c r="D9" s="6" t="s">
        <v>11</v>
      </c>
      <c r="E9" s="6" t="s">
        <v>12</v>
      </c>
    </row>
    <row r="10" customFormat="false" ht="44" hidden="false" customHeight="false" outlineLevel="0" collapsed="false">
      <c r="A10" s="8" t="s">
        <v>13</v>
      </c>
      <c r="B10" s="9" t="n">
        <f aca="false">SUM(逐车比对!S2:S102)</f>
        <v>12531.4</v>
      </c>
      <c r="C10" s="8" t="n">
        <f aca="false">COUNTIF(逐车比对!S2:S102,"&gt;0.5")+COUNTIF(逐车比对!S2:S102,"&lt;-0.5")</f>
        <v>38</v>
      </c>
      <c r="D10" s="10" t="s">
        <v>14</v>
      </c>
      <c r="E10" s="8" t="s">
        <v>15</v>
      </c>
    </row>
    <row r="11" customFormat="false" ht="44" hidden="false" customHeight="false" outlineLevel="0" collapsed="false">
      <c r="A11" s="8" t="s">
        <v>16</v>
      </c>
      <c r="B11" s="9" t="n">
        <f aca="false">SUM(逐车比对!T2:T102)</f>
        <v>4460.55</v>
      </c>
      <c r="C11" s="8" t="n">
        <f aca="false">COUNTIF(逐车比对!T2:T102,"&gt;0.5")+COUNTIF(逐车比对!T2:T102,"&lt;-0.5")</f>
        <v>8</v>
      </c>
      <c r="D11" s="8" t="s">
        <v>17</v>
      </c>
      <c r="E11" s="8" t="s">
        <v>18</v>
      </c>
    </row>
    <row r="12" customFormat="false" ht="44" hidden="false" customHeight="false" outlineLevel="0" collapsed="false">
      <c r="A12" s="8" t="s">
        <v>19</v>
      </c>
      <c r="B12" s="9" t="n">
        <f aca="false">SUM(逐车比对!U2:U102)</f>
        <v>9157.46</v>
      </c>
      <c r="C12" s="8" t="n">
        <f aca="false">COUNTIF(逐车比对!U2:U102,"&gt;0.5")+COUNTIF(逐车比对!U2:U102,"&lt;-0.5")</f>
        <v>5</v>
      </c>
      <c r="D12" s="8" t="s">
        <v>20</v>
      </c>
      <c r="E12" s="8" t="s">
        <v>21</v>
      </c>
    </row>
    <row r="13" customFormat="false" ht="44" hidden="false" customHeight="false" outlineLevel="0" collapsed="false">
      <c r="A13" s="8" t="s">
        <v>22</v>
      </c>
      <c r="B13" s="9" t="n">
        <f aca="false">SUM(逐车比对!V2:V102)</f>
        <v>2542.52</v>
      </c>
      <c r="C13" s="8" t="n">
        <f aca="false">COUNTIF(逐车比对!V2:V102,"&gt;0.5")+COUNTIF(逐车比对!V2:V102,"&lt;-0.5")</f>
        <v>1</v>
      </c>
      <c r="D13" s="8" t="s">
        <v>23</v>
      </c>
      <c r="E13" s="8" t="s">
        <v>24</v>
      </c>
    </row>
    <row r="14" customFormat="false" ht="44" hidden="false" customHeight="false" outlineLevel="0" collapsed="false">
      <c r="A14" s="8" t="s">
        <v>25</v>
      </c>
      <c r="B14" s="9" t="n">
        <f aca="false">SUM(逐车比对!W2:W102)</f>
        <v>-800</v>
      </c>
      <c r="C14" s="8" t="n">
        <f aca="false">COUNTIF(逐车比对!W2:W102,"&gt;0.5")+COUNTIF(逐车比对!W2:W102,"&lt;-0.5")</f>
        <v>4</v>
      </c>
      <c r="D14" s="10" t="s">
        <v>26</v>
      </c>
      <c r="E14" s="8" t="s">
        <v>27</v>
      </c>
    </row>
    <row r="15" customFormat="false" ht="44" hidden="false" customHeight="false" outlineLevel="0" collapsed="false">
      <c r="A15" s="8" t="s">
        <v>28</v>
      </c>
      <c r="B15" s="9" t="n">
        <f aca="false">SUM(逐车比对!X2:X102)</f>
        <v>-1298.91</v>
      </c>
      <c r="C15" s="8" t="n">
        <f aca="false">COUNTIF(逐车比对!X2:X102,"&gt;0.5")+COUNTIF(逐车比对!X2:X102,"&lt;-0.5")</f>
        <v>4</v>
      </c>
      <c r="D15" s="10" t="s">
        <v>29</v>
      </c>
      <c r="E15" s="8" t="s">
        <v>30</v>
      </c>
    </row>
    <row r="16" customFormat="false" ht="29.85" hidden="false" customHeight="false" outlineLevel="0" collapsed="false">
      <c r="A16" s="8" t="s">
        <v>31</v>
      </c>
      <c r="B16" s="9" t="n">
        <f aca="false">SUM(逐车比对!Y2:Y102)</f>
        <v>-48.96</v>
      </c>
      <c r="C16" s="8" t="n">
        <f aca="false">COUNTIF(逐车比对!Y2:Y102,"&gt;0.5")+COUNTIF(逐车比对!Y2:Y102,"&lt;-0.5")</f>
        <v>43</v>
      </c>
      <c r="D16" s="8" t="s">
        <v>32</v>
      </c>
      <c r="E16" s="8" t="s">
        <v>33</v>
      </c>
    </row>
    <row r="17" customFormat="false" ht="29.85" hidden="false" customHeight="false" outlineLevel="0" collapsed="false">
      <c r="A17" s="8" t="s">
        <v>34</v>
      </c>
      <c r="B17" s="9" t="n">
        <f aca="false">-逐车比对!H96</f>
        <v>-840.587599999999</v>
      </c>
      <c r="C17" s="8" t="n">
        <v>1</v>
      </c>
      <c r="D17" s="8" t="s">
        <v>35</v>
      </c>
      <c r="E17" s="8" t="s">
        <v>36</v>
      </c>
    </row>
    <row r="18" customFormat="false" ht="44" hidden="false" customHeight="false" outlineLevel="0" collapsed="false">
      <c r="A18" s="11" t="s">
        <v>37</v>
      </c>
      <c r="B18" s="12" t="n">
        <f aca="false">SUM(B10:B17)</f>
        <v>25703.4724</v>
      </c>
      <c r="C18" s="11" t="str">
        <f aca="false">IF(ABS(B18-B6)&lt;0.1,"✓ 对得上（分项四舍五入差几分钱）","✗ 有未解释差额")</f>
        <v>✓ 对得上（分项四舍五入差几分钱）</v>
      </c>
      <c r="D18" s="11" t="s">
        <v>38</v>
      </c>
      <c r="E18" s="11"/>
    </row>
    <row r="21" customFormat="false" ht="15" hidden="false" customHeight="false" outlineLevel="0" collapsed="false">
      <c r="A21" s="3" t="s">
        <v>39</v>
      </c>
    </row>
    <row r="22" customFormat="false" ht="15" hidden="false" customHeight="false" outlineLevel="0" collapsed="false">
      <c r="A22" s="13" t="s">
        <v>40</v>
      </c>
      <c r="B22" s="13" t="s">
        <v>41</v>
      </c>
      <c r="C22" s="13" t="s">
        <v>42</v>
      </c>
    </row>
    <row r="23" customFormat="false" ht="72.35" hidden="false" customHeight="false" outlineLevel="0" collapsed="false">
      <c r="A23" s="8" t="s">
        <v>43</v>
      </c>
      <c r="B23" s="8" t="s">
        <v>44</v>
      </c>
      <c r="C23" s="8" t="s">
        <v>45</v>
      </c>
    </row>
    <row r="24" customFormat="false" ht="58.2" hidden="false" customHeight="false" outlineLevel="0" collapsed="false">
      <c r="A24" s="8" t="s">
        <v>46</v>
      </c>
      <c r="B24" s="8" t="s">
        <v>47</v>
      </c>
      <c r="C24" s="8" t="s">
        <v>48</v>
      </c>
    </row>
    <row r="25" customFormat="false" ht="86.55" hidden="false" customHeight="false" outlineLevel="0" collapsed="false">
      <c r="A25" s="8" t="s">
        <v>49</v>
      </c>
      <c r="B25" s="8" t="s">
        <v>50</v>
      </c>
      <c r="C25" s="8" t="s">
        <v>51</v>
      </c>
    </row>
    <row r="26" customFormat="false" ht="100.7" hidden="false" customHeight="false" outlineLevel="0" collapsed="false">
      <c r="A26" s="8" t="s">
        <v>52</v>
      </c>
      <c r="B26" s="8" t="s">
        <v>53</v>
      </c>
      <c r="C26" s="8" t="s">
        <v>54</v>
      </c>
    </row>
    <row r="27" customFormat="false" ht="114.9" hidden="false" customHeight="false" outlineLevel="0" collapsed="false">
      <c r="A27" s="8" t="s">
        <v>55</v>
      </c>
      <c r="B27" s="8" t="s">
        <v>56</v>
      </c>
      <c r="C27" s="8" t="s">
        <v>57</v>
      </c>
    </row>
    <row r="28" customFormat="false" ht="171.6" hidden="false" customHeight="false" outlineLevel="0" collapsed="false">
      <c r="A28" s="8" t="s">
        <v>58</v>
      </c>
      <c r="B28" s="8" t="s">
        <v>59</v>
      </c>
      <c r="C28" s="8" t="s">
        <v>60</v>
      </c>
    </row>
    <row r="29" customFormat="false" ht="72.35" hidden="false" customHeight="false" outlineLevel="0" collapsed="false">
      <c r="A29" s="8" t="s">
        <v>61</v>
      </c>
      <c r="B29" s="10" t="s">
        <v>62</v>
      </c>
      <c r="C29" s="8" t="s">
        <v>63</v>
      </c>
    </row>
    <row r="30" customFormat="false" ht="72.35" hidden="false" customHeight="false" outlineLevel="0" collapsed="false">
      <c r="A30" s="8" t="s">
        <v>64</v>
      </c>
      <c r="B30" s="8" t="s">
        <v>65</v>
      </c>
      <c r="C30" s="8" t="s">
        <v>66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7" min="6" style="0" width="7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24" min="19" style="0" width="10"/>
    <col collapsed="false" customWidth="true" hidden="false" outlineLevel="0" max="26" min="25" style="0" width="9"/>
    <col collapsed="false" customWidth="true" hidden="false" outlineLevel="0" max="27" min="27" style="0" width="70"/>
  </cols>
  <sheetData>
    <row r="1" customFormat="false" ht="31.5" hidden="false" customHeight="true" outlineLevel="0" collapsed="false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  <c r="M1" s="14" t="s">
        <v>79</v>
      </c>
      <c r="N1" s="14" t="s">
        <v>80</v>
      </c>
      <c r="O1" s="14" t="s">
        <v>81</v>
      </c>
      <c r="P1" s="14" t="s">
        <v>82</v>
      </c>
      <c r="Q1" s="14" t="s">
        <v>83</v>
      </c>
      <c r="R1" s="14" t="s">
        <v>84</v>
      </c>
      <c r="S1" s="14" t="s">
        <v>85</v>
      </c>
      <c r="T1" s="14" t="s">
        <v>86</v>
      </c>
      <c r="U1" s="14" t="s">
        <v>87</v>
      </c>
      <c r="V1" s="14" t="s">
        <v>88</v>
      </c>
      <c r="W1" s="14" t="s">
        <v>89</v>
      </c>
      <c r="X1" s="14" t="s">
        <v>90</v>
      </c>
      <c r="Y1" s="14" t="s">
        <v>91</v>
      </c>
      <c r="Z1" s="14" t="s">
        <v>92</v>
      </c>
      <c r="AA1" s="14" t="s">
        <v>93</v>
      </c>
    </row>
    <row r="2" customFormat="false" ht="15" hidden="false" customHeight="false" outlineLevel="0" collapsed="false">
      <c r="A2" s="15" t="s">
        <v>94</v>
      </c>
      <c r="B2" s="15" t="n">
        <v>2</v>
      </c>
      <c r="C2" s="16" t="s">
        <v>95</v>
      </c>
      <c r="D2" s="17" t="n">
        <v>73.58</v>
      </c>
      <c r="E2" s="18" t="n">
        <v>168498.2</v>
      </c>
      <c r="F2" s="15" t="s">
        <v>96</v>
      </c>
      <c r="G2" s="15" t="s">
        <v>97</v>
      </c>
      <c r="H2" s="18" t="n">
        <v>482.768899999984</v>
      </c>
      <c r="I2" s="16" t="s">
        <v>98</v>
      </c>
      <c r="J2" s="15" t="s">
        <v>99</v>
      </c>
      <c r="K2" s="16" t="s">
        <v>95</v>
      </c>
      <c r="L2" s="17" t="n">
        <v>73.58</v>
      </c>
      <c r="M2" s="18" t="n">
        <v>168498.2</v>
      </c>
      <c r="N2" s="15" t="s">
        <v>94</v>
      </c>
      <c r="O2" s="15" t="s">
        <v>97</v>
      </c>
      <c r="P2" s="15" t="s">
        <v>96</v>
      </c>
      <c r="Q2" s="18" t="n">
        <v>482.316899999994</v>
      </c>
      <c r="R2" s="18" t="n">
        <f aca="false">IF(Q2="","",Q2-H2)</f>
        <v>-0.451999999990392</v>
      </c>
      <c r="S2" s="18" t="n">
        <v>0</v>
      </c>
      <c r="T2" s="18" t="n">
        <v>0</v>
      </c>
      <c r="U2" s="18" t="n">
        <v>0</v>
      </c>
      <c r="V2" s="18" t="n">
        <v>0</v>
      </c>
      <c r="W2" s="18" t="n">
        <v>0</v>
      </c>
      <c r="X2" s="18" t="n">
        <v>0</v>
      </c>
      <c r="Y2" s="18" t="n">
        <v>-0.45</v>
      </c>
      <c r="Z2" s="18" t="n">
        <f aca="false">IF(Q2="","",SUM(S2:Y2)-R2)</f>
        <v>0.00199999999039163</v>
      </c>
      <c r="AA2" s="8"/>
    </row>
    <row r="3" customFormat="false" ht="15" hidden="false" customHeight="false" outlineLevel="0" collapsed="false">
      <c r="A3" s="15" t="s">
        <v>94</v>
      </c>
      <c r="B3" s="15" t="n">
        <v>3</v>
      </c>
      <c r="C3" s="16" t="s">
        <v>100</v>
      </c>
      <c r="D3" s="17" t="n">
        <v>34.8</v>
      </c>
      <c r="E3" s="18" t="n">
        <v>84564</v>
      </c>
      <c r="F3" s="15" t="s">
        <v>96</v>
      </c>
      <c r="G3" s="15" t="s">
        <v>97</v>
      </c>
      <c r="H3" s="18" t="n">
        <v>252.51400000001</v>
      </c>
      <c r="I3" s="16" t="s">
        <v>101</v>
      </c>
      <c r="J3" s="15" t="s">
        <v>102</v>
      </c>
      <c r="K3" s="16" t="s">
        <v>100</v>
      </c>
      <c r="L3" s="17" t="n">
        <v>34.8</v>
      </c>
      <c r="M3" s="18" t="n">
        <v>84564</v>
      </c>
      <c r="N3" s="15" t="s">
        <v>94</v>
      </c>
      <c r="O3" s="15" t="s">
        <v>97</v>
      </c>
      <c r="P3" s="15" t="s">
        <v>96</v>
      </c>
      <c r="Q3" s="18" t="n">
        <v>252.474000000017</v>
      </c>
      <c r="R3" s="18" t="n">
        <f aca="false">IF(Q3="","",Q3-H3)</f>
        <v>-0.0399999999934835</v>
      </c>
      <c r="S3" s="18" t="n">
        <v>0</v>
      </c>
      <c r="T3" s="18" t="n">
        <v>0</v>
      </c>
      <c r="U3" s="18" t="n">
        <v>0</v>
      </c>
      <c r="V3" s="18" t="n">
        <v>0</v>
      </c>
      <c r="W3" s="18" t="n">
        <v>0</v>
      </c>
      <c r="X3" s="18" t="n">
        <v>0</v>
      </c>
      <c r="Y3" s="18" t="n">
        <v>-0.04</v>
      </c>
      <c r="Z3" s="18" t="n">
        <f aca="false">IF(Q3="","",SUM(S3:Y3)-R3)</f>
        <v>-6.5165303708703E-012</v>
      </c>
      <c r="AA3" s="8"/>
    </row>
    <row r="4" customFormat="false" ht="15" hidden="false" customHeight="false" outlineLevel="0" collapsed="false">
      <c r="A4" s="15" t="s">
        <v>94</v>
      </c>
      <c r="B4" s="15" t="n">
        <v>4</v>
      </c>
      <c r="C4" s="16" t="s">
        <v>103</v>
      </c>
      <c r="D4" s="17" t="n">
        <v>81.16</v>
      </c>
      <c r="E4" s="18" t="n">
        <v>201276.8</v>
      </c>
      <c r="F4" s="15" t="s">
        <v>96</v>
      </c>
      <c r="G4" s="15" t="s">
        <v>97</v>
      </c>
      <c r="H4" s="18" t="n">
        <v>608.153800000006</v>
      </c>
      <c r="I4" s="16" t="s">
        <v>104</v>
      </c>
      <c r="J4" s="15" t="s">
        <v>99</v>
      </c>
      <c r="K4" s="16" t="s">
        <v>103</v>
      </c>
      <c r="L4" s="17" t="n">
        <v>81.16</v>
      </c>
      <c r="M4" s="18" t="n">
        <v>201276.8</v>
      </c>
      <c r="N4" s="15" t="s">
        <v>94</v>
      </c>
      <c r="O4" s="15" t="s">
        <v>97</v>
      </c>
      <c r="P4" s="15" t="s">
        <v>96</v>
      </c>
      <c r="Q4" s="18" t="n">
        <v>609.105800000025</v>
      </c>
      <c r="R4" s="18" t="n">
        <f aca="false">IF(Q4="","",Q4-H4)</f>
        <v>0.952000000019098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  <c r="X4" s="18" t="n">
        <v>0</v>
      </c>
      <c r="Y4" s="18" t="n">
        <v>0.95</v>
      </c>
      <c r="Z4" s="18" t="n">
        <f aca="false">IF(Q4="","",SUM(S4:Y4)-R4)</f>
        <v>-0.00200000001909761</v>
      </c>
      <c r="AA4" s="8"/>
    </row>
    <row r="5" customFormat="false" ht="15" hidden="false" customHeight="false" outlineLevel="0" collapsed="false">
      <c r="A5" s="15" t="s">
        <v>94</v>
      </c>
      <c r="B5" s="15" t="n">
        <v>5</v>
      </c>
      <c r="C5" s="16" t="s">
        <v>103</v>
      </c>
      <c r="D5" s="17" t="n">
        <v>36.36</v>
      </c>
      <c r="E5" s="18" t="n">
        <v>83264.4</v>
      </c>
      <c r="F5" s="15" t="s">
        <v>96</v>
      </c>
      <c r="G5" s="15" t="s">
        <v>97</v>
      </c>
      <c r="H5" s="18" t="n">
        <v>238.723799999998</v>
      </c>
      <c r="I5" s="16" t="s">
        <v>105</v>
      </c>
      <c r="J5" s="15" t="s">
        <v>106</v>
      </c>
      <c r="K5" s="16" t="s">
        <v>103</v>
      </c>
      <c r="L5" s="17" t="n">
        <v>36.36</v>
      </c>
      <c r="M5" s="18" t="n">
        <v>83264.4</v>
      </c>
      <c r="N5" s="15" t="s">
        <v>97</v>
      </c>
      <c r="O5" s="15" t="s">
        <v>97</v>
      </c>
      <c r="P5" s="15" t="s">
        <v>96</v>
      </c>
      <c r="Q5" s="18" t="n">
        <v>420.139800000007</v>
      </c>
      <c r="R5" s="19" t="n">
        <f aca="false">IF(Q5="","",Q5-H5)</f>
        <v>181.416000000009</v>
      </c>
      <c r="S5" s="18" t="n">
        <v>0</v>
      </c>
      <c r="T5" s="18" t="n">
        <v>181.8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-0.38</v>
      </c>
      <c r="Z5" s="18" t="n">
        <f aca="false">IF(Q5="","",SUM(S5:Y5)-R5)</f>
        <v>0.00399999999058309</v>
      </c>
      <c r="AA5" s="20" t="s">
        <v>107</v>
      </c>
    </row>
    <row r="6" customFormat="false" ht="15" hidden="false" customHeight="false" outlineLevel="0" collapsed="false">
      <c r="A6" s="15" t="s">
        <v>94</v>
      </c>
      <c r="B6" s="15" t="n">
        <v>6</v>
      </c>
      <c r="C6" s="16" t="s">
        <v>103</v>
      </c>
      <c r="D6" s="17" t="n">
        <v>32.94</v>
      </c>
      <c r="E6" s="18" t="n">
        <v>75432.6</v>
      </c>
      <c r="F6" s="15" t="s">
        <v>96</v>
      </c>
      <c r="G6" s="15" t="s">
        <v>97</v>
      </c>
      <c r="H6" s="18" t="n">
        <v>215.957699999993</v>
      </c>
      <c r="I6" s="16" t="s">
        <v>108</v>
      </c>
      <c r="J6" s="15" t="s">
        <v>109</v>
      </c>
      <c r="K6" s="16" t="s">
        <v>103</v>
      </c>
      <c r="L6" s="17" t="n">
        <v>32.94</v>
      </c>
      <c r="M6" s="18" t="n">
        <v>75432.6</v>
      </c>
      <c r="N6" s="15" t="s">
        <v>97</v>
      </c>
      <c r="O6" s="15" t="s">
        <v>97</v>
      </c>
      <c r="P6" s="15" t="s">
        <v>96</v>
      </c>
      <c r="Q6" s="18" t="n">
        <v>380.6217</v>
      </c>
      <c r="R6" s="19" t="n">
        <f aca="false">IF(Q6="","",Q6-H6)</f>
        <v>164.664000000007</v>
      </c>
      <c r="S6" s="18" t="n">
        <v>0</v>
      </c>
      <c r="T6" s="18" t="n">
        <v>164.7</v>
      </c>
      <c r="U6" s="18" t="n">
        <v>0</v>
      </c>
      <c r="V6" s="18" t="n">
        <v>0</v>
      </c>
      <c r="W6" s="18" t="n">
        <v>0</v>
      </c>
      <c r="X6" s="18" t="n">
        <v>0</v>
      </c>
      <c r="Y6" s="18" t="n">
        <v>-0.04</v>
      </c>
      <c r="Z6" s="18" t="n">
        <f aca="false">IF(Q6="","",SUM(S6:Y6)-R6)</f>
        <v>-0.00400000000738032</v>
      </c>
      <c r="AA6" s="20" t="s">
        <v>107</v>
      </c>
    </row>
    <row r="7" customFormat="false" ht="15" hidden="false" customHeight="false" outlineLevel="0" collapsed="false">
      <c r="A7" s="15" t="s">
        <v>94</v>
      </c>
      <c r="B7" s="15" t="n">
        <v>7</v>
      </c>
      <c r="C7" s="16" t="s">
        <v>103</v>
      </c>
      <c r="D7" s="17" t="n">
        <v>24.41</v>
      </c>
      <c r="E7" s="18" t="n">
        <v>59023.38</v>
      </c>
      <c r="F7" s="15" t="s">
        <v>96</v>
      </c>
      <c r="G7" s="15" t="s">
        <v>97</v>
      </c>
      <c r="H7" s="18" t="n">
        <v>175.736749999995</v>
      </c>
      <c r="I7" s="16" t="s">
        <v>110</v>
      </c>
      <c r="J7" s="15" t="s">
        <v>111</v>
      </c>
      <c r="K7" s="16" t="s">
        <v>103</v>
      </c>
      <c r="L7" s="17" t="n">
        <v>24.41</v>
      </c>
      <c r="M7" s="18" t="n">
        <v>59023.38</v>
      </c>
      <c r="N7" s="15" t="s">
        <v>94</v>
      </c>
      <c r="O7" s="15" t="s">
        <v>97</v>
      </c>
      <c r="P7" s="15" t="s">
        <v>96</v>
      </c>
      <c r="Q7" s="18" t="n">
        <v>175.629950000001</v>
      </c>
      <c r="R7" s="18" t="n">
        <f aca="false">IF(Q7="","",Q7-H7)</f>
        <v>-0.106799999994195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-0.11</v>
      </c>
      <c r="Z7" s="18" t="n">
        <f aca="false">IF(Q7="","",SUM(S7:Y7)-R7)</f>
        <v>-0.00320000000580535</v>
      </c>
      <c r="AA7" s="8"/>
    </row>
    <row r="8" customFormat="false" ht="15" hidden="false" customHeight="false" outlineLevel="0" collapsed="false">
      <c r="A8" s="15" t="s">
        <v>94</v>
      </c>
      <c r="B8" s="15" t="n">
        <v>8</v>
      </c>
      <c r="C8" s="16" t="s">
        <v>112</v>
      </c>
      <c r="D8" s="17" t="n">
        <v>69.5</v>
      </c>
      <c r="E8" s="18" t="n">
        <v>159155</v>
      </c>
      <c r="F8" s="15" t="s">
        <v>96</v>
      </c>
      <c r="G8" s="15" t="s">
        <v>97</v>
      </c>
      <c r="H8" s="18" t="n">
        <v>455.872499999998</v>
      </c>
      <c r="I8" s="16" t="s">
        <v>113</v>
      </c>
      <c r="J8" s="15" t="s">
        <v>99</v>
      </c>
      <c r="K8" s="16" t="s">
        <v>112</v>
      </c>
      <c r="L8" s="17" t="n">
        <v>69.5</v>
      </c>
      <c r="M8" s="18" t="n">
        <v>159155</v>
      </c>
      <c r="N8" s="15" t="s">
        <v>94</v>
      </c>
      <c r="O8" s="15" t="s">
        <v>97</v>
      </c>
      <c r="P8" s="15" t="s">
        <v>96</v>
      </c>
      <c r="Q8" s="18" t="n">
        <v>455.572500000009</v>
      </c>
      <c r="R8" s="18" t="n">
        <f aca="false">IF(Q8="","",Q8-H8)</f>
        <v>-0.2999999999887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-0.3</v>
      </c>
      <c r="Z8" s="18" t="n">
        <f aca="false">IF(Q8="","",SUM(S8:Y8)-R8)</f>
        <v>-1.13004605672984E-011</v>
      </c>
      <c r="AA8" s="8"/>
    </row>
    <row r="9" customFormat="false" ht="15" hidden="false" customHeight="false" outlineLevel="0" collapsed="false">
      <c r="A9" s="15" t="s">
        <v>94</v>
      </c>
      <c r="B9" s="15" t="n">
        <v>9</v>
      </c>
      <c r="C9" s="16" t="s">
        <v>112</v>
      </c>
      <c r="D9" s="17" t="n">
        <v>34.24</v>
      </c>
      <c r="E9" s="18" t="n">
        <v>78409.6</v>
      </c>
      <c r="F9" s="15" t="s">
        <v>96</v>
      </c>
      <c r="G9" s="15" t="s">
        <v>97</v>
      </c>
      <c r="H9" s="18" t="n">
        <v>224.699199999997</v>
      </c>
      <c r="I9" s="16" t="s">
        <v>114</v>
      </c>
      <c r="J9" s="15" t="s">
        <v>115</v>
      </c>
      <c r="K9" s="16" t="s">
        <v>112</v>
      </c>
      <c r="L9" s="17" t="n">
        <v>34.24</v>
      </c>
      <c r="M9" s="18" t="n">
        <v>78409.6</v>
      </c>
      <c r="N9" s="15" t="s">
        <v>97</v>
      </c>
      <c r="O9" s="15" t="s">
        <v>97</v>
      </c>
      <c r="P9" s="15" t="s">
        <v>96</v>
      </c>
      <c r="Q9" s="18" t="n">
        <v>395.643199999988</v>
      </c>
      <c r="R9" s="19" t="n">
        <f aca="false">IF(Q9="","",Q9-H9)</f>
        <v>170.943999999991</v>
      </c>
      <c r="S9" s="18" t="n">
        <v>0</v>
      </c>
      <c r="T9" s="18" t="n">
        <v>171.2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-0.26</v>
      </c>
      <c r="Z9" s="18" t="n">
        <f aca="false">IF(Q9="","",SUM(S9:Y9)-R9)</f>
        <v>-0.0039999999913789</v>
      </c>
      <c r="AA9" s="20" t="s">
        <v>107</v>
      </c>
    </row>
    <row r="10" customFormat="false" ht="15" hidden="false" customHeight="false" outlineLevel="0" collapsed="false">
      <c r="A10" s="15" t="s">
        <v>94</v>
      </c>
      <c r="B10" s="15" t="n">
        <v>10</v>
      </c>
      <c r="C10" s="16" t="s">
        <v>116</v>
      </c>
      <c r="D10" s="17" t="n">
        <v>81</v>
      </c>
      <c r="E10" s="18" t="n">
        <v>184032</v>
      </c>
      <c r="F10" s="15" t="s">
        <v>96</v>
      </c>
      <c r="G10" s="15" t="s">
        <v>97</v>
      </c>
      <c r="H10" s="18" t="n">
        <v>524.184999999998</v>
      </c>
      <c r="I10" s="16" t="s">
        <v>117</v>
      </c>
      <c r="J10" s="15" t="s">
        <v>118</v>
      </c>
      <c r="K10" s="16" t="s">
        <v>116</v>
      </c>
      <c r="L10" s="17" t="n">
        <v>81</v>
      </c>
      <c r="M10" s="18" t="n">
        <v>184032</v>
      </c>
      <c r="N10" s="15" t="s">
        <v>94</v>
      </c>
      <c r="O10" s="15" t="s">
        <v>97</v>
      </c>
      <c r="P10" s="15" t="s">
        <v>96</v>
      </c>
      <c r="Q10" s="18" t="n">
        <v>523.665000000008</v>
      </c>
      <c r="R10" s="18" t="n">
        <f aca="false">IF(Q10="","",Q10-H10)</f>
        <v>-0.519999999989864</v>
      </c>
      <c r="S10" s="18" t="n">
        <v>0</v>
      </c>
      <c r="T10" s="18" t="n">
        <v>0</v>
      </c>
      <c r="U10" s="18" t="n">
        <v>0</v>
      </c>
      <c r="V10" s="18" t="n">
        <v>0</v>
      </c>
      <c r="W10" s="18" t="n">
        <v>0</v>
      </c>
      <c r="X10" s="18" t="n">
        <v>0</v>
      </c>
      <c r="Y10" s="18" t="n">
        <v>-0.52</v>
      </c>
      <c r="Z10" s="18" t="n">
        <f aca="false">IF(Q10="","",SUM(S10:Y10)-R10)</f>
        <v>-1.01363362148277E-011</v>
      </c>
      <c r="AA10" s="8"/>
    </row>
    <row r="11" customFormat="false" ht="29.85" hidden="false" customHeight="false" outlineLevel="0" collapsed="false">
      <c r="A11" s="15" t="s">
        <v>94</v>
      </c>
      <c r="B11" s="15" t="n">
        <v>11</v>
      </c>
      <c r="C11" s="16" t="s">
        <v>119</v>
      </c>
      <c r="D11" s="17" t="n">
        <v>560.39</v>
      </c>
      <c r="E11" s="18" t="n">
        <v>1344115.89</v>
      </c>
      <c r="F11" s="15" t="s">
        <v>96</v>
      </c>
      <c r="G11" s="15" t="s">
        <v>97</v>
      </c>
      <c r="H11" s="18" t="n">
        <v>3978.13579999995</v>
      </c>
      <c r="I11" s="16" t="s">
        <v>120</v>
      </c>
      <c r="J11" s="15" t="s">
        <v>121</v>
      </c>
      <c r="K11" s="16" t="s">
        <v>122</v>
      </c>
      <c r="L11" s="17" t="n">
        <v>560.39</v>
      </c>
      <c r="M11" s="18" t="n">
        <v>1344115.89</v>
      </c>
      <c r="N11" s="15" t="s">
        <v>97</v>
      </c>
      <c r="O11" s="15" t="s">
        <v>97</v>
      </c>
      <c r="P11" s="15" t="s">
        <v>96</v>
      </c>
      <c r="Q11" s="18" t="n">
        <v>9581.37040000013</v>
      </c>
      <c r="R11" s="19" t="n">
        <f aca="false">IF(Q11="","",Q11-H11)</f>
        <v>5603.23460000018</v>
      </c>
      <c r="S11" s="18" t="n">
        <v>2801.95</v>
      </c>
      <c r="T11" s="18" t="n">
        <v>2801.95</v>
      </c>
      <c r="U11" s="18" t="n">
        <v>0</v>
      </c>
      <c r="V11" s="18" t="n">
        <v>0</v>
      </c>
      <c r="W11" s="18" t="n">
        <v>0</v>
      </c>
      <c r="X11" s="18" t="n">
        <v>0</v>
      </c>
      <c r="Y11" s="18" t="n">
        <v>-0.67</v>
      </c>
      <c r="Z11" s="18" t="n">
        <f aca="false">IF(Q11="","",SUM(S11:Y11)-R11)</f>
        <v>-0.00460000018119899</v>
      </c>
      <c r="AA11" s="20" t="s">
        <v>123</v>
      </c>
    </row>
    <row r="12" customFormat="false" ht="15" hidden="false" customHeight="false" outlineLevel="0" collapsed="false">
      <c r="A12" s="15" t="s">
        <v>94</v>
      </c>
      <c r="B12" s="15" t="n">
        <v>12</v>
      </c>
      <c r="C12" s="16" t="s">
        <v>122</v>
      </c>
      <c r="D12" s="17" t="n">
        <v>40.27</v>
      </c>
      <c r="E12" s="18" t="n">
        <v>93426.4</v>
      </c>
      <c r="F12" s="15" t="s">
        <v>96</v>
      </c>
      <c r="G12" s="15" t="s">
        <v>97</v>
      </c>
      <c r="H12" s="18" t="n">
        <v>270.714350000006</v>
      </c>
      <c r="I12" s="16" t="s">
        <v>124</v>
      </c>
      <c r="J12" s="15" t="s">
        <v>125</v>
      </c>
      <c r="K12" s="16" t="s">
        <v>122</v>
      </c>
      <c r="L12" s="17" t="n">
        <v>40.27</v>
      </c>
      <c r="M12" s="18" t="n">
        <v>93426.4</v>
      </c>
      <c r="N12" s="15" t="s">
        <v>94</v>
      </c>
      <c r="O12" s="15" t="s">
        <v>97</v>
      </c>
      <c r="P12" s="15" t="s">
        <v>96</v>
      </c>
      <c r="Q12" s="18" t="n">
        <v>471.360349999994</v>
      </c>
      <c r="R12" s="19" t="n">
        <f aca="false">IF(Q12="","",Q12-H12)</f>
        <v>200.645999999988</v>
      </c>
      <c r="S12" s="18" t="n">
        <v>201.35</v>
      </c>
      <c r="T12" s="18" t="n">
        <v>0</v>
      </c>
      <c r="U12" s="18" t="n">
        <v>0</v>
      </c>
      <c r="V12" s="18" t="n">
        <v>0</v>
      </c>
      <c r="W12" s="18" t="n">
        <v>0</v>
      </c>
      <c r="X12" s="18" t="n">
        <v>0</v>
      </c>
      <c r="Y12" s="18" t="n">
        <v>-0.7</v>
      </c>
      <c r="Z12" s="18" t="n">
        <f aca="false">IF(Q12="","",SUM(S12:Y12)-R12)</f>
        <v>0.00400000001221201</v>
      </c>
      <c r="AA12" s="20" t="s">
        <v>126</v>
      </c>
    </row>
    <row r="13" customFormat="false" ht="15" hidden="false" customHeight="false" outlineLevel="0" collapsed="false">
      <c r="A13" s="15" t="s">
        <v>94</v>
      </c>
      <c r="B13" s="15" t="n">
        <v>13</v>
      </c>
      <c r="C13" s="16" t="s">
        <v>122</v>
      </c>
      <c r="D13" s="17" t="n">
        <v>34.3</v>
      </c>
      <c r="E13" s="18" t="n">
        <v>84206.5</v>
      </c>
      <c r="F13" s="15" t="s">
        <v>96</v>
      </c>
      <c r="G13" s="15" t="s">
        <v>97</v>
      </c>
      <c r="H13" s="18" t="n">
        <v>253.724000000002</v>
      </c>
      <c r="I13" s="16" t="s">
        <v>127</v>
      </c>
      <c r="J13" s="15" t="s">
        <v>102</v>
      </c>
      <c r="K13" s="16" t="s">
        <v>122</v>
      </c>
      <c r="L13" s="17" t="n">
        <v>34.3</v>
      </c>
      <c r="M13" s="18" t="n">
        <v>84206.5</v>
      </c>
      <c r="N13" s="15" t="s">
        <v>94</v>
      </c>
      <c r="O13" s="15" t="s">
        <v>97</v>
      </c>
      <c r="P13" s="15" t="s">
        <v>96</v>
      </c>
      <c r="Q13" s="18" t="n">
        <v>424.634000000006</v>
      </c>
      <c r="R13" s="19" t="n">
        <f aca="false">IF(Q13="","",Q13-H13)</f>
        <v>170.910000000004</v>
      </c>
      <c r="S13" s="18" t="n">
        <v>171.5</v>
      </c>
      <c r="T13" s="18" t="n">
        <v>0</v>
      </c>
      <c r="U13" s="18" t="n">
        <v>0</v>
      </c>
      <c r="V13" s="18" t="n">
        <v>0</v>
      </c>
      <c r="W13" s="18" t="n">
        <v>0</v>
      </c>
      <c r="X13" s="18" t="n">
        <v>0</v>
      </c>
      <c r="Y13" s="18" t="n">
        <v>-0.59</v>
      </c>
      <c r="Z13" s="18" t="n">
        <f aca="false">IF(Q13="","",SUM(S13:Y13)-R13)</f>
        <v>-3.5242919693701E-012</v>
      </c>
      <c r="AA13" s="20" t="s">
        <v>126</v>
      </c>
    </row>
    <row r="14" customFormat="false" ht="15" hidden="false" customHeight="false" outlineLevel="0" collapsed="false">
      <c r="A14" s="15" t="s">
        <v>94</v>
      </c>
      <c r="B14" s="15" t="n">
        <v>14</v>
      </c>
      <c r="C14" s="16" t="s">
        <v>122</v>
      </c>
      <c r="D14" s="17" t="n">
        <v>32.05</v>
      </c>
      <c r="E14" s="18" t="n">
        <v>78682.75</v>
      </c>
      <c r="F14" s="15" t="s">
        <v>96</v>
      </c>
      <c r="G14" s="15" t="s">
        <v>97</v>
      </c>
      <c r="H14" s="18" t="n">
        <v>236.694000000003</v>
      </c>
      <c r="I14" s="16" t="s">
        <v>128</v>
      </c>
      <c r="J14" s="15" t="s">
        <v>129</v>
      </c>
      <c r="K14" s="16" t="s">
        <v>122</v>
      </c>
      <c r="L14" s="17" t="n">
        <v>32.05</v>
      </c>
      <c r="M14" s="18" t="n">
        <v>78682.75</v>
      </c>
      <c r="N14" s="15" t="s">
        <v>94</v>
      </c>
      <c r="O14" s="15" t="s">
        <v>97</v>
      </c>
      <c r="P14" s="15" t="s">
        <v>96</v>
      </c>
      <c r="Q14" s="18" t="n">
        <v>396.77900000001</v>
      </c>
      <c r="R14" s="19" t="n">
        <f aca="false">IF(Q14="","",Q14-H14)</f>
        <v>160.085000000007</v>
      </c>
      <c r="S14" s="18" t="n">
        <v>160.25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-0.16</v>
      </c>
      <c r="Z14" s="18" t="n">
        <f aca="false">IF(Q14="","",SUM(S14:Y14)-R14)</f>
        <v>0.0049999999935153</v>
      </c>
      <c r="AA14" s="20" t="s">
        <v>126</v>
      </c>
    </row>
    <row r="15" customFormat="false" ht="29.85" hidden="false" customHeight="false" outlineLevel="0" collapsed="false">
      <c r="A15" s="15" t="s">
        <v>94</v>
      </c>
      <c r="B15" s="15" t="n">
        <v>15</v>
      </c>
      <c r="C15" s="16" t="s">
        <v>122</v>
      </c>
      <c r="D15" s="17" t="n">
        <v>28.47</v>
      </c>
      <c r="E15" s="18" t="n">
        <v>68569.64</v>
      </c>
      <c r="F15" s="15" t="s">
        <v>96</v>
      </c>
      <c r="G15" s="15" t="s">
        <v>97</v>
      </c>
      <c r="H15" s="18" t="n">
        <v>204.377949999999</v>
      </c>
      <c r="I15" s="16" t="s">
        <v>130</v>
      </c>
      <c r="J15" s="15" t="s">
        <v>131</v>
      </c>
      <c r="K15" s="16" t="s">
        <v>122</v>
      </c>
      <c r="L15" s="17" t="n">
        <v>28.47</v>
      </c>
      <c r="M15" s="18" t="n">
        <v>68569.64</v>
      </c>
      <c r="N15" s="15" t="s">
        <v>94</v>
      </c>
      <c r="O15" s="15" t="s">
        <v>97</v>
      </c>
      <c r="P15" s="15" t="s">
        <v>96</v>
      </c>
      <c r="Q15" s="18" t="n">
        <v>246.337550000002</v>
      </c>
      <c r="R15" s="19" t="n">
        <f aca="false">IF(Q15="","",Q15-H15)</f>
        <v>41.9596000000034</v>
      </c>
      <c r="S15" s="18" t="n">
        <v>142.35</v>
      </c>
      <c r="T15" s="18" t="n">
        <v>0</v>
      </c>
      <c r="U15" s="18" t="n">
        <v>0</v>
      </c>
      <c r="V15" s="18" t="n">
        <v>0</v>
      </c>
      <c r="W15" s="18" t="n">
        <v>-100</v>
      </c>
      <c r="X15" s="18" t="n">
        <v>0</v>
      </c>
      <c r="Y15" s="18" t="n">
        <v>-0.39</v>
      </c>
      <c r="Z15" s="18" t="n">
        <f aca="false">IF(Q15="","",SUM(S15:Y15)-R15)</f>
        <v>0.000399999996588463</v>
      </c>
      <c r="AA15" s="20" t="s">
        <v>132</v>
      </c>
    </row>
    <row r="16" customFormat="false" ht="15" hidden="false" customHeight="false" outlineLevel="0" collapsed="false">
      <c r="A16" s="15" t="s">
        <v>94</v>
      </c>
      <c r="B16" s="15" t="n">
        <v>16</v>
      </c>
      <c r="C16" s="16" t="s">
        <v>122</v>
      </c>
      <c r="D16" s="17" t="n">
        <v>48.38</v>
      </c>
      <c r="E16" s="18" t="n">
        <v>116112</v>
      </c>
      <c r="F16" s="15" t="s">
        <v>96</v>
      </c>
      <c r="G16" s="15" t="s">
        <v>97</v>
      </c>
      <c r="H16" s="18" t="n">
        <v>344.059899999996</v>
      </c>
      <c r="I16" s="16" t="s">
        <v>133</v>
      </c>
      <c r="J16" s="15" t="s">
        <v>134</v>
      </c>
      <c r="K16" s="16" t="s">
        <v>122</v>
      </c>
      <c r="L16" s="17" t="n">
        <v>48.38</v>
      </c>
      <c r="M16" s="18" t="n">
        <v>116112</v>
      </c>
      <c r="N16" s="15" t="s">
        <v>94</v>
      </c>
      <c r="O16" s="15" t="s">
        <v>97</v>
      </c>
      <c r="P16" s="15" t="s">
        <v>96</v>
      </c>
      <c r="Q16" s="18" t="n">
        <v>585.639900000003</v>
      </c>
      <c r="R16" s="19" t="n">
        <f aca="false">IF(Q16="","",Q16-H16)</f>
        <v>241.580000000007</v>
      </c>
      <c r="S16" s="18" t="n">
        <v>241.9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-0.32</v>
      </c>
      <c r="Z16" s="18" t="n">
        <f aca="false">IF(Q16="","",SUM(S16:Y16)-R16)</f>
        <v>-7.41806616133545E-012</v>
      </c>
      <c r="AA16" s="20" t="s">
        <v>126</v>
      </c>
    </row>
    <row r="17" customFormat="false" ht="15" hidden="false" customHeight="false" outlineLevel="0" collapsed="false">
      <c r="A17" s="15" t="s">
        <v>94</v>
      </c>
      <c r="B17" s="15" t="n">
        <v>17</v>
      </c>
      <c r="C17" s="16" t="s">
        <v>135</v>
      </c>
      <c r="D17" s="17" t="n">
        <v>81.9</v>
      </c>
      <c r="E17" s="18" t="n">
        <v>191646</v>
      </c>
      <c r="F17" s="15" t="s">
        <v>96</v>
      </c>
      <c r="G17" s="15" t="s">
        <v>97</v>
      </c>
      <c r="H17" s="18" t="n">
        <v>557.88949999999</v>
      </c>
      <c r="I17" s="16" t="s">
        <v>136</v>
      </c>
      <c r="J17" s="15" t="s">
        <v>137</v>
      </c>
      <c r="K17" s="16" t="s">
        <v>135</v>
      </c>
      <c r="L17" s="17" t="n">
        <v>81.9</v>
      </c>
      <c r="M17" s="18" t="n">
        <v>191646</v>
      </c>
      <c r="N17" s="15" t="s">
        <v>94</v>
      </c>
      <c r="O17" s="15" t="s">
        <v>97</v>
      </c>
      <c r="P17" s="15" t="s">
        <v>96</v>
      </c>
      <c r="Q17" s="18" t="n">
        <v>966.829499999993</v>
      </c>
      <c r="R17" s="19" t="n">
        <f aca="false">IF(Q17="","",Q17-H17)</f>
        <v>408.940000000003</v>
      </c>
      <c r="S17" s="18" t="n">
        <v>409.5</v>
      </c>
      <c r="T17" s="18" t="n">
        <v>0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-0.56</v>
      </c>
      <c r="Z17" s="18" t="n">
        <f aca="false">IF(Q17="","",SUM(S17:Y17)-R17)</f>
        <v>-2.78532752417959E-012</v>
      </c>
      <c r="AA17" s="20" t="s">
        <v>126</v>
      </c>
    </row>
    <row r="18" customFormat="false" ht="15" hidden="false" customHeight="false" outlineLevel="0" collapsed="false">
      <c r="A18" s="15" t="s">
        <v>94</v>
      </c>
      <c r="B18" s="15" t="n">
        <v>18</v>
      </c>
      <c r="C18" s="16" t="s">
        <v>135</v>
      </c>
      <c r="D18" s="17" t="n">
        <v>18.52</v>
      </c>
      <c r="E18" s="18" t="n">
        <v>44448</v>
      </c>
      <c r="F18" s="15" t="s">
        <v>96</v>
      </c>
      <c r="G18" s="15" t="s">
        <v>97</v>
      </c>
      <c r="H18" s="18" t="n">
        <v>131.864599999998</v>
      </c>
      <c r="I18" s="16" t="s">
        <v>138</v>
      </c>
      <c r="J18" s="15" t="s">
        <v>139</v>
      </c>
      <c r="K18" s="16" t="s">
        <v>135</v>
      </c>
      <c r="L18" s="17" t="n">
        <v>18.52</v>
      </c>
      <c r="M18" s="18" t="n">
        <v>44448</v>
      </c>
      <c r="N18" s="15" t="s">
        <v>94</v>
      </c>
      <c r="O18" s="15" t="s">
        <v>97</v>
      </c>
      <c r="P18" s="15" t="s">
        <v>96</v>
      </c>
      <c r="Q18" s="18" t="n">
        <v>224.184599999999</v>
      </c>
      <c r="R18" s="19" t="n">
        <f aca="false">IF(Q18="","",Q18-H18)</f>
        <v>92.3200000000011</v>
      </c>
      <c r="S18" s="18" t="n">
        <v>92.6</v>
      </c>
      <c r="T18" s="18" t="n">
        <v>0</v>
      </c>
      <c r="U18" s="18" t="n">
        <v>0</v>
      </c>
      <c r="V18" s="18" t="n">
        <v>0</v>
      </c>
      <c r="W18" s="18" t="n">
        <v>0</v>
      </c>
      <c r="X18" s="18" t="n">
        <v>0</v>
      </c>
      <c r="Y18" s="18" t="n">
        <v>-0.28</v>
      </c>
      <c r="Z18" s="18" t="n">
        <f aca="false">IF(Q18="","",SUM(S18:Y18)-R18)</f>
        <v>-1.10844666778576E-012</v>
      </c>
      <c r="AA18" s="20" t="s">
        <v>126</v>
      </c>
    </row>
    <row r="19" customFormat="false" ht="15" hidden="false" customHeight="false" outlineLevel="0" collapsed="false">
      <c r="A19" s="15" t="s">
        <v>94</v>
      </c>
      <c r="B19" s="15" t="n">
        <v>19</v>
      </c>
      <c r="C19" s="16" t="s">
        <v>135</v>
      </c>
      <c r="D19" s="17" t="n">
        <v>38.2</v>
      </c>
      <c r="E19" s="18" t="n">
        <v>88624</v>
      </c>
      <c r="F19" s="15" t="s">
        <v>96</v>
      </c>
      <c r="G19" s="15" t="s">
        <v>97</v>
      </c>
      <c r="H19" s="18" t="n">
        <v>256.770999999993</v>
      </c>
      <c r="I19" s="16" t="s">
        <v>140</v>
      </c>
      <c r="J19" s="15" t="s">
        <v>118</v>
      </c>
      <c r="K19" s="16" t="s">
        <v>135</v>
      </c>
      <c r="L19" s="17" t="n">
        <v>38.2</v>
      </c>
      <c r="M19" s="18" t="n">
        <v>88624</v>
      </c>
      <c r="N19" s="15" t="s">
        <v>94</v>
      </c>
      <c r="O19" s="15" t="s">
        <v>97</v>
      </c>
      <c r="P19" s="15" t="s">
        <v>96</v>
      </c>
      <c r="Q19" s="18" t="n">
        <v>447.130999999994</v>
      </c>
      <c r="R19" s="19" t="n">
        <f aca="false">IF(Q19="","",Q19-H19)</f>
        <v>190.360000000001</v>
      </c>
      <c r="S19" s="18" t="n">
        <v>191</v>
      </c>
      <c r="T19" s="18" t="n">
        <v>0</v>
      </c>
      <c r="U19" s="18" t="n">
        <v>0</v>
      </c>
      <c r="V19" s="18" t="n">
        <v>0</v>
      </c>
      <c r="W19" s="18" t="n">
        <v>0</v>
      </c>
      <c r="X19" s="18" t="n">
        <v>0</v>
      </c>
      <c r="Y19" s="18" t="n">
        <v>-0.64</v>
      </c>
      <c r="Z19" s="18" t="n">
        <f aca="false">IF(Q19="","",SUM(S19:Y19)-R19)</f>
        <v>-7.38964445190504E-013</v>
      </c>
      <c r="AA19" s="20" t="s">
        <v>126</v>
      </c>
    </row>
    <row r="20" customFormat="false" ht="15" hidden="false" customHeight="false" outlineLevel="0" collapsed="false">
      <c r="A20" s="15" t="s">
        <v>94</v>
      </c>
      <c r="B20" s="15" t="n">
        <v>20</v>
      </c>
      <c r="C20" s="16" t="s">
        <v>135</v>
      </c>
      <c r="D20" s="17" t="n">
        <v>55.18</v>
      </c>
      <c r="E20" s="18" t="n">
        <v>130224.8</v>
      </c>
      <c r="F20" s="15" t="s">
        <v>96</v>
      </c>
      <c r="G20" s="15" t="s">
        <v>97</v>
      </c>
      <c r="H20" s="18" t="n">
        <v>381.345900000003</v>
      </c>
      <c r="I20" s="16" t="s">
        <v>141</v>
      </c>
      <c r="J20" s="15" t="s">
        <v>102</v>
      </c>
      <c r="K20" s="16" t="s">
        <v>135</v>
      </c>
      <c r="L20" s="17" t="n">
        <v>55.18</v>
      </c>
      <c r="M20" s="18" t="n">
        <v>130224.8</v>
      </c>
      <c r="N20" s="15" t="s">
        <v>94</v>
      </c>
      <c r="O20" s="15" t="s">
        <v>97</v>
      </c>
      <c r="P20" s="15" t="s">
        <v>96</v>
      </c>
      <c r="Q20" s="18" t="n">
        <v>656.917900000009</v>
      </c>
      <c r="R20" s="19" t="n">
        <f aca="false">IF(Q20="","",Q20-H20)</f>
        <v>275.572000000006</v>
      </c>
      <c r="S20" s="18" t="n">
        <v>275.9</v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-0.33</v>
      </c>
      <c r="Z20" s="18" t="n">
        <f aca="false">IF(Q20="","",SUM(S20:Y20)-R20)</f>
        <v>-0.00200000000614864</v>
      </c>
      <c r="AA20" s="20" t="s">
        <v>126</v>
      </c>
    </row>
    <row r="21" customFormat="false" ht="15" hidden="false" customHeight="false" outlineLevel="0" collapsed="false">
      <c r="A21" s="15" t="s">
        <v>94</v>
      </c>
      <c r="B21" s="15" t="n">
        <v>21</v>
      </c>
      <c r="C21" s="16" t="s">
        <v>135</v>
      </c>
      <c r="D21" s="17" t="n">
        <v>63.16</v>
      </c>
      <c r="E21" s="18" t="n">
        <v>153352.48</v>
      </c>
      <c r="F21" s="15" t="s">
        <v>96</v>
      </c>
      <c r="G21" s="15" t="s">
        <v>97</v>
      </c>
      <c r="H21" s="18" t="n">
        <v>457.72699999999</v>
      </c>
      <c r="I21" s="16" t="s">
        <v>142</v>
      </c>
      <c r="J21" s="15" t="s">
        <v>99</v>
      </c>
      <c r="K21" s="16" t="s">
        <v>135</v>
      </c>
      <c r="L21" s="17" t="n">
        <v>63.16</v>
      </c>
      <c r="M21" s="18" t="n">
        <v>153352.48</v>
      </c>
      <c r="N21" s="15" t="s">
        <v>94</v>
      </c>
      <c r="O21" s="15" t="s">
        <v>97</v>
      </c>
      <c r="P21" s="15" t="s">
        <v>96</v>
      </c>
      <c r="Q21" s="18" t="n">
        <v>773.394199999998</v>
      </c>
      <c r="R21" s="19" t="n">
        <f aca="false">IF(Q21="","",Q21-H21)</f>
        <v>315.667200000008</v>
      </c>
      <c r="S21" s="18" t="n">
        <v>315.8</v>
      </c>
      <c r="T21" s="18" t="n">
        <v>0</v>
      </c>
      <c r="U21" s="18" t="n">
        <v>0</v>
      </c>
      <c r="V21" s="18" t="n">
        <v>0</v>
      </c>
      <c r="W21" s="18" t="n">
        <v>0</v>
      </c>
      <c r="X21" s="18" t="n">
        <v>0</v>
      </c>
      <c r="Y21" s="18" t="n">
        <v>-0.13</v>
      </c>
      <c r="Z21" s="18" t="n">
        <f aca="false">IF(Q21="","",SUM(S21:Y21)-R21)</f>
        <v>0.0027999999919075</v>
      </c>
      <c r="AA21" s="20" t="s">
        <v>126</v>
      </c>
    </row>
    <row r="22" customFormat="false" ht="15" hidden="false" customHeight="false" outlineLevel="0" collapsed="false">
      <c r="A22" s="15" t="s">
        <v>94</v>
      </c>
      <c r="B22" s="15" t="n">
        <v>22</v>
      </c>
      <c r="C22" s="16" t="s">
        <v>135</v>
      </c>
      <c r="D22" s="17" t="n">
        <v>27.22</v>
      </c>
      <c r="E22" s="18" t="n">
        <v>66416.8</v>
      </c>
      <c r="F22" s="15" t="s">
        <v>96</v>
      </c>
      <c r="G22" s="15" t="s">
        <v>97</v>
      </c>
      <c r="H22" s="18" t="n">
        <v>199.290100000003</v>
      </c>
      <c r="I22" s="16" t="s">
        <v>143</v>
      </c>
      <c r="J22" s="15" t="s">
        <v>111</v>
      </c>
      <c r="K22" s="16" t="s">
        <v>135</v>
      </c>
      <c r="L22" s="17" t="n">
        <v>27.22</v>
      </c>
      <c r="M22" s="18" t="n">
        <v>66416.8</v>
      </c>
      <c r="N22" s="15" t="s">
        <v>94</v>
      </c>
      <c r="O22" s="15" t="s">
        <v>97</v>
      </c>
      <c r="P22" s="15" t="s">
        <v>96</v>
      </c>
      <c r="Q22" s="18" t="n">
        <v>334.942099999999</v>
      </c>
      <c r="R22" s="19" t="n">
        <f aca="false">IF(Q22="","",Q22-H22)</f>
        <v>135.651999999996</v>
      </c>
      <c r="S22" s="18" t="n">
        <v>136.1</v>
      </c>
      <c r="T22" s="18" t="n">
        <v>0</v>
      </c>
      <c r="U22" s="18" t="n">
        <v>0</v>
      </c>
      <c r="V22" s="18" t="n">
        <v>0</v>
      </c>
      <c r="W22" s="18" t="n">
        <v>0</v>
      </c>
      <c r="X22" s="18" t="n">
        <v>0</v>
      </c>
      <c r="Y22" s="18" t="n">
        <v>-0.45</v>
      </c>
      <c r="Z22" s="18" t="n">
        <f aca="false">IF(Q22="","",SUM(S22:Y22)-R22)</f>
        <v>-0.00199999999566103</v>
      </c>
      <c r="AA22" s="20" t="s">
        <v>126</v>
      </c>
    </row>
    <row r="23" customFormat="false" ht="15" hidden="false" customHeight="false" outlineLevel="0" collapsed="false">
      <c r="A23" s="15" t="s">
        <v>94</v>
      </c>
      <c r="B23" s="15" t="n">
        <v>23</v>
      </c>
      <c r="C23" s="16" t="s">
        <v>135</v>
      </c>
      <c r="D23" s="17" t="n">
        <v>34.22</v>
      </c>
      <c r="E23" s="18" t="n">
        <v>83496.8</v>
      </c>
      <c r="F23" s="15" t="s">
        <v>96</v>
      </c>
      <c r="G23" s="15" t="s">
        <v>97</v>
      </c>
      <c r="H23" s="18" t="n">
        <v>250.225100000008</v>
      </c>
      <c r="I23" s="16" t="s">
        <v>144</v>
      </c>
      <c r="J23" s="15" t="s">
        <v>129</v>
      </c>
      <c r="K23" s="16" t="s">
        <v>135</v>
      </c>
      <c r="L23" s="17" t="n">
        <v>34.22</v>
      </c>
      <c r="M23" s="18" t="n">
        <v>83496.8</v>
      </c>
      <c r="N23" s="15" t="s">
        <v>94</v>
      </c>
      <c r="O23" s="15" t="s">
        <v>97</v>
      </c>
      <c r="P23" s="15" t="s">
        <v>96</v>
      </c>
      <c r="Q23" s="18" t="n">
        <v>421.077100000001</v>
      </c>
      <c r="R23" s="19" t="n">
        <f aca="false">IF(Q23="","",Q23-H23)</f>
        <v>170.851999999993</v>
      </c>
      <c r="S23" s="18" t="n">
        <v>171.1</v>
      </c>
      <c r="T23" s="18" t="n">
        <v>0</v>
      </c>
      <c r="U23" s="18" t="n">
        <v>0</v>
      </c>
      <c r="V23" s="18" t="n">
        <v>0</v>
      </c>
      <c r="W23" s="18" t="n">
        <v>0</v>
      </c>
      <c r="X23" s="18" t="n">
        <v>0</v>
      </c>
      <c r="Y23" s="18" t="n">
        <v>-0.25</v>
      </c>
      <c r="Z23" s="18" t="n">
        <f aca="false">IF(Q23="","",SUM(S23:Y23)-R23)</f>
        <v>-0.00199999999281886</v>
      </c>
      <c r="AA23" s="20" t="s">
        <v>126</v>
      </c>
    </row>
    <row r="24" customFormat="false" ht="15" hidden="false" customHeight="false" outlineLevel="0" collapsed="false">
      <c r="A24" s="15" t="s">
        <v>94</v>
      </c>
      <c r="B24" s="15" t="n">
        <v>24</v>
      </c>
      <c r="C24" s="16" t="s">
        <v>135</v>
      </c>
      <c r="D24" s="17" t="n">
        <v>67.8</v>
      </c>
      <c r="E24" s="18" t="n">
        <v>151872</v>
      </c>
      <c r="F24" s="15" t="s">
        <v>96</v>
      </c>
      <c r="G24" s="15" t="s">
        <v>97</v>
      </c>
      <c r="H24" s="18" t="n">
        <v>428.399000000005</v>
      </c>
      <c r="I24" s="16" t="s">
        <v>145</v>
      </c>
      <c r="J24" s="15" t="s">
        <v>118</v>
      </c>
      <c r="K24" s="16" t="s">
        <v>135</v>
      </c>
      <c r="L24" s="17" t="n">
        <v>67.8</v>
      </c>
      <c r="M24" s="18" t="n">
        <v>151872</v>
      </c>
      <c r="N24" s="15" t="s">
        <v>94</v>
      </c>
      <c r="O24" s="15" t="s">
        <v>97</v>
      </c>
      <c r="P24" s="15" t="s">
        <v>96</v>
      </c>
      <c r="Q24" s="18" t="n">
        <v>766.479000000007</v>
      </c>
      <c r="R24" s="19" t="n">
        <f aca="false">IF(Q24="","",Q24-H24)</f>
        <v>338.080000000002</v>
      </c>
      <c r="S24" s="18" t="n">
        <v>339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-0.92</v>
      </c>
      <c r="Z24" s="18" t="n">
        <f aca="false">IF(Q24="","",SUM(S24:Y24)-R24)</f>
        <v>-1.64845914696343E-012</v>
      </c>
      <c r="AA24" s="20" t="s">
        <v>126</v>
      </c>
    </row>
    <row r="25" customFormat="false" ht="15" hidden="false" customHeight="false" outlineLevel="0" collapsed="false">
      <c r="A25" s="15" t="s">
        <v>94</v>
      </c>
      <c r="B25" s="15" t="n">
        <v>25</v>
      </c>
      <c r="C25" s="16" t="s">
        <v>135</v>
      </c>
      <c r="D25" s="17" t="n">
        <v>32.52</v>
      </c>
      <c r="E25" s="18" t="n">
        <v>78048</v>
      </c>
      <c r="F25" s="15" t="s">
        <v>96</v>
      </c>
      <c r="G25" s="15" t="s">
        <v>97</v>
      </c>
      <c r="H25" s="18" t="n">
        <v>231.334599999999</v>
      </c>
      <c r="I25" s="16" t="s">
        <v>146</v>
      </c>
      <c r="J25" s="15" t="s">
        <v>147</v>
      </c>
      <c r="K25" s="16" t="s">
        <v>135</v>
      </c>
      <c r="L25" s="17" t="n">
        <v>32.52</v>
      </c>
      <c r="M25" s="18" t="n">
        <v>78048</v>
      </c>
      <c r="N25" s="15" t="s">
        <v>94</v>
      </c>
      <c r="O25" s="15" t="s">
        <v>97</v>
      </c>
      <c r="P25" s="15" t="s">
        <v>96</v>
      </c>
      <c r="Q25" s="18" t="n">
        <v>393.6546</v>
      </c>
      <c r="R25" s="19" t="n">
        <f aca="false">IF(Q25="","",Q25-H25)</f>
        <v>162.320000000001</v>
      </c>
      <c r="S25" s="18" t="n">
        <v>162.6</v>
      </c>
      <c r="T25" s="18" t="n">
        <v>0</v>
      </c>
      <c r="U25" s="18" t="n">
        <v>0</v>
      </c>
      <c r="V25" s="18" t="n">
        <v>0</v>
      </c>
      <c r="W25" s="18" t="n">
        <v>0</v>
      </c>
      <c r="X25" s="18" t="n">
        <v>0</v>
      </c>
      <c r="Y25" s="18" t="n">
        <v>-0.28</v>
      </c>
      <c r="Z25" s="18" t="n">
        <f aca="false">IF(Q25="","",SUM(S25:Y25)-R25)</f>
        <v>-1.19371179607697E-012</v>
      </c>
      <c r="AA25" s="20" t="s">
        <v>126</v>
      </c>
    </row>
    <row r="26" customFormat="false" ht="15" hidden="false" customHeight="false" outlineLevel="0" collapsed="false">
      <c r="A26" s="15" t="s">
        <v>94</v>
      </c>
      <c r="B26" s="15" t="n">
        <v>26</v>
      </c>
      <c r="C26" s="16" t="s">
        <v>135</v>
      </c>
      <c r="D26" s="17" t="n">
        <v>29</v>
      </c>
      <c r="E26" s="18" t="n">
        <v>71369</v>
      </c>
      <c r="F26" s="15" t="s">
        <v>96</v>
      </c>
      <c r="G26" s="15" t="s">
        <v>97</v>
      </c>
      <c r="H26" s="18" t="n">
        <v>215.229999999996</v>
      </c>
      <c r="I26" s="16" t="s">
        <v>148</v>
      </c>
      <c r="J26" s="15" t="s">
        <v>149</v>
      </c>
      <c r="K26" s="16" t="s">
        <v>135</v>
      </c>
      <c r="L26" s="17" t="n">
        <v>29</v>
      </c>
      <c r="M26" s="18" t="n">
        <v>71369</v>
      </c>
      <c r="N26" s="15" t="s">
        <v>94</v>
      </c>
      <c r="O26" s="15" t="s">
        <v>97</v>
      </c>
      <c r="P26" s="15" t="s">
        <v>96</v>
      </c>
      <c r="Q26" s="18" t="n">
        <v>359.889999999999</v>
      </c>
      <c r="R26" s="19" t="n">
        <f aca="false">IF(Q26="","",Q26-H26)</f>
        <v>144.660000000003</v>
      </c>
      <c r="S26" s="18" t="n">
        <v>145</v>
      </c>
      <c r="T26" s="18" t="n">
        <v>0</v>
      </c>
      <c r="U26" s="18" t="n">
        <v>0</v>
      </c>
      <c r="V26" s="18" t="n">
        <v>0</v>
      </c>
      <c r="W26" s="18" t="n">
        <v>0</v>
      </c>
      <c r="X26" s="18" t="n">
        <v>0</v>
      </c>
      <c r="Y26" s="18" t="n">
        <v>-0.34</v>
      </c>
      <c r="Z26" s="18" t="n">
        <f aca="false">IF(Q26="","",SUM(S26:Y26)-R26)</f>
        <v>-3.41060513164848E-012</v>
      </c>
      <c r="AA26" s="20" t="s">
        <v>126</v>
      </c>
    </row>
    <row r="27" customFormat="false" ht="15" hidden="false" customHeight="false" outlineLevel="0" collapsed="false">
      <c r="A27" s="15" t="s">
        <v>94</v>
      </c>
      <c r="B27" s="15" t="n">
        <v>27</v>
      </c>
      <c r="C27" s="16" t="s">
        <v>150</v>
      </c>
      <c r="D27" s="17" t="n">
        <v>81.36</v>
      </c>
      <c r="E27" s="18" t="n">
        <v>204213.6</v>
      </c>
      <c r="F27" s="15" t="s">
        <v>96</v>
      </c>
      <c r="G27" s="15" t="s">
        <v>97</v>
      </c>
      <c r="H27" s="18" t="n">
        <v>623.506800000009</v>
      </c>
      <c r="I27" s="16" t="s">
        <v>151</v>
      </c>
      <c r="J27" s="15" t="s">
        <v>99</v>
      </c>
      <c r="K27" s="16" t="s">
        <v>150</v>
      </c>
      <c r="L27" s="17" t="n">
        <v>81.36</v>
      </c>
      <c r="M27" s="18" t="n">
        <v>204213.6</v>
      </c>
      <c r="N27" s="15" t="s">
        <v>94</v>
      </c>
      <c r="O27" s="15" t="s">
        <v>97</v>
      </c>
      <c r="P27" s="15" t="s">
        <v>96</v>
      </c>
      <c r="Q27" s="18" t="n">
        <v>1029.61080000001</v>
      </c>
      <c r="R27" s="19" t="n">
        <f aca="false">IF(Q27="","",Q27-H27)</f>
        <v>406.104000000003</v>
      </c>
      <c r="S27" s="18" t="n">
        <v>406.8</v>
      </c>
      <c r="T27" s="18" t="n">
        <v>0</v>
      </c>
      <c r="U27" s="18" t="n">
        <v>0</v>
      </c>
      <c r="V27" s="18" t="n">
        <v>0</v>
      </c>
      <c r="W27" s="18" t="n">
        <v>0</v>
      </c>
      <c r="X27" s="18" t="n">
        <v>0</v>
      </c>
      <c r="Y27" s="18" t="n">
        <v>-0.7</v>
      </c>
      <c r="Z27" s="18" t="n">
        <f aca="false">IF(Q27="","",SUM(S27:Y27)-R27)</f>
        <v>-0.00400000000297496</v>
      </c>
      <c r="AA27" s="20" t="s">
        <v>126</v>
      </c>
    </row>
    <row r="28" customFormat="false" ht="15" hidden="false" customHeight="false" outlineLevel="0" collapsed="false">
      <c r="A28" s="15" t="s">
        <v>94</v>
      </c>
      <c r="B28" s="15" t="n">
        <v>28</v>
      </c>
      <c r="C28" s="16" t="s">
        <v>150</v>
      </c>
      <c r="D28" s="17" t="n">
        <v>48.75</v>
      </c>
      <c r="E28" s="18" t="n">
        <v>117000</v>
      </c>
      <c r="F28" s="15" t="s">
        <v>96</v>
      </c>
      <c r="G28" s="15" t="s">
        <v>97</v>
      </c>
      <c r="H28" s="18" t="n">
        <v>346.368749999994</v>
      </c>
      <c r="I28" s="16" t="s">
        <v>152</v>
      </c>
      <c r="J28" s="15" t="s">
        <v>134</v>
      </c>
      <c r="K28" s="16" t="s">
        <v>150</v>
      </c>
      <c r="L28" s="17" t="n">
        <v>48.75</v>
      </c>
      <c r="M28" s="18" t="n">
        <v>117000</v>
      </c>
      <c r="N28" s="15" t="s">
        <v>94</v>
      </c>
      <c r="O28" s="15" t="s">
        <v>97</v>
      </c>
      <c r="P28" s="15" t="s">
        <v>96</v>
      </c>
      <c r="Q28" s="18" t="n">
        <v>590.118749999994</v>
      </c>
      <c r="R28" s="19" t="n">
        <f aca="false">IF(Q28="","",Q28-H28)</f>
        <v>243.75</v>
      </c>
      <c r="S28" s="18" t="n">
        <v>243.75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f aca="false">IF(Q28="","",SUM(S28:Y28)-R28)</f>
        <v>0</v>
      </c>
      <c r="AA28" s="20" t="s">
        <v>126</v>
      </c>
    </row>
    <row r="29" customFormat="false" ht="44" hidden="false" customHeight="false" outlineLevel="0" collapsed="false">
      <c r="A29" s="15" t="s">
        <v>94</v>
      </c>
      <c r="B29" s="15" t="n">
        <v>29</v>
      </c>
      <c r="C29" s="16" t="s">
        <v>150</v>
      </c>
      <c r="D29" s="17" t="n">
        <v>99.68</v>
      </c>
      <c r="E29" s="18" t="n">
        <v>248796.8</v>
      </c>
      <c r="F29" s="15" t="s">
        <v>96</v>
      </c>
      <c r="G29" s="15" t="s">
        <v>97</v>
      </c>
      <c r="H29" s="18" t="n">
        <v>756.298399999988</v>
      </c>
      <c r="I29" s="16" t="s">
        <v>153</v>
      </c>
      <c r="J29" s="15" t="s">
        <v>154</v>
      </c>
      <c r="K29" s="16" t="s">
        <v>150</v>
      </c>
      <c r="L29" s="17" t="n">
        <v>99.68</v>
      </c>
      <c r="M29" s="18" t="n">
        <v>248796.8</v>
      </c>
      <c r="N29" s="15" t="s">
        <v>155</v>
      </c>
      <c r="O29" s="15" t="s">
        <v>97</v>
      </c>
      <c r="P29" s="15" t="s">
        <v>96</v>
      </c>
      <c r="Q29" s="18" t="n">
        <v>1354.45039999999</v>
      </c>
      <c r="R29" s="19" t="n">
        <f aca="false">IF(Q29="","",Q29-H29)</f>
        <v>598.152</v>
      </c>
      <c r="S29" s="18" t="n">
        <v>498.4</v>
      </c>
      <c r="T29" s="18" t="n">
        <v>100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-0.25</v>
      </c>
      <c r="Z29" s="18" t="n">
        <f aca="false">IF(Q29="","",SUM(S29:Y29)-R29)</f>
        <v>-0.00199999999995271</v>
      </c>
      <c r="AA29" s="20" t="s">
        <v>156</v>
      </c>
    </row>
    <row r="30" customFormat="false" ht="15" hidden="false" customHeight="false" outlineLevel="0" collapsed="false">
      <c r="A30" s="15" t="s">
        <v>94</v>
      </c>
      <c r="B30" s="15" t="n">
        <v>30</v>
      </c>
      <c r="C30" s="16" t="s">
        <v>150</v>
      </c>
      <c r="D30" s="17" t="n">
        <v>66.06</v>
      </c>
      <c r="E30" s="18" t="n">
        <v>147974.4</v>
      </c>
      <c r="F30" s="15" t="s">
        <v>96</v>
      </c>
      <c r="G30" s="15" t="s">
        <v>97</v>
      </c>
      <c r="H30" s="18" t="n">
        <v>417.492299999989</v>
      </c>
      <c r="I30" s="16" t="s">
        <v>157</v>
      </c>
      <c r="J30" s="15" t="s">
        <v>99</v>
      </c>
      <c r="K30" s="16" t="s">
        <v>150</v>
      </c>
      <c r="L30" s="17" t="n">
        <v>66.06</v>
      </c>
      <c r="M30" s="18" t="n">
        <v>147974.4</v>
      </c>
      <c r="N30" s="15" t="s">
        <v>94</v>
      </c>
      <c r="O30" s="15" t="s">
        <v>97</v>
      </c>
      <c r="P30" s="15" t="s">
        <v>96</v>
      </c>
      <c r="Q30" s="18" t="n">
        <v>746.808299999993</v>
      </c>
      <c r="R30" s="19" t="n">
        <f aca="false">IF(Q30="","",Q30-H30)</f>
        <v>329.316000000004</v>
      </c>
      <c r="S30" s="18" t="n">
        <v>330.3</v>
      </c>
      <c r="T30" s="18" t="n">
        <v>0</v>
      </c>
      <c r="U30" s="18" t="n">
        <v>0</v>
      </c>
      <c r="V30" s="18" t="n">
        <v>0</v>
      </c>
      <c r="W30" s="18" t="n">
        <v>0</v>
      </c>
      <c r="X30" s="18" t="n">
        <v>0</v>
      </c>
      <c r="Y30" s="18" t="n">
        <v>-0.98</v>
      </c>
      <c r="Z30" s="18" t="n">
        <f aca="false">IF(Q30="","",SUM(S30:Y30)-R30)</f>
        <v>0.00399999999632428</v>
      </c>
      <c r="AA30" s="20" t="s">
        <v>126</v>
      </c>
    </row>
    <row r="31" customFormat="false" ht="15" hidden="false" customHeight="false" outlineLevel="0" collapsed="false">
      <c r="A31" s="15" t="s">
        <v>94</v>
      </c>
      <c r="B31" s="15" t="n">
        <v>31</v>
      </c>
      <c r="C31" s="16" t="s">
        <v>158</v>
      </c>
      <c r="D31" s="17" t="n">
        <v>67.96</v>
      </c>
      <c r="E31" s="18" t="n">
        <v>152230.4</v>
      </c>
      <c r="F31" s="15" t="s">
        <v>96</v>
      </c>
      <c r="G31" s="15" t="s">
        <v>97</v>
      </c>
      <c r="H31" s="18" t="n">
        <v>428.631800000009</v>
      </c>
      <c r="I31" s="16" t="s">
        <v>159</v>
      </c>
      <c r="J31" s="15" t="s">
        <v>99</v>
      </c>
      <c r="K31" s="16" t="s">
        <v>158</v>
      </c>
      <c r="L31" s="17" t="n">
        <v>67.96</v>
      </c>
      <c r="M31" s="18" t="n">
        <v>152230.4</v>
      </c>
      <c r="N31" s="15" t="s">
        <v>94</v>
      </c>
      <c r="O31" s="15" t="s">
        <v>97</v>
      </c>
      <c r="P31" s="15" t="s">
        <v>96</v>
      </c>
      <c r="Q31" s="18" t="n">
        <v>768.287800000009</v>
      </c>
      <c r="R31" s="19" t="n">
        <f aca="false">IF(Q31="","",Q31-H31)</f>
        <v>339.656</v>
      </c>
      <c r="S31" s="18" t="n">
        <v>339.8</v>
      </c>
      <c r="T31" s="18" t="n">
        <v>0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-0.14</v>
      </c>
      <c r="Z31" s="18" t="n">
        <f aca="false">IF(Q31="","",SUM(S31:Y31)-R31)</f>
        <v>0.00400000000053069</v>
      </c>
      <c r="AA31" s="20" t="s">
        <v>126</v>
      </c>
    </row>
    <row r="32" customFormat="false" ht="29.85" hidden="false" customHeight="false" outlineLevel="0" collapsed="false">
      <c r="A32" s="15" t="s">
        <v>94</v>
      </c>
      <c r="B32" s="15" t="n">
        <v>32</v>
      </c>
      <c r="C32" s="16" t="s">
        <v>158</v>
      </c>
      <c r="D32" s="17" t="n">
        <v>46.28</v>
      </c>
      <c r="E32" s="18" t="n">
        <v>107924.96</v>
      </c>
      <c r="F32" s="15" t="s">
        <v>96</v>
      </c>
      <c r="G32" s="15" t="s">
        <v>97</v>
      </c>
      <c r="H32" s="18" t="n">
        <v>313.549799999996</v>
      </c>
      <c r="I32" s="16" t="s">
        <v>160</v>
      </c>
      <c r="J32" s="15" t="s">
        <v>149</v>
      </c>
      <c r="K32" s="16" t="s">
        <v>158</v>
      </c>
      <c r="L32" s="17" t="n">
        <v>46.28</v>
      </c>
      <c r="M32" s="18" t="n">
        <v>107924.96</v>
      </c>
      <c r="N32" s="15" t="s">
        <v>97</v>
      </c>
      <c r="O32" s="15" t="s">
        <v>97</v>
      </c>
      <c r="P32" s="15" t="s">
        <v>96</v>
      </c>
      <c r="Q32" s="18" t="n">
        <v>775.884199999986</v>
      </c>
      <c r="R32" s="19" t="n">
        <f aca="false">IF(Q32="","",Q32-H32)</f>
        <v>462.33439999999</v>
      </c>
      <c r="S32" s="18" t="n">
        <v>231.4</v>
      </c>
      <c r="T32" s="18" t="n">
        <v>231.4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-0.47</v>
      </c>
      <c r="Z32" s="18" t="n">
        <f aca="false">IF(Q32="","",SUM(S32:Y32)-R32)</f>
        <v>-0.00439999998985741</v>
      </c>
      <c r="AA32" s="20" t="s">
        <v>161</v>
      </c>
    </row>
    <row r="33" customFormat="false" ht="15" hidden="false" customHeight="false" outlineLevel="0" collapsed="false">
      <c r="A33" s="15" t="s">
        <v>94</v>
      </c>
      <c r="B33" s="15" t="n">
        <v>33</v>
      </c>
      <c r="C33" s="16" t="s">
        <v>158</v>
      </c>
      <c r="D33" s="17" t="n">
        <v>83.78</v>
      </c>
      <c r="E33" s="18" t="n">
        <v>211125.6</v>
      </c>
      <c r="F33" s="15" t="s">
        <v>96</v>
      </c>
      <c r="G33" s="15" t="s">
        <v>97</v>
      </c>
      <c r="H33" s="18" t="n">
        <v>645.54090000001</v>
      </c>
      <c r="I33" s="16" t="s">
        <v>162</v>
      </c>
      <c r="J33" s="15" t="s">
        <v>99</v>
      </c>
      <c r="K33" s="16" t="s">
        <v>158</v>
      </c>
      <c r="L33" s="17" t="n">
        <v>83.78</v>
      </c>
      <c r="M33" s="18" t="n">
        <v>211125.6</v>
      </c>
      <c r="N33" s="15" t="s">
        <v>94</v>
      </c>
      <c r="O33" s="15" t="s">
        <v>97</v>
      </c>
      <c r="P33" s="15" t="s">
        <v>96</v>
      </c>
      <c r="Q33" s="18" t="n">
        <v>1064.42490000001</v>
      </c>
      <c r="R33" s="19" t="n">
        <f aca="false">IF(Q33="","",Q33-H33)</f>
        <v>418.883999999997</v>
      </c>
      <c r="S33" s="18" t="n">
        <v>418.9</v>
      </c>
      <c r="T33" s="18" t="n">
        <v>0</v>
      </c>
      <c r="U33" s="18" t="n">
        <v>0</v>
      </c>
      <c r="V33" s="18" t="n">
        <v>0</v>
      </c>
      <c r="W33" s="18" t="n">
        <v>0</v>
      </c>
      <c r="X33" s="18" t="n">
        <v>0</v>
      </c>
      <c r="Y33" s="18" t="n">
        <v>-0.02</v>
      </c>
      <c r="Z33" s="18" t="n">
        <f aca="false">IF(Q33="","",SUM(S33:Y33)-R33)</f>
        <v>-0.00399999999706324</v>
      </c>
      <c r="AA33" s="20" t="s">
        <v>126</v>
      </c>
    </row>
    <row r="34" customFormat="false" ht="15" hidden="false" customHeight="false" outlineLevel="0" collapsed="false">
      <c r="A34" s="15" t="s">
        <v>94</v>
      </c>
      <c r="B34" s="15" t="n">
        <v>34</v>
      </c>
      <c r="C34" s="16" t="s">
        <v>158</v>
      </c>
      <c r="D34" s="17" t="n">
        <v>43.34</v>
      </c>
      <c r="E34" s="18" t="n">
        <v>101068.88</v>
      </c>
      <c r="F34" s="15" t="s">
        <v>96</v>
      </c>
      <c r="G34" s="15" t="s">
        <v>97</v>
      </c>
      <c r="H34" s="18" t="n">
        <v>293.43189999999</v>
      </c>
      <c r="I34" s="16" t="s">
        <v>163</v>
      </c>
      <c r="J34" s="15" t="s">
        <v>164</v>
      </c>
      <c r="K34" s="16" t="s">
        <v>158</v>
      </c>
      <c r="L34" s="17" t="n">
        <v>43.34</v>
      </c>
      <c r="M34" s="18" t="n">
        <v>101068.88</v>
      </c>
      <c r="N34" s="15" t="s">
        <v>94</v>
      </c>
      <c r="O34" s="15" t="s">
        <v>97</v>
      </c>
      <c r="P34" s="15" t="s">
        <v>96</v>
      </c>
      <c r="Q34" s="18" t="n">
        <v>509.895099999991</v>
      </c>
      <c r="R34" s="19" t="n">
        <f aca="false">IF(Q34="","",Q34-H34)</f>
        <v>216.463200000001</v>
      </c>
      <c r="S34" s="18" t="n">
        <v>216.7</v>
      </c>
      <c r="T34" s="18" t="n">
        <v>0</v>
      </c>
      <c r="U34" s="18" t="n">
        <v>0</v>
      </c>
      <c r="V34" s="18" t="n">
        <v>0</v>
      </c>
      <c r="W34" s="18" t="n">
        <v>0</v>
      </c>
      <c r="X34" s="18" t="n">
        <v>0</v>
      </c>
      <c r="Y34" s="18" t="n">
        <v>-0.24</v>
      </c>
      <c r="Z34" s="18" t="n">
        <f aca="false">IF(Q34="","",SUM(S34:Y34)-R34)</f>
        <v>-0.00320000000135678</v>
      </c>
      <c r="AA34" s="20" t="s">
        <v>126</v>
      </c>
    </row>
    <row r="35" customFormat="false" ht="29.85" hidden="false" customHeight="false" outlineLevel="0" collapsed="false">
      <c r="A35" s="15" t="s">
        <v>94</v>
      </c>
      <c r="B35" s="15" t="n">
        <v>35</v>
      </c>
      <c r="C35" s="16" t="s">
        <v>158</v>
      </c>
      <c r="D35" s="17" t="n">
        <v>78.64</v>
      </c>
      <c r="E35" s="18" t="n">
        <v>181501.12</v>
      </c>
      <c r="F35" s="15" t="s">
        <v>96</v>
      </c>
      <c r="G35" s="15" t="s">
        <v>97</v>
      </c>
      <c r="H35" s="18" t="n">
        <v>523.526000000007</v>
      </c>
      <c r="I35" s="16" t="s">
        <v>165</v>
      </c>
      <c r="J35" s="15" t="s">
        <v>166</v>
      </c>
      <c r="K35" s="16" t="s">
        <v>158</v>
      </c>
      <c r="L35" s="17" t="n">
        <v>78.64</v>
      </c>
      <c r="M35" s="18" t="n">
        <v>181501.12</v>
      </c>
      <c r="N35" s="15" t="s">
        <v>97</v>
      </c>
      <c r="O35" s="15" t="s">
        <v>97</v>
      </c>
      <c r="P35" s="15" t="s">
        <v>96</v>
      </c>
      <c r="Q35" s="18" t="n">
        <v>1308.96280000001</v>
      </c>
      <c r="R35" s="19" t="n">
        <f aca="false">IF(Q35="","",Q35-H35)</f>
        <v>785.436800000001</v>
      </c>
      <c r="S35" s="18" t="n">
        <v>393.2</v>
      </c>
      <c r="T35" s="18" t="n">
        <v>393.2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-0.96</v>
      </c>
      <c r="Z35" s="18" t="n">
        <f aca="false">IF(Q35="","",SUM(S35:Y35)-R35)</f>
        <v>0.00319999999896936</v>
      </c>
      <c r="AA35" s="20" t="s">
        <v>161</v>
      </c>
    </row>
    <row r="36" customFormat="false" ht="29.85" hidden="false" customHeight="false" outlineLevel="0" collapsed="false">
      <c r="A36" s="15" t="s">
        <v>94</v>
      </c>
      <c r="B36" s="15" t="n">
        <v>36</v>
      </c>
      <c r="C36" s="16" t="s">
        <v>158</v>
      </c>
      <c r="D36" s="17" t="n">
        <v>83.26</v>
      </c>
      <c r="E36" s="18" t="n">
        <v>192164.08</v>
      </c>
      <c r="F36" s="15" t="s">
        <v>96</v>
      </c>
      <c r="G36" s="15" t="s">
        <v>97</v>
      </c>
      <c r="H36" s="18" t="n">
        <v>553.371500000014</v>
      </c>
      <c r="I36" s="16" t="s">
        <v>167</v>
      </c>
      <c r="J36" s="15" t="s">
        <v>137</v>
      </c>
      <c r="K36" s="16" t="s">
        <v>158</v>
      </c>
      <c r="L36" s="17" t="n">
        <v>83.26</v>
      </c>
      <c r="M36" s="18" t="n">
        <v>192164.08</v>
      </c>
      <c r="N36" s="15" t="s">
        <v>97</v>
      </c>
      <c r="O36" s="15" t="s">
        <v>97</v>
      </c>
      <c r="P36" s="15" t="s">
        <v>96</v>
      </c>
      <c r="Q36" s="18" t="n">
        <v>1385.8627</v>
      </c>
      <c r="R36" s="19" t="n">
        <f aca="false">IF(Q36="","",Q36-H36)</f>
        <v>832.491199999984</v>
      </c>
      <c r="S36" s="18" t="n">
        <v>416.3</v>
      </c>
      <c r="T36" s="18" t="n">
        <v>416.3</v>
      </c>
      <c r="U36" s="18" t="n">
        <v>0</v>
      </c>
      <c r="V36" s="18" t="n">
        <v>0</v>
      </c>
      <c r="W36" s="18" t="n">
        <v>0</v>
      </c>
      <c r="X36" s="18" t="n">
        <v>0</v>
      </c>
      <c r="Y36" s="18" t="n">
        <v>-0.11</v>
      </c>
      <c r="Z36" s="18" t="n">
        <f aca="false">IF(Q36="","",SUM(S36:Y36)-R36)</f>
        <v>-0.00119999998412368</v>
      </c>
      <c r="AA36" s="20" t="s">
        <v>161</v>
      </c>
    </row>
    <row r="37" customFormat="false" ht="15" hidden="false" customHeight="false" outlineLevel="0" collapsed="false">
      <c r="A37" s="15" t="s">
        <v>94</v>
      </c>
      <c r="B37" s="15" t="n">
        <v>37</v>
      </c>
      <c r="C37" s="16" t="s">
        <v>158</v>
      </c>
      <c r="D37" s="17" t="n">
        <v>81.92</v>
      </c>
      <c r="E37" s="18" t="n">
        <v>205619.2</v>
      </c>
      <c r="F37" s="15" t="s">
        <v>96</v>
      </c>
      <c r="G37" s="15" t="s">
        <v>97</v>
      </c>
      <c r="H37" s="18" t="n">
        <v>627.609600000008</v>
      </c>
      <c r="I37" s="16" t="s">
        <v>168</v>
      </c>
      <c r="J37" s="15" t="s">
        <v>118</v>
      </c>
      <c r="K37" s="16" t="s">
        <v>158</v>
      </c>
      <c r="L37" s="17" t="n">
        <v>81.92</v>
      </c>
      <c r="M37" s="18" t="n">
        <v>205619.2</v>
      </c>
      <c r="N37" s="15" t="s">
        <v>94</v>
      </c>
      <c r="O37" s="15" t="s">
        <v>97</v>
      </c>
      <c r="P37" s="15" t="s">
        <v>96</v>
      </c>
      <c r="Q37" s="18" t="n">
        <v>1036.69759999999</v>
      </c>
      <c r="R37" s="19" t="n">
        <f aca="false">IF(Q37="","",Q37-H37)</f>
        <v>409.087999999983</v>
      </c>
      <c r="S37" s="18" t="n">
        <v>409.6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-0.51</v>
      </c>
      <c r="Z37" s="18" t="n">
        <f aca="false">IF(Q37="","",SUM(S37:Y37)-R37)</f>
        <v>0.00200000001689205</v>
      </c>
      <c r="AA37" s="20" t="s">
        <v>126</v>
      </c>
    </row>
    <row r="38" customFormat="false" ht="29.85" hidden="false" customHeight="false" outlineLevel="0" collapsed="false">
      <c r="A38" s="15" t="s">
        <v>94</v>
      </c>
      <c r="B38" s="15" t="n">
        <v>38</v>
      </c>
      <c r="C38" s="16" t="s">
        <v>169</v>
      </c>
      <c r="D38" s="17" t="n">
        <v>25.12</v>
      </c>
      <c r="E38" s="18" t="n">
        <v>60288</v>
      </c>
      <c r="F38" s="15" t="s">
        <v>96</v>
      </c>
      <c r="G38" s="15" t="s">
        <v>97</v>
      </c>
      <c r="H38" s="18" t="n">
        <v>179.157599999996</v>
      </c>
      <c r="I38" s="16" t="s">
        <v>170</v>
      </c>
      <c r="J38" s="15" t="s">
        <v>102</v>
      </c>
      <c r="K38" s="16" t="s">
        <v>169</v>
      </c>
      <c r="L38" s="17" t="n">
        <v>25.12</v>
      </c>
      <c r="M38" s="18" t="n">
        <v>60288</v>
      </c>
      <c r="N38" s="15" t="s">
        <v>94</v>
      </c>
      <c r="O38" s="15" t="s">
        <v>171</v>
      </c>
      <c r="P38" s="15" t="s">
        <v>96</v>
      </c>
      <c r="Q38" s="18" t="n">
        <v>304.077599999995</v>
      </c>
      <c r="R38" s="19" t="n">
        <f aca="false">IF(Q38="","",Q38-H38)</f>
        <v>124.919999999999</v>
      </c>
      <c r="S38" s="18" t="n">
        <v>125.6</v>
      </c>
      <c r="T38" s="18" t="n">
        <v>0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-0.68</v>
      </c>
      <c r="Z38" s="18" t="n">
        <f aca="false">IF(Q38="","",SUM(S38:Y38)-R38)</f>
        <v>5.6843418860808E-013</v>
      </c>
      <c r="AA38" s="20" t="s">
        <v>172</v>
      </c>
    </row>
    <row r="39" customFormat="false" ht="29.85" hidden="false" customHeight="false" outlineLevel="0" collapsed="false">
      <c r="A39" s="15" t="s">
        <v>94</v>
      </c>
      <c r="B39" s="15" t="n">
        <v>39</v>
      </c>
      <c r="C39" s="16" t="s">
        <v>169</v>
      </c>
      <c r="D39" s="17" t="n">
        <v>29.08</v>
      </c>
      <c r="E39" s="18" t="n">
        <v>71216.92</v>
      </c>
      <c r="F39" s="15" t="s">
        <v>96</v>
      </c>
      <c r="G39" s="15" t="s">
        <v>97</v>
      </c>
      <c r="H39" s="18" t="n">
        <v>214.289200000002</v>
      </c>
      <c r="I39" s="16" t="s">
        <v>173</v>
      </c>
      <c r="J39" s="15" t="s">
        <v>149</v>
      </c>
      <c r="K39" s="16" t="s">
        <v>169</v>
      </c>
      <c r="L39" s="17" t="n">
        <v>29.08</v>
      </c>
      <c r="M39" s="18" t="n">
        <v>71216.92</v>
      </c>
      <c r="N39" s="15" t="s">
        <v>94</v>
      </c>
      <c r="O39" s="15" t="s">
        <v>171</v>
      </c>
      <c r="P39" s="15" t="s">
        <v>96</v>
      </c>
      <c r="Q39" s="18" t="n">
        <v>359.138000000008</v>
      </c>
      <c r="R39" s="19" t="n">
        <f aca="false">IF(Q39="","",Q39-H39)</f>
        <v>144.848800000006</v>
      </c>
      <c r="S39" s="18" t="n">
        <v>145.4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-0.55</v>
      </c>
      <c r="Z39" s="18" t="n">
        <f aca="false">IF(Q39="","",SUM(S39:Y39)-R39)</f>
        <v>0.00119999999418496</v>
      </c>
      <c r="AA39" s="20" t="s">
        <v>172</v>
      </c>
    </row>
    <row r="40" customFormat="false" ht="29.85" hidden="false" customHeight="false" outlineLevel="0" collapsed="false">
      <c r="A40" s="15" t="s">
        <v>94</v>
      </c>
      <c r="B40" s="15" t="n">
        <v>40</v>
      </c>
      <c r="C40" s="16" t="s">
        <v>169</v>
      </c>
      <c r="D40" s="17" t="n">
        <v>56.78</v>
      </c>
      <c r="E40" s="18" t="n">
        <v>137407.6</v>
      </c>
      <c r="F40" s="15" t="s">
        <v>96</v>
      </c>
      <c r="G40" s="15" t="s">
        <v>97</v>
      </c>
      <c r="H40" s="18" t="n">
        <v>409.635899999997</v>
      </c>
      <c r="I40" s="16" t="s">
        <v>174</v>
      </c>
      <c r="J40" s="15" t="s">
        <v>102</v>
      </c>
      <c r="K40" s="16" t="s">
        <v>169</v>
      </c>
      <c r="L40" s="17" t="n">
        <v>56.78</v>
      </c>
      <c r="M40" s="18" t="n">
        <v>137407.6</v>
      </c>
      <c r="N40" s="15" t="s">
        <v>94</v>
      </c>
      <c r="O40" s="15" t="s">
        <v>171</v>
      </c>
      <c r="P40" s="15" t="s">
        <v>96</v>
      </c>
      <c r="Q40" s="18" t="n">
        <v>692.99989999999</v>
      </c>
      <c r="R40" s="19" t="n">
        <f aca="false">IF(Q40="","",Q40-H40)</f>
        <v>283.363999999993</v>
      </c>
      <c r="S40" s="18" t="n">
        <v>283.9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-0.54</v>
      </c>
      <c r="Z40" s="18" t="n">
        <f aca="false">IF(Q40="","",SUM(S40:Y40)-R40)</f>
        <v>-0.00399999999251577</v>
      </c>
      <c r="AA40" s="20" t="s">
        <v>172</v>
      </c>
    </row>
    <row r="41" customFormat="false" ht="29.85" hidden="false" customHeight="false" outlineLevel="0" collapsed="false">
      <c r="A41" s="15" t="s">
        <v>94</v>
      </c>
      <c r="B41" s="15" t="n">
        <v>41</v>
      </c>
      <c r="C41" s="16" t="s">
        <v>169</v>
      </c>
      <c r="D41" s="17" t="n">
        <v>80.96</v>
      </c>
      <c r="E41" s="18" t="n">
        <v>203209.6</v>
      </c>
      <c r="F41" s="15" t="s">
        <v>96</v>
      </c>
      <c r="G41" s="15" t="s">
        <v>97</v>
      </c>
      <c r="H41" s="18" t="n">
        <v>620.004800000001</v>
      </c>
      <c r="I41" s="16" t="s">
        <v>175</v>
      </c>
      <c r="J41" s="15" t="s">
        <v>99</v>
      </c>
      <c r="K41" s="16" t="s">
        <v>169</v>
      </c>
      <c r="L41" s="17" t="n">
        <v>80.96</v>
      </c>
      <c r="M41" s="18" t="n">
        <v>203209.6</v>
      </c>
      <c r="N41" s="15" t="s">
        <v>94</v>
      </c>
      <c r="O41" s="15" t="s">
        <v>171</v>
      </c>
      <c r="P41" s="15" t="s">
        <v>96</v>
      </c>
      <c r="Q41" s="18" t="n">
        <v>1024.54880000001</v>
      </c>
      <c r="R41" s="19" t="n">
        <f aca="false">IF(Q41="","",Q41-H41)</f>
        <v>404.544000000006</v>
      </c>
      <c r="S41" s="18" t="n">
        <v>404.8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-0.26</v>
      </c>
      <c r="Z41" s="18" t="n">
        <f aca="false">IF(Q41="","",SUM(S41:Y41)-R41)</f>
        <v>-0.00400000000610135</v>
      </c>
      <c r="AA41" s="20" t="s">
        <v>172</v>
      </c>
    </row>
    <row r="42" customFormat="false" ht="29.85" hidden="false" customHeight="false" outlineLevel="0" collapsed="false">
      <c r="A42" s="15" t="s">
        <v>94</v>
      </c>
      <c r="B42" s="15" t="n">
        <v>42</v>
      </c>
      <c r="C42" s="16" t="s">
        <v>169</v>
      </c>
      <c r="D42" s="17" t="n">
        <v>69.66</v>
      </c>
      <c r="E42" s="18" t="n">
        <v>156038.4</v>
      </c>
      <c r="F42" s="15" t="s">
        <v>96</v>
      </c>
      <c r="G42" s="15" t="s">
        <v>97</v>
      </c>
      <c r="H42" s="18" t="n">
        <v>439.230300000001</v>
      </c>
      <c r="I42" s="16" t="s">
        <v>176</v>
      </c>
      <c r="J42" s="15" t="s">
        <v>99</v>
      </c>
      <c r="K42" s="16" t="s">
        <v>169</v>
      </c>
      <c r="L42" s="17" t="n">
        <v>69.66</v>
      </c>
      <c r="M42" s="18" t="n">
        <v>156038.4</v>
      </c>
      <c r="N42" s="15" t="s">
        <v>94</v>
      </c>
      <c r="O42" s="15" t="s">
        <v>171</v>
      </c>
      <c r="P42" s="15" t="s">
        <v>96</v>
      </c>
      <c r="Q42" s="18" t="n">
        <v>787.506299999997</v>
      </c>
      <c r="R42" s="19" t="n">
        <f aca="false">IF(Q42="","",Q42-H42)</f>
        <v>348.275999999996</v>
      </c>
      <c r="S42" s="18" t="n">
        <v>348.3</v>
      </c>
      <c r="T42" s="18" t="n">
        <v>0</v>
      </c>
      <c r="U42" s="18" t="n">
        <v>0</v>
      </c>
      <c r="V42" s="18" t="n">
        <v>0</v>
      </c>
      <c r="W42" s="18" t="n">
        <v>0</v>
      </c>
      <c r="X42" s="18" t="n">
        <v>0</v>
      </c>
      <c r="Y42" s="18" t="n">
        <v>-0.02</v>
      </c>
      <c r="Z42" s="18" t="n">
        <f aca="false">IF(Q42="","",SUM(S42:Y42)-R42)</f>
        <v>0.00400000000445289</v>
      </c>
      <c r="AA42" s="20" t="s">
        <v>172</v>
      </c>
    </row>
    <row r="43" customFormat="false" ht="29.85" hidden="false" customHeight="false" outlineLevel="0" collapsed="false">
      <c r="A43" s="15" t="s">
        <v>94</v>
      </c>
      <c r="B43" s="15" t="n">
        <v>43</v>
      </c>
      <c r="C43" s="16" t="s">
        <v>177</v>
      </c>
      <c r="D43" s="17" t="n">
        <v>49.1</v>
      </c>
      <c r="E43" s="18" t="n">
        <v>117840</v>
      </c>
      <c r="F43" s="15" t="s">
        <v>96</v>
      </c>
      <c r="G43" s="15" t="s">
        <v>97</v>
      </c>
      <c r="H43" s="18" t="n">
        <v>349.255499999999</v>
      </c>
      <c r="I43" s="16" t="s">
        <v>178</v>
      </c>
      <c r="J43" s="15" t="s">
        <v>134</v>
      </c>
      <c r="K43" s="16" t="s">
        <v>177</v>
      </c>
      <c r="L43" s="17" t="n">
        <v>49.1</v>
      </c>
      <c r="M43" s="18" t="n">
        <v>117840</v>
      </c>
      <c r="N43" s="15" t="s">
        <v>94</v>
      </c>
      <c r="O43" s="15" t="s">
        <v>171</v>
      </c>
      <c r="P43" s="15" t="s">
        <v>96</v>
      </c>
      <c r="Q43" s="18" t="n">
        <v>594.355500000005</v>
      </c>
      <c r="R43" s="19" t="n">
        <f aca="false">IF(Q43="","",Q43-H43)</f>
        <v>245.100000000006</v>
      </c>
      <c r="S43" s="18" t="n">
        <v>245.5</v>
      </c>
      <c r="T43" s="18" t="n">
        <v>0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-0.4</v>
      </c>
      <c r="Z43" s="18" t="n">
        <f aca="false">IF(Q43="","",SUM(S43:Y43)-R43)</f>
        <v>-6.11066752753686E-012</v>
      </c>
      <c r="AA43" s="20" t="s">
        <v>172</v>
      </c>
    </row>
    <row r="44" customFormat="false" ht="29.85" hidden="false" customHeight="false" outlineLevel="0" collapsed="false">
      <c r="A44" s="15" t="s">
        <v>94</v>
      </c>
      <c r="B44" s="15" t="n">
        <v>44</v>
      </c>
      <c r="C44" s="16" t="s">
        <v>177</v>
      </c>
      <c r="D44" s="17" t="n">
        <v>25.96</v>
      </c>
      <c r="E44" s="18" t="n">
        <v>61265.6</v>
      </c>
      <c r="F44" s="15" t="s">
        <v>96</v>
      </c>
      <c r="G44" s="15" t="s">
        <v>97</v>
      </c>
      <c r="H44" s="18" t="n">
        <v>179.669799999995</v>
      </c>
      <c r="I44" s="16" t="s">
        <v>179</v>
      </c>
      <c r="J44" s="15" t="s">
        <v>102</v>
      </c>
      <c r="K44" s="16" t="s">
        <v>177</v>
      </c>
      <c r="L44" s="17" t="n">
        <v>25.96</v>
      </c>
      <c r="M44" s="18" t="n">
        <v>61265.6</v>
      </c>
      <c r="N44" s="15" t="s">
        <v>94</v>
      </c>
      <c r="O44" s="15" t="s">
        <v>171</v>
      </c>
      <c r="P44" s="15" t="s">
        <v>96</v>
      </c>
      <c r="Q44" s="18" t="n">
        <v>309.053799999997</v>
      </c>
      <c r="R44" s="19" t="n">
        <f aca="false">IF(Q44="","",Q44-H44)</f>
        <v>129.384000000002</v>
      </c>
      <c r="S44" s="18" t="n">
        <v>129.8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-0.42</v>
      </c>
      <c r="Z44" s="18" t="n">
        <f aca="false">IF(Q44="","",SUM(S44:Y44)-R44)</f>
        <v>-0.00400000000209388</v>
      </c>
      <c r="AA44" s="20" t="s">
        <v>172</v>
      </c>
    </row>
    <row r="45" customFormat="false" ht="29.85" hidden="false" customHeight="false" outlineLevel="0" collapsed="false">
      <c r="A45" s="15" t="s">
        <v>94</v>
      </c>
      <c r="B45" s="15" t="n">
        <v>45</v>
      </c>
      <c r="C45" s="16" t="s">
        <v>177</v>
      </c>
      <c r="D45" s="17" t="n">
        <v>47.51</v>
      </c>
      <c r="E45" s="18" t="n">
        <v>110793.32</v>
      </c>
      <c r="F45" s="15" t="s">
        <v>96</v>
      </c>
      <c r="G45" s="15" t="s">
        <v>97</v>
      </c>
      <c r="H45" s="18" t="n">
        <v>321.660349999997</v>
      </c>
      <c r="I45" s="16" t="s">
        <v>180</v>
      </c>
      <c r="J45" s="15" t="s">
        <v>139</v>
      </c>
      <c r="K45" s="16" t="s">
        <v>177</v>
      </c>
      <c r="L45" s="17" t="n">
        <v>47.51</v>
      </c>
      <c r="M45" s="18" t="n">
        <v>110793.32</v>
      </c>
      <c r="N45" s="15" t="s">
        <v>94</v>
      </c>
      <c r="O45" s="15" t="s">
        <v>171</v>
      </c>
      <c r="P45" s="15" t="s">
        <v>96</v>
      </c>
      <c r="Q45" s="18" t="n">
        <v>558.955150000012</v>
      </c>
      <c r="R45" s="19" t="n">
        <f aca="false">IF(Q45="","",Q45-H45)</f>
        <v>237.294800000015</v>
      </c>
      <c r="S45" s="18" t="n">
        <v>237.55</v>
      </c>
      <c r="T45" s="18" t="n">
        <v>0</v>
      </c>
      <c r="U45" s="18" t="n">
        <v>0</v>
      </c>
      <c r="V45" s="18" t="n">
        <v>0</v>
      </c>
      <c r="W45" s="18" t="n">
        <v>0</v>
      </c>
      <c r="X45" s="18" t="n">
        <v>0</v>
      </c>
      <c r="Y45" s="18" t="n">
        <v>-0.26</v>
      </c>
      <c r="Z45" s="18" t="n">
        <f aca="false">IF(Q45="","",SUM(S45:Y45)-R45)</f>
        <v>-0.00480000001482495</v>
      </c>
      <c r="AA45" s="20" t="s">
        <v>172</v>
      </c>
    </row>
    <row r="46" customFormat="false" ht="29.85" hidden="false" customHeight="false" outlineLevel="0" collapsed="false">
      <c r="A46" s="15" t="s">
        <v>94</v>
      </c>
      <c r="B46" s="15" t="n">
        <v>46</v>
      </c>
      <c r="C46" s="16" t="s">
        <v>177</v>
      </c>
      <c r="D46" s="17" t="n">
        <v>70.76</v>
      </c>
      <c r="E46" s="18" t="n">
        <v>158502.4</v>
      </c>
      <c r="F46" s="15" t="s">
        <v>96</v>
      </c>
      <c r="G46" s="15" t="s">
        <v>97</v>
      </c>
      <c r="H46" s="18" t="n">
        <v>446.205800000002</v>
      </c>
      <c r="I46" s="16" t="s">
        <v>181</v>
      </c>
      <c r="J46" s="15" t="s">
        <v>99</v>
      </c>
      <c r="K46" s="16" t="s">
        <v>177</v>
      </c>
      <c r="L46" s="17" t="n">
        <v>70.76</v>
      </c>
      <c r="M46" s="18" t="n">
        <v>158502.4</v>
      </c>
      <c r="N46" s="15" t="s">
        <v>94</v>
      </c>
      <c r="O46" s="15" t="s">
        <v>171</v>
      </c>
      <c r="P46" s="15" t="s">
        <v>96</v>
      </c>
      <c r="Q46" s="18" t="n">
        <v>799.941799999989</v>
      </c>
      <c r="R46" s="19" t="n">
        <f aca="false">IF(Q46="","",Q46-H46)</f>
        <v>353.735999999987</v>
      </c>
      <c r="S46" s="18" t="n">
        <v>353.8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0</v>
      </c>
      <c r="Y46" s="18" t="n">
        <v>-0.06</v>
      </c>
      <c r="Z46" s="18" t="n">
        <f aca="false">IF(Q46="","",SUM(S46:Y46)-R46)</f>
        <v>0.00400000001332046</v>
      </c>
      <c r="AA46" s="20" t="s">
        <v>172</v>
      </c>
    </row>
    <row r="47" customFormat="false" ht="29.85" hidden="false" customHeight="false" outlineLevel="0" collapsed="false">
      <c r="A47" s="15" t="s">
        <v>94</v>
      </c>
      <c r="B47" s="15" t="n">
        <v>47</v>
      </c>
      <c r="C47" s="16" t="s">
        <v>182</v>
      </c>
      <c r="D47" s="17" t="n">
        <v>719.14</v>
      </c>
      <c r="E47" s="18" t="n">
        <v>1823625.4</v>
      </c>
      <c r="F47" s="15" t="s">
        <v>96</v>
      </c>
      <c r="G47" s="15" t="s">
        <v>97</v>
      </c>
      <c r="H47" s="18" t="n">
        <v>12790.1806999999</v>
      </c>
      <c r="I47" s="16" t="s">
        <v>183</v>
      </c>
      <c r="J47" s="15" t="s">
        <v>184</v>
      </c>
      <c r="K47" s="16" t="s">
        <v>185</v>
      </c>
      <c r="L47" s="17" t="n">
        <v>719.14</v>
      </c>
      <c r="M47" s="18" t="n">
        <v>1823625.4</v>
      </c>
      <c r="N47" s="15" t="s">
        <v>94</v>
      </c>
      <c r="O47" s="15" t="s">
        <v>171</v>
      </c>
      <c r="P47" s="15" t="s">
        <v>96</v>
      </c>
      <c r="Q47" s="18" t="n">
        <v>12789.3367000001</v>
      </c>
      <c r="R47" s="18" t="n">
        <f aca="false">IF(Q47="","",Q47-H47)</f>
        <v>-0.843999999800872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-0.84</v>
      </c>
      <c r="Z47" s="18" t="n">
        <f aca="false">IF(Q47="","",SUM(S47:Y47)-R47)</f>
        <v>0.00399999980087162</v>
      </c>
      <c r="AA47" s="8" t="s">
        <v>186</v>
      </c>
    </row>
    <row r="48" customFormat="false" ht="15" hidden="false" customHeight="false" outlineLevel="0" collapsed="false">
      <c r="A48" s="15" t="s">
        <v>94</v>
      </c>
      <c r="B48" s="15" t="n">
        <v>48</v>
      </c>
      <c r="C48" s="16" t="s">
        <v>187</v>
      </c>
      <c r="D48" s="17" t="n">
        <v>613.8</v>
      </c>
      <c r="E48" s="18" t="n">
        <v>1467823.1</v>
      </c>
      <c r="F48" s="15" t="s">
        <v>96</v>
      </c>
      <c r="G48" s="15" t="s">
        <v>188</v>
      </c>
      <c r="H48" s="18" t="n">
        <v>14834.5475999999</v>
      </c>
      <c r="I48" s="16" t="s">
        <v>189</v>
      </c>
      <c r="J48" s="15" t="s">
        <v>190</v>
      </c>
      <c r="K48" s="16" t="s">
        <v>191</v>
      </c>
      <c r="L48" s="17" t="n">
        <v>613.8</v>
      </c>
      <c r="M48" s="18" t="n">
        <v>1467823.1</v>
      </c>
      <c r="N48" s="15" t="s">
        <v>94</v>
      </c>
      <c r="O48" s="15" t="s">
        <v>188</v>
      </c>
      <c r="P48" s="15" t="s">
        <v>96</v>
      </c>
      <c r="Q48" s="18" t="n">
        <v>14833.6816</v>
      </c>
      <c r="R48" s="18" t="n">
        <f aca="false">IF(Q48="","",Q48-H48)</f>
        <v>-0.865999999889027</v>
      </c>
      <c r="S48" s="18" t="n">
        <v>0</v>
      </c>
      <c r="T48" s="18" t="n">
        <v>0</v>
      </c>
      <c r="U48" s="18" t="n">
        <v>0</v>
      </c>
      <c r="V48" s="18" t="n">
        <v>0</v>
      </c>
      <c r="W48" s="18" t="n">
        <v>0</v>
      </c>
      <c r="X48" s="18" t="n">
        <v>0</v>
      </c>
      <c r="Y48" s="18" t="n">
        <v>-0.87</v>
      </c>
      <c r="Z48" s="18" t="n">
        <f aca="false">IF(Q48="","",SUM(S48:Y48)-R48)</f>
        <v>-0.0040000001109729</v>
      </c>
      <c r="AA48" s="8" t="s">
        <v>192</v>
      </c>
    </row>
    <row r="49" customFormat="false" ht="15" hidden="false" customHeight="false" outlineLevel="0" collapsed="false">
      <c r="A49" s="15" t="s">
        <v>94</v>
      </c>
      <c r="B49" s="15" t="n">
        <v>49</v>
      </c>
      <c r="C49" s="16" t="s">
        <v>193</v>
      </c>
      <c r="D49" s="17" t="n">
        <v>83.74</v>
      </c>
      <c r="E49" s="18" t="n">
        <v>202650.8</v>
      </c>
      <c r="F49" s="15" t="s">
        <v>96</v>
      </c>
      <c r="G49" s="15" t="s">
        <v>188</v>
      </c>
      <c r="H49" s="18" t="n">
        <v>2043.60904000001</v>
      </c>
      <c r="I49" s="16" t="s">
        <v>194</v>
      </c>
      <c r="J49" s="15" t="s">
        <v>99</v>
      </c>
      <c r="K49" s="16" t="s">
        <v>193</v>
      </c>
      <c r="L49" s="17" t="n">
        <v>83.74</v>
      </c>
      <c r="M49" s="18" t="n">
        <v>202650.8</v>
      </c>
      <c r="N49" s="15" t="s">
        <v>195</v>
      </c>
      <c r="O49" s="15" t="s">
        <v>196</v>
      </c>
      <c r="P49" s="15" t="s">
        <v>197</v>
      </c>
      <c r="Q49" s="18" t="n">
        <v>2260.98</v>
      </c>
      <c r="R49" s="19" t="n">
        <f aca="false">IF(Q49="","",Q49-H49)</f>
        <v>217.37095999999</v>
      </c>
      <c r="S49" s="18" t="n">
        <v>0</v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217.37</v>
      </c>
      <c r="Y49" s="18" t="n">
        <v>0</v>
      </c>
      <c r="Z49" s="18" t="n">
        <f aca="false">IF(Q49="","",SUM(S49:Y49)-R49)</f>
        <v>-0.000959999989959215</v>
      </c>
      <c r="AA49" s="20" t="s">
        <v>198</v>
      </c>
    </row>
    <row r="50" customFormat="false" ht="15" hidden="false" customHeight="false" outlineLevel="0" collapsed="false">
      <c r="A50" s="15" t="s">
        <v>94</v>
      </c>
      <c r="B50" s="15" t="n">
        <v>50</v>
      </c>
      <c r="C50" s="16" t="s">
        <v>193</v>
      </c>
      <c r="D50" s="17" t="n">
        <v>34.02</v>
      </c>
      <c r="E50" s="18" t="n">
        <v>79266.6</v>
      </c>
      <c r="F50" s="15" t="s">
        <v>96</v>
      </c>
      <c r="G50" s="15" t="s">
        <v>188</v>
      </c>
      <c r="H50" s="18" t="n">
        <v>805.733519999994</v>
      </c>
      <c r="I50" s="16" t="s">
        <v>199</v>
      </c>
      <c r="J50" s="15" t="s">
        <v>200</v>
      </c>
      <c r="K50" s="16" t="s">
        <v>193</v>
      </c>
      <c r="L50" s="17" t="n">
        <v>34.02</v>
      </c>
      <c r="M50" s="18" t="n">
        <v>79266.6</v>
      </c>
      <c r="N50" s="15" t="s">
        <v>94</v>
      </c>
      <c r="O50" s="15" t="s">
        <v>188</v>
      </c>
      <c r="P50" s="15" t="s">
        <v>96</v>
      </c>
      <c r="Q50" s="18" t="n">
        <v>805.457519999996</v>
      </c>
      <c r="R50" s="18" t="n">
        <f aca="false">IF(Q50="","",Q50-H50)</f>
        <v>-0.275999999997566</v>
      </c>
      <c r="S50" s="18" t="n">
        <v>0</v>
      </c>
      <c r="T50" s="18" t="n">
        <v>0</v>
      </c>
      <c r="U50" s="18" t="n">
        <v>0</v>
      </c>
      <c r="V50" s="18" t="n">
        <v>0</v>
      </c>
      <c r="W50" s="18" t="n">
        <v>0</v>
      </c>
      <c r="X50" s="18" t="n">
        <v>0</v>
      </c>
      <c r="Y50" s="18" t="n">
        <v>-0.28</v>
      </c>
      <c r="Z50" s="18" t="n">
        <f aca="false">IF(Q50="","",SUM(S50:Y50)-R50)</f>
        <v>-0.00400000000243383</v>
      </c>
      <c r="AA50" s="8"/>
    </row>
    <row r="51" customFormat="false" ht="15" hidden="false" customHeight="false" outlineLevel="0" collapsed="false">
      <c r="A51" s="15" t="s">
        <v>94</v>
      </c>
      <c r="B51" s="15" t="n">
        <v>51</v>
      </c>
      <c r="C51" s="16" t="s">
        <v>201</v>
      </c>
      <c r="D51" s="17" t="n">
        <v>33.86</v>
      </c>
      <c r="E51" s="18" t="n">
        <v>78793.8</v>
      </c>
      <c r="F51" s="15" t="s">
        <v>96</v>
      </c>
      <c r="G51" s="15" t="s">
        <v>188</v>
      </c>
      <c r="H51" s="18" t="n">
        <v>801.537360000002</v>
      </c>
      <c r="I51" s="16" t="s">
        <v>202</v>
      </c>
      <c r="J51" s="15" t="s">
        <v>203</v>
      </c>
      <c r="K51" s="16" t="s">
        <v>201</v>
      </c>
      <c r="L51" s="17" t="n">
        <v>33.86</v>
      </c>
      <c r="M51" s="18" t="n">
        <v>78793.8</v>
      </c>
      <c r="N51" s="15" t="s">
        <v>94</v>
      </c>
      <c r="O51" s="15" t="s">
        <v>188</v>
      </c>
      <c r="P51" s="15" t="s">
        <v>96</v>
      </c>
      <c r="Q51" s="18" t="n">
        <v>700.869359999997</v>
      </c>
      <c r="R51" s="19" t="n">
        <f aca="false">IF(Q51="","",Q51-H51)</f>
        <v>-100.668000000005</v>
      </c>
      <c r="S51" s="18" t="n">
        <v>0</v>
      </c>
      <c r="T51" s="18" t="n">
        <v>0</v>
      </c>
      <c r="U51" s="18" t="n">
        <v>0</v>
      </c>
      <c r="V51" s="18" t="n">
        <v>0</v>
      </c>
      <c r="W51" s="18" t="n">
        <v>-100</v>
      </c>
      <c r="X51" s="18" t="n">
        <v>0</v>
      </c>
      <c r="Y51" s="18" t="n">
        <v>-0.67</v>
      </c>
      <c r="Z51" s="18" t="n">
        <f aca="false">IF(Q51="","",SUM(S51:Y51)-R51)</f>
        <v>-0.00199999999499312</v>
      </c>
      <c r="AA51" s="20" t="s">
        <v>204</v>
      </c>
    </row>
    <row r="52" customFormat="false" ht="15" hidden="false" customHeight="false" outlineLevel="0" collapsed="false">
      <c r="A52" s="15" t="s">
        <v>94</v>
      </c>
      <c r="B52" s="15" t="n">
        <v>52</v>
      </c>
      <c r="C52" s="16" t="s">
        <v>201</v>
      </c>
      <c r="D52" s="17" t="n">
        <v>33.96</v>
      </c>
      <c r="E52" s="18" t="n">
        <v>78619.28</v>
      </c>
      <c r="F52" s="15" t="s">
        <v>96</v>
      </c>
      <c r="G52" s="15" t="s">
        <v>188</v>
      </c>
      <c r="H52" s="18" t="n">
        <v>800.5576</v>
      </c>
      <c r="I52" s="16" t="s">
        <v>205</v>
      </c>
      <c r="J52" s="15" t="s">
        <v>206</v>
      </c>
      <c r="K52" s="16" t="s">
        <v>201</v>
      </c>
      <c r="L52" s="17" t="n">
        <v>33.96</v>
      </c>
      <c r="M52" s="18" t="n">
        <v>78619.28</v>
      </c>
      <c r="N52" s="15" t="s">
        <v>94</v>
      </c>
      <c r="O52" s="15" t="s">
        <v>188</v>
      </c>
      <c r="P52" s="15" t="s">
        <v>96</v>
      </c>
      <c r="Q52" s="18" t="n">
        <v>699.976800000004</v>
      </c>
      <c r="R52" s="19" t="n">
        <f aca="false">IF(Q52="","",Q52-H52)</f>
        <v>-100.580799999996</v>
      </c>
      <c r="S52" s="18" t="n">
        <v>0</v>
      </c>
      <c r="T52" s="18" t="n">
        <v>0</v>
      </c>
      <c r="U52" s="18" t="n">
        <v>0</v>
      </c>
      <c r="V52" s="18" t="n">
        <v>0</v>
      </c>
      <c r="W52" s="18" t="n">
        <v>-100</v>
      </c>
      <c r="X52" s="18" t="n">
        <v>0</v>
      </c>
      <c r="Y52" s="18" t="n">
        <v>-0.58</v>
      </c>
      <c r="Z52" s="18" t="n">
        <f aca="false">IF(Q52="","",SUM(S52:Y52)-R52)</f>
        <v>0.000799999995976464</v>
      </c>
      <c r="AA52" s="20" t="s">
        <v>204</v>
      </c>
    </row>
    <row r="53" customFormat="false" ht="15" hidden="false" customHeight="false" outlineLevel="0" collapsed="false">
      <c r="A53" s="15" t="s">
        <v>207</v>
      </c>
      <c r="B53" s="15" t="n">
        <v>2</v>
      </c>
      <c r="C53" s="16" t="s">
        <v>208</v>
      </c>
      <c r="D53" s="17" t="n">
        <v>78.04</v>
      </c>
      <c r="E53" s="18" t="n">
        <v>200062.8</v>
      </c>
      <c r="F53" s="15" t="s">
        <v>209</v>
      </c>
      <c r="G53" s="15" t="s">
        <v>209</v>
      </c>
      <c r="H53" s="18" t="n">
        <v>2107.28</v>
      </c>
      <c r="I53" s="16" t="s">
        <v>210</v>
      </c>
      <c r="J53" s="15" t="s">
        <v>118</v>
      </c>
      <c r="K53" s="16" t="s">
        <v>208</v>
      </c>
      <c r="L53" s="17" t="n">
        <v>78.04</v>
      </c>
      <c r="M53" s="18" t="n">
        <v>200062.8</v>
      </c>
      <c r="N53" s="15" t="s">
        <v>211</v>
      </c>
      <c r="O53" s="15" t="s">
        <v>97</v>
      </c>
      <c r="P53" s="15" t="s">
        <v>212</v>
      </c>
      <c r="Q53" s="18" t="n">
        <v>1607.08</v>
      </c>
      <c r="R53" s="19" t="n">
        <f aca="false">IF(Q53="","",Q53-H53)</f>
        <v>-500.2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-500</v>
      </c>
      <c r="X53" s="18" t="n">
        <v>0</v>
      </c>
      <c r="Y53" s="18" t="n">
        <v>-0.2</v>
      </c>
      <c r="Z53" s="18" t="n">
        <f aca="false">IF(Q53="","",SUM(S53:Y53)-R53)</f>
        <v>0</v>
      </c>
      <c r="AA53" s="20" t="s">
        <v>213</v>
      </c>
    </row>
    <row r="54" customFormat="false" ht="29.85" hidden="false" customHeight="false" outlineLevel="0" collapsed="false">
      <c r="A54" s="15" t="s">
        <v>207</v>
      </c>
      <c r="B54" s="15" t="n">
        <v>3</v>
      </c>
      <c r="C54" s="16" t="s">
        <v>214</v>
      </c>
      <c r="D54" s="17" t="n">
        <v>71.5</v>
      </c>
      <c r="E54" s="18" t="n">
        <v>200063.8</v>
      </c>
      <c r="F54" s="15" t="s">
        <v>209</v>
      </c>
      <c r="G54" s="15" t="s">
        <v>209</v>
      </c>
      <c r="H54" s="18" t="n">
        <v>1931.29999999999</v>
      </c>
      <c r="I54" s="16" t="s">
        <v>215</v>
      </c>
      <c r="J54" s="15" t="s">
        <v>99</v>
      </c>
      <c r="K54" s="16" t="s">
        <v>214</v>
      </c>
      <c r="L54" s="17" t="n">
        <v>71.5</v>
      </c>
      <c r="M54" s="18" t="n">
        <v>169455</v>
      </c>
      <c r="N54" s="15" t="s">
        <v>211</v>
      </c>
      <c r="O54" s="15" t="s">
        <v>196</v>
      </c>
      <c r="P54" s="15" t="s">
        <v>197</v>
      </c>
      <c r="Q54" s="18" t="n">
        <v>1930.5</v>
      </c>
      <c r="R54" s="18" t="n">
        <f aca="false">IF(Q54="","",Q54-H54)</f>
        <v>-0.79999999998995</v>
      </c>
      <c r="S54" s="18" t="n">
        <v>0</v>
      </c>
      <c r="T54" s="18" t="n">
        <v>0</v>
      </c>
      <c r="U54" s="18" t="n">
        <v>0</v>
      </c>
      <c r="V54" s="18" t="n">
        <v>0</v>
      </c>
      <c r="W54" s="18" t="n">
        <v>0</v>
      </c>
      <c r="X54" s="18" t="n">
        <v>0</v>
      </c>
      <c r="Y54" s="18" t="n">
        <v>-0.8</v>
      </c>
      <c r="Z54" s="18" t="n">
        <f aca="false">IF(Q54="","",SUM(S54:Y54)-R54)</f>
        <v>-1.00499608635118E-011</v>
      </c>
      <c r="AA54" s="8" t="s">
        <v>216</v>
      </c>
    </row>
    <row r="55" customFormat="false" ht="15" hidden="false" customHeight="false" outlineLevel="0" collapsed="false">
      <c r="A55" s="15" t="s">
        <v>217</v>
      </c>
      <c r="B55" s="15" t="n">
        <v>2</v>
      </c>
      <c r="C55" s="16" t="s">
        <v>122</v>
      </c>
      <c r="D55" s="17" t="n">
        <v>66.22</v>
      </c>
      <c r="E55" s="18" t="n">
        <v>148332.8</v>
      </c>
      <c r="F55" s="15" t="s">
        <v>209</v>
      </c>
      <c r="G55" s="15" t="s">
        <v>209</v>
      </c>
      <c r="H55" s="18" t="n">
        <v>1787.93999999999</v>
      </c>
      <c r="I55" s="16" t="s">
        <v>218</v>
      </c>
      <c r="J55" s="15" t="s">
        <v>99</v>
      </c>
      <c r="K55" s="16" t="s">
        <v>122</v>
      </c>
      <c r="L55" s="17" t="n">
        <v>66.22</v>
      </c>
      <c r="M55" s="18" t="n">
        <v>148332.8</v>
      </c>
      <c r="N55" s="15" t="s">
        <v>195</v>
      </c>
      <c r="O55" s="15" t="s">
        <v>97</v>
      </c>
      <c r="P55" s="15" t="s">
        <v>96</v>
      </c>
      <c r="Q55" s="18" t="n">
        <v>748.617100000009</v>
      </c>
      <c r="R55" s="19" t="n">
        <f aca="false">IF(Q55="","",Q55-H55)</f>
        <v>-1039.32289999998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-1039.32</v>
      </c>
      <c r="Y55" s="18" t="n">
        <v>0</v>
      </c>
      <c r="Z55" s="18" t="n">
        <f aca="false">IF(Q55="","",SUM(S55:Y55)-R55)</f>
        <v>0.00289999998108215</v>
      </c>
      <c r="AA55" s="20" t="s">
        <v>219</v>
      </c>
    </row>
    <row r="56" customFormat="false" ht="15" hidden="false" customHeight="false" outlineLevel="0" collapsed="false">
      <c r="A56" s="15" t="s">
        <v>217</v>
      </c>
      <c r="B56" s="15" t="n">
        <v>3</v>
      </c>
      <c r="C56" s="16" t="s">
        <v>208</v>
      </c>
      <c r="D56" s="17" t="n">
        <v>65.44</v>
      </c>
      <c r="E56" s="18" t="n">
        <v>147240</v>
      </c>
      <c r="F56" s="15" t="s">
        <v>209</v>
      </c>
      <c r="G56" s="15" t="s">
        <v>209</v>
      </c>
      <c r="H56" s="18" t="n">
        <v>1767.28</v>
      </c>
      <c r="I56" s="16" t="s">
        <v>220</v>
      </c>
      <c r="J56" s="15" t="s">
        <v>118</v>
      </c>
      <c r="K56" s="16" t="s">
        <v>208</v>
      </c>
      <c r="L56" s="17" t="n">
        <v>65.44</v>
      </c>
      <c r="M56" s="18" t="n">
        <v>147240</v>
      </c>
      <c r="N56" s="15" t="s">
        <v>195</v>
      </c>
      <c r="O56" s="15" t="s">
        <v>97</v>
      </c>
      <c r="P56" s="15" t="s">
        <v>212</v>
      </c>
      <c r="Q56" s="18" t="n">
        <v>1766.88</v>
      </c>
      <c r="R56" s="18" t="n">
        <f aca="false">IF(Q56="","",Q56-H56)</f>
        <v>-0.399999999998954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0</v>
      </c>
      <c r="Y56" s="18" t="n">
        <v>-0.4</v>
      </c>
      <c r="Z56" s="18" t="n">
        <f aca="false">IF(Q56="","",SUM(S56:Y56)-R56)</f>
        <v>-1.04594111149936E-012</v>
      </c>
      <c r="AA56" s="8"/>
    </row>
    <row r="57" customFormat="false" ht="15" hidden="false" customHeight="false" outlineLevel="0" collapsed="false">
      <c r="A57" s="15" t="s">
        <v>217</v>
      </c>
      <c r="B57" s="15" t="n">
        <v>4</v>
      </c>
      <c r="C57" s="16" t="s">
        <v>221</v>
      </c>
      <c r="D57" s="17" t="n">
        <v>60.9</v>
      </c>
      <c r="E57" s="18" t="n">
        <v>137025</v>
      </c>
      <c r="F57" s="15" t="s">
        <v>209</v>
      </c>
      <c r="G57" s="15" t="s">
        <v>209</v>
      </c>
      <c r="H57" s="18" t="n">
        <v>1644.29999999999</v>
      </c>
      <c r="I57" s="16" t="s">
        <v>222</v>
      </c>
      <c r="J57" s="15" t="s">
        <v>99</v>
      </c>
      <c r="K57" s="16" t="s">
        <v>221</v>
      </c>
      <c r="L57" s="17" t="n">
        <v>60.9</v>
      </c>
      <c r="M57" s="18" t="n">
        <v>137025</v>
      </c>
      <c r="N57" s="15" t="s">
        <v>94</v>
      </c>
      <c r="O57" s="15" t="s">
        <v>97</v>
      </c>
      <c r="P57" s="15" t="s">
        <v>96</v>
      </c>
      <c r="Q57" s="18" t="n">
        <v>996.019499999995</v>
      </c>
      <c r="R57" s="19" t="n">
        <f aca="false">IF(Q57="","",Q57-H57)</f>
        <v>-648.280499999995</v>
      </c>
      <c r="S57" s="18" t="n">
        <v>0</v>
      </c>
      <c r="T57" s="18" t="n">
        <v>0</v>
      </c>
      <c r="U57" s="18" t="n">
        <v>0</v>
      </c>
      <c r="V57" s="18" t="n">
        <v>0</v>
      </c>
      <c r="W57" s="18" t="n">
        <v>0</v>
      </c>
      <c r="X57" s="18" t="n">
        <v>-648.28</v>
      </c>
      <c r="Y57" s="18" t="n">
        <v>0</v>
      </c>
      <c r="Z57" s="18" t="n">
        <f aca="false">IF(Q57="","",SUM(S57:Y57)-R57)</f>
        <v>0.000499999995099643</v>
      </c>
      <c r="AA57" s="20" t="s">
        <v>223</v>
      </c>
    </row>
    <row r="58" customFormat="false" ht="15" hidden="false" customHeight="false" outlineLevel="0" collapsed="false">
      <c r="A58" s="15" t="s">
        <v>217</v>
      </c>
      <c r="B58" s="15" t="n">
        <v>5</v>
      </c>
      <c r="C58" s="16" t="s">
        <v>214</v>
      </c>
      <c r="D58" s="17" t="n">
        <v>31.38</v>
      </c>
      <c r="E58" s="18" t="n">
        <v>70605</v>
      </c>
      <c r="F58" s="15" t="s">
        <v>209</v>
      </c>
      <c r="G58" s="15" t="s">
        <v>209</v>
      </c>
      <c r="H58" s="18" t="n">
        <v>848.059999999995</v>
      </c>
      <c r="I58" s="16" t="s">
        <v>224</v>
      </c>
      <c r="J58" s="15" t="s">
        <v>166</v>
      </c>
      <c r="K58" s="16" t="s">
        <v>214</v>
      </c>
      <c r="L58" s="17" t="n">
        <v>31.38</v>
      </c>
      <c r="M58" s="18" t="n">
        <v>70605</v>
      </c>
      <c r="N58" s="15" t="s">
        <v>195</v>
      </c>
      <c r="O58" s="15" t="s">
        <v>196</v>
      </c>
      <c r="P58" s="15" t="s">
        <v>197</v>
      </c>
      <c r="Q58" s="18" t="n">
        <v>847.26</v>
      </c>
      <c r="R58" s="18" t="n">
        <f aca="false">IF(Q58="","",Q58-H58)</f>
        <v>-0.799999999994952</v>
      </c>
      <c r="S58" s="18" t="n">
        <v>0</v>
      </c>
      <c r="T58" s="18" t="n">
        <v>0</v>
      </c>
      <c r="U58" s="18" t="n">
        <v>0</v>
      </c>
      <c r="V58" s="18" t="n">
        <v>0</v>
      </c>
      <c r="W58" s="18" t="n">
        <v>0</v>
      </c>
      <c r="X58" s="18" t="n">
        <v>0</v>
      </c>
      <c r="Y58" s="18" t="n">
        <v>-0.8</v>
      </c>
      <c r="Z58" s="18" t="n">
        <f aca="false">IF(Q58="","",SUM(S58:Y58)-R58)</f>
        <v>-5.04774000376074E-012</v>
      </c>
      <c r="AA58" s="8"/>
    </row>
    <row r="59" customFormat="false" ht="15" hidden="false" customHeight="false" outlineLevel="0" collapsed="false">
      <c r="A59" s="15" t="s">
        <v>217</v>
      </c>
      <c r="B59" s="15" t="n">
        <v>6</v>
      </c>
      <c r="C59" s="16" t="s">
        <v>214</v>
      </c>
      <c r="D59" s="17" t="n">
        <v>31.46</v>
      </c>
      <c r="E59" s="18" t="n">
        <v>70785</v>
      </c>
      <c r="F59" s="15" t="s">
        <v>209</v>
      </c>
      <c r="G59" s="15" t="s">
        <v>209</v>
      </c>
      <c r="H59" s="18" t="n">
        <v>850.019999999998</v>
      </c>
      <c r="I59" s="16" t="s">
        <v>225</v>
      </c>
      <c r="J59" s="15" t="s">
        <v>118</v>
      </c>
      <c r="K59" s="16" t="s">
        <v>214</v>
      </c>
      <c r="L59" s="17" t="n">
        <v>31.46</v>
      </c>
      <c r="M59" s="18" t="n">
        <v>70785</v>
      </c>
      <c r="N59" s="15" t="s">
        <v>195</v>
      </c>
      <c r="O59" s="15" t="s">
        <v>196</v>
      </c>
      <c r="P59" s="15" t="s">
        <v>197</v>
      </c>
      <c r="Q59" s="18" t="n">
        <v>849.42</v>
      </c>
      <c r="R59" s="18" t="n">
        <f aca="false">IF(Q59="","",Q59-H59)</f>
        <v>-0.599999999997976</v>
      </c>
      <c r="S59" s="18" t="n">
        <v>0</v>
      </c>
      <c r="T59" s="18" t="n">
        <v>0</v>
      </c>
      <c r="U59" s="18" t="n">
        <v>0</v>
      </c>
      <c r="V59" s="18" t="n">
        <v>0</v>
      </c>
      <c r="W59" s="18" t="n">
        <v>0</v>
      </c>
      <c r="X59" s="18" t="n">
        <v>0</v>
      </c>
      <c r="Y59" s="18" t="n">
        <v>-0.6</v>
      </c>
      <c r="Z59" s="18" t="n">
        <f aca="false">IF(Q59="","",SUM(S59:Y59)-R59)</f>
        <v>-2.02360350698427E-012</v>
      </c>
      <c r="AA59" s="8"/>
    </row>
    <row r="60" customFormat="false" ht="15" hidden="false" customHeight="false" outlineLevel="0" collapsed="false">
      <c r="A60" s="15" t="s">
        <v>217</v>
      </c>
      <c r="B60" s="15" t="n">
        <v>7</v>
      </c>
      <c r="C60" s="16" t="s">
        <v>226</v>
      </c>
      <c r="D60" s="17" t="n">
        <v>28.84</v>
      </c>
      <c r="E60" s="18" t="n">
        <v>66389.68</v>
      </c>
      <c r="F60" s="15" t="s">
        <v>209</v>
      </c>
      <c r="G60" s="15" t="s">
        <v>209</v>
      </c>
      <c r="H60" s="18" t="n">
        <v>778.760000000001</v>
      </c>
      <c r="I60" s="16" t="s">
        <v>227</v>
      </c>
      <c r="J60" s="15" t="s">
        <v>99</v>
      </c>
      <c r="K60" s="16" t="s">
        <v>226</v>
      </c>
      <c r="L60" s="17" t="n">
        <v>28.84</v>
      </c>
      <c r="M60" s="18" t="n">
        <v>66389.68</v>
      </c>
      <c r="N60" s="15" t="s">
        <v>195</v>
      </c>
      <c r="O60" s="15" t="s">
        <v>196</v>
      </c>
      <c r="P60" s="15" t="s">
        <v>197</v>
      </c>
      <c r="Q60" s="18" t="n">
        <v>778.68</v>
      </c>
      <c r="R60" s="18" t="n">
        <f aca="false">IF(Q60="","",Q60-H60)</f>
        <v>-0.0800000000009504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0</v>
      </c>
      <c r="X60" s="18" t="n">
        <v>0</v>
      </c>
      <c r="Y60" s="18" t="n">
        <v>-0.08</v>
      </c>
      <c r="Z60" s="18" t="n">
        <f aca="false">IF(Q60="","",SUM(S60:Y60)-R60)</f>
        <v>9.50420298018173E-013</v>
      </c>
      <c r="AA60" s="8"/>
    </row>
    <row r="61" customFormat="false" ht="15" hidden="false" customHeight="false" outlineLevel="0" collapsed="false">
      <c r="A61" s="15" t="s">
        <v>217</v>
      </c>
      <c r="B61" s="15" t="n">
        <v>8</v>
      </c>
      <c r="C61" s="16" t="s">
        <v>193</v>
      </c>
      <c r="D61" s="17" t="n">
        <v>30.72</v>
      </c>
      <c r="E61" s="18" t="n">
        <v>70717.44</v>
      </c>
      <c r="F61" s="15" t="s">
        <v>209</v>
      </c>
      <c r="G61" s="15" t="s">
        <v>209</v>
      </c>
      <c r="H61" s="18" t="n">
        <v>830.080000000005</v>
      </c>
      <c r="I61" s="16" t="s">
        <v>228</v>
      </c>
      <c r="J61" s="15" t="s">
        <v>118</v>
      </c>
      <c r="K61" s="16" t="s">
        <v>193</v>
      </c>
      <c r="L61" s="17" t="n">
        <v>30.72</v>
      </c>
      <c r="M61" s="18" t="n">
        <v>70717.44</v>
      </c>
      <c r="N61" s="15" t="s">
        <v>195</v>
      </c>
      <c r="O61" s="15" t="s">
        <v>196</v>
      </c>
      <c r="P61" s="15" t="s">
        <v>197</v>
      </c>
      <c r="Q61" s="18" t="n">
        <v>829.44</v>
      </c>
      <c r="R61" s="18" t="n">
        <f aca="false">IF(Q61="","",Q61-H61)</f>
        <v>-0.640000000004989</v>
      </c>
      <c r="S61" s="18" t="n">
        <v>0</v>
      </c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0</v>
      </c>
      <c r="Y61" s="18" t="n">
        <v>-0.64</v>
      </c>
      <c r="Z61" s="18" t="n">
        <f aca="false">IF(Q61="","",SUM(S61:Y61)-R61)</f>
        <v>4.98856511654822E-012</v>
      </c>
      <c r="AA61" s="8"/>
    </row>
    <row r="62" customFormat="false" ht="15" hidden="false" customHeight="false" outlineLevel="0" collapsed="false">
      <c r="A62" s="15" t="s">
        <v>217</v>
      </c>
      <c r="B62" s="15" t="n">
        <v>9</v>
      </c>
      <c r="C62" s="16" t="s">
        <v>193</v>
      </c>
      <c r="D62" s="17" t="n">
        <v>31.32</v>
      </c>
      <c r="E62" s="18" t="n">
        <v>72098.64</v>
      </c>
      <c r="F62" s="15" t="s">
        <v>209</v>
      </c>
      <c r="G62" s="15" t="s">
        <v>209</v>
      </c>
      <c r="H62" s="18" t="n">
        <v>846.479999999999</v>
      </c>
      <c r="I62" s="16" t="s">
        <v>229</v>
      </c>
      <c r="J62" s="15" t="s">
        <v>99</v>
      </c>
      <c r="K62" s="16" t="s">
        <v>193</v>
      </c>
      <c r="L62" s="17" t="n">
        <v>31.32</v>
      </c>
      <c r="M62" s="18" t="n">
        <v>72098.64</v>
      </c>
      <c r="N62" s="15" t="s">
        <v>195</v>
      </c>
      <c r="O62" s="15" t="s">
        <v>196</v>
      </c>
      <c r="P62" s="15" t="s">
        <v>197</v>
      </c>
      <c r="Q62" s="18" t="n">
        <v>845.64</v>
      </c>
      <c r="R62" s="18" t="n">
        <f aca="false">IF(Q62="","",Q62-H62)</f>
        <v>-0.839999999998895</v>
      </c>
      <c r="S62" s="18" t="n">
        <v>0</v>
      </c>
      <c r="T62" s="18" t="n">
        <v>0</v>
      </c>
      <c r="U62" s="18" t="n">
        <v>0</v>
      </c>
      <c r="V62" s="18" t="n">
        <v>0</v>
      </c>
      <c r="W62" s="18" t="n">
        <v>0</v>
      </c>
      <c r="X62" s="18" t="n">
        <v>0</v>
      </c>
      <c r="Y62" s="18" t="n">
        <v>-0.84</v>
      </c>
      <c r="Z62" s="18" t="n">
        <f aca="false">IF(Q62="","",SUM(S62:Y62)-R62)</f>
        <v>-1.10500497640942E-012</v>
      </c>
      <c r="AA62" s="8"/>
    </row>
    <row r="63" customFormat="false" ht="15" hidden="false" customHeight="false" outlineLevel="0" collapsed="false">
      <c r="A63" s="15" t="s">
        <v>217</v>
      </c>
      <c r="B63" s="15" t="n">
        <v>10</v>
      </c>
      <c r="C63" s="16" t="s">
        <v>230</v>
      </c>
      <c r="D63" s="17" t="n">
        <v>32.12</v>
      </c>
      <c r="E63" s="18" t="n">
        <v>73940.24</v>
      </c>
      <c r="F63" s="15" t="s">
        <v>209</v>
      </c>
      <c r="G63" s="15" t="s">
        <v>209</v>
      </c>
      <c r="H63" s="18" t="n">
        <v>867.679999999996</v>
      </c>
      <c r="I63" s="16" t="s">
        <v>231</v>
      </c>
      <c r="J63" s="15" t="s">
        <v>99</v>
      </c>
      <c r="K63" s="16" t="s">
        <v>230</v>
      </c>
      <c r="L63" s="17" t="n">
        <v>32.12</v>
      </c>
      <c r="M63" s="18" t="n">
        <v>73940.24</v>
      </c>
      <c r="N63" s="15" t="s">
        <v>195</v>
      </c>
      <c r="O63" s="15" t="s">
        <v>196</v>
      </c>
      <c r="P63" s="15" t="s">
        <v>197</v>
      </c>
      <c r="Q63" s="18" t="n">
        <v>867.24</v>
      </c>
      <c r="R63" s="18" t="n">
        <f aca="false">IF(Q63="","",Q63-H63)</f>
        <v>-0.439999999996076</v>
      </c>
      <c r="S63" s="18" t="n">
        <v>0</v>
      </c>
      <c r="T63" s="18" t="n">
        <v>0</v>
      </c>
      <c r="U63" s="18" t="n">
        <v>0</v>
      </c>
      <c r="V63" s="18" t="n">
        <v>0</v>
      </c>
      <c r="W63" s="18" t="n">
        <v>0</v>
      </c>
      <c r="X63" s="18" t="n">
        <v>0</v>
      </c>
      <c r="Y63" s="18" t="n">
        <v>-0.44</v>
      </c>
      <c r="Z63" s="18" t="n">
        <f aca="false">IF(Q63="","",SUM(S63:Y63)-R63)</f>
        <v>-3.92447185859624E-012</v>
      </c>
      <c r="AA63" s="8"/>
    </row>
    <row r="64" customFormat="false" ht="15" hidden="false" customHeight="false" outlineLevel="0" collapsed="false">
      <c r="A64" s="15" t="s">
        <v>217</v>
      </c>
      <c r="B64" s="15" t="n">
        <v>11</v>
      </c>
      <c r="C64" s="16" t="s">
        <v>230</v>
      </c>
      <c r="D64" s="17" t="n">
        <v>32.72</v>
      </c>
      <c r="E64" s="18" t="n">
        <v>75321.44</v>
      </c>
      <c r="F64" s="15" t="s">
        <v>209</v>
      </c>
      <c r="G64" s="15" t="s">
        <v>209</v>
      </c>
      <c r="H64" s="18" t="n">
        <v>884.080000000005</v>
      </c>
      <c r="I64" s="16" t="s">
        <v>232</v>
      </c>
      <c r="J64" s="15" t="s">
        <v>118</v>
      </c>
      <c r="K64" s="16" t="s">
        <v>230</v>
      </c>
      <c r="L64" s="17" t="n">
        <v>32.72</v>
      </c>
      <c r="M64" s="18" t="n">
        <v>75321.44</v>
      </c>
      <c r="N64" s="15" t="s">
        <v>195</v>
      </c>
      <c r="O64" s="15" t="s">
        <v>196</v>
      </c>
      <c r="P64" s="15" t="s">
        <v>197</v>
      </c>
      <c r="Q64" s="18" t="n">
        <v>883.44</v>
      </c>
      <c r="R64" s="18" t="n">
        <f aca="false">IF(Q64="","",Q64-H64)</f>
        <v>-0.640000000004761</v>
      </c>
      <c r="S64" s="18" t="n">
        <v>0</v>
      </c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0</v>
      </c>
      <c r="Y64" s="18" t="n">
        <v>-0.64</v>
      </c>
      <c r="Z64" s="18" t="n">
        <f aca="false">IF(Q64="","",SUM(S64:Y64)-R64)</f>
        <v>4.76119144110498E-012</v>
      </c>
      <c r="AA64" s="8"/>
    </row>
    <row r="65" customFormat="false" ht="15" hidden="false" customHeight="false" outlineLevel="0" collapsed="false">
      <c r="A65" s="15" t="s">
        <v>233</v>
      </c>
      <c r="B65" s="15" t="n">
        <v>2</v>
      </c>
      <c r="C65" s="16" t="s">
        <v>234</v>
      </c>
      <c r="D65" s="17" t="n">
        <v>82.26</v>
      </c>
      <c r="E65" s="18" t="n">
        <v>208117.8</v>
      </c>
      <c r="F65" s="15" t="s">
        <v>209</v>
      </c>
      <c r="G65" s="15" t="s">
        <v>209</v>
      </c>
      <c r="H65" s="18" t="n">
        <v>2221.42000000001</v>
      </c>
      <c r="I65" s="16" t="s">
        <v>235</v>
      </c>
      <c r="J65" s="15" t="s">
        <v>118</v>
      </c>
      <c r="K65" s="16" t="s">
        <v>234</v>
      </c>
      <c r="L65" s="17" t="n">
        <v>82.26</v>
      </c>
      <c r="M65" s="18" t="n">
        <v>208117.8</v>
      </c>
      <c r="N65" s="15" t="s">
        <v>195</v>
      </c>
      <c r="O65" s="15" t="s">
        <v>97</v>
      </c>
      <c r="P65" s="15" t="s">
        <v>212</v>
      </c>
      <c r="Q65" s="18" t="n">
        <v>2221.02</v>
      </c>
      <c r="R65" s="18" t="n">
        <f aca="false">IF(Q65="","",Q65-H65)</f>
        <v>-0.400000000010095</v>
      </c>
      <c r="S65" s="18" t="n">
        <v>0</v>
      </c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0</v>
      </c>
      <c r="Y65" s="18" t="n">
        <v>-0.4</v>
      </c>
      <c r="Z65" s="18" t="n">
        <f aca="false">IF(Q65="","",SUM(S65:Y65)-R65)</f>
        <v>1.0095368985219E-011</v>
      </c>
      <c r="AA65" s="8" t="s">
        <v>236</v>
      </c>
    </row>
    <row r="66" customFormat="false" ht="15" hidden="false" customHeight="false" outlineLevel="0" collapsed="false">
      <c r="A66" s="15" t="s">
        <v>233</v>
      </c>
      <c r="B66" s="15" t="n">
        <v>3</v>
      </c>
      <c r="C66" s="16" t="s">
        <v>237</v>
      </c>
      <c r="D66" s="17" t="n">
        <v>82.2</v>
      </c>
      <c r="E66" s="18" t="n">
        <v>207966</v>
      </c>
      <c r="F66" s="15" t="s">
        <v>209</v>
      </c>
      <c r="G66" s="15" t="s">
        <v>209</v>
      </c>
      <c r="H66" s="18" t="n">
        <v>2219.39999999999</v>
      </c>
      <c r="I66" s="16" t="s">
        <v>238</v>
      </c>
      <c r="J66" s="15" t="s">
        <v>99</v>
      </c>
      <c r="K66" s="16" t="s">
        <v>237</v>
      </c>
      <c r="L66" s="17" t="n">
        <v>82.2</v>
      </c>
      <c r="M66" s="18" t="n">
        <v>207966</v>
      </c>
      <c r="N66" s="15" t="s">
        <v>195</v>
      </c>
      <c r="O66" s="15" t="s">
        <v>97</v>
      </c>
      <c r="P66" s="15" t="s">
        <v>212</v>
      </c>
      <c r="Q66" s="18" t="n">
        <v>2219.4</v>
      </c>
      <c r="R66" s="18" t="n">
        <f aca="false">IF(Q66="","",Q66-H66)</f>
        <v>1.00044417195022E-011</v>
      </c>
      <c r="S66" s="18" t="n">
        <v>0</v>
      </c>
      <c r="T66" s="18" t="n">
        <v>0</v>
      </c>
      <c r="U66" s="18" t="n">
        <v>0</v>
      </c>
      <c r="V66" s="18" t="n">
        <v>0</v>
      </c>
      <c r="W66" s="18" t="n">
        <v>0</v>
      </c>
      <c r="X66" s="18" t="n">
        <v>0</v>
      </c>
      <c r="Y66" s="18" t="n">
        <v>0</v>
      </c>
      <c r="Z66" s="18" t="n">
        <f aca="false">IF(Q66="","",SUM(S66:Y66)-R66)</f>
        <v>-1.00044417195022E-011</v>
      </c>
      <c r="AA66" s="8" t="s">
        <v>236</v>
      </c>
    </row>
    <row r="67" customFormat="false" ht="15" hidden="false" customHeight="false" outlineLevel="0" collapsed="false">
      <c r="A67" s="15" t="s">
        <v>233</v>
      </c>
      <c r="B67" s="15" t="n">
        <v>4</v>
      </c>
      <c r="C67" s="16" t="s">
        <v>237</v>
      </c>
      <c r="D67" s="17" t="n">
        <v>79.76</v>
      </c>
      <c r="E67" s="18" t="n">
        <v>181852.8</v>
      </c>
      <c r="F67" s="15" t="s">
        <v>209</v>
      </c>
      <c r="G67" s="15" t="s">
        <v>209</v>
      </c>
      <c r="H67" s="18" t="n">
        <v>2153.92000000001</v>
      </c>
      <c r="I67" s="16" t="s">
        <v>239</v>
      </c>
      <c r="J67" s="15" t="s">
        <v>166</v>
      </c>
      <c r="K67" s="16" t="s">
        <v>208</v>
      </c>
      <c r="L67" s="17" t="n">
        <v>79.76</v>
      </c>
      <c r="M67" s="18" t="n">
        <v>181852.8</v>
      </c>
      <c r="N67" s="15" t="s">
        <v>240</v>
      </c>
      <c r="O67" s="15" t="s">
        <v>97</v>
      </c>
      <c r="P67" s="15" t="s">
        <v>212</v>
      </c>
      <c r="Q67" s="18" t="n">
        <v>2153.52</v>
      </c>
      <c r="R67" s="18" t="n">
        <f aca="false">IF(Q67="","",Q67-H67)</f>
        <v>-0.400000000010095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-0.4</v>
      </c>
      <c r="Z67" s="18" t="n">
        <f aca="false">IF(Q67="","",SUM(S67:Y67)-R67)</f>
        <v>1.0095368985219E-011</v>
      </c>
      <c r="AA67" s="8" t="s">
        <v>241</v>
      </c>
    </row>
    <row r="68" customFormat="false" ht="15" hidden="false" customHeight="false" outlineLevel="0" collapsed="false">
      <c r="A68" s="15" t="s">
        <v>233</v>
      </c>
      <c r="B68" s="15" t="n">
        <v>5</v>
      </c>
      <c r="C68" s="16" t="s">
        <v>221</v>
      </c>
      <c r="D68" s="17" t="n">
        <v>75.88</v>
      </c>
      <c r="E68" s="18" t="n">
        <v>191976.4</v>
      </c>
      <c r="F68" s="15" t="s">
        <v>209</v>
      </c>
      <c r="G68" s="15" t="s">
        <v>209</v>
      </c>
      <c r="H68" s="18" t="n">
        <v>2048.96</v>
      </c>
      <c r="I68" s="16" t="s">
        <v>242</v>
      </c>
      <c r="J68" s="15" t="s">
        <v>166</v>
      </c>
      <c r="K68" s="16" t="s">
        <v>221</v>
      </c>
      <c r="L68" s="17" t="n">
        <v>75.88</v>
      </c>
      <c r="M68" s="18" t="n">
        <v>191976.4</v>
      </c>
      <c r="N68" s="15" t="s">
        <v>240</v>
      </c>
      <c r="O68" s="15" t="s">
        <v>97</v>
      </c>
      <c r="P68" s="15" t="s">
        <v>212</v>
      </c>
      <c r="Q68" s="18" t="n">
        <v>2048.76</v>
      </c>
      <c r="R68" s="18" t="n">
        <f aca="false">IF(Q68="","",Q68-H68)</f>
        <v>-0.199999999999818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  <c r="Y68" s="18" t="n">
        <v>-0.2</v>
      </c>
      <c r="Z68" s="18" t="n">
        <f aca="false">IF(Q68="","",SUM(S68:Y68)-R68)</f>
        <v>-1.81910042584832E-013</v>
      </c>
      <c r="AA68" s="8"/>
    </row>
    <row r="69" customFormat="false" ht="15" hidden="false" customHeight="false" outlineLevel="0" collapsed="false">
      <c r="A69" s="15" t="s">
        <v>233</v>
      </c>
      <c r="B69" s="15" t="n">
        <v>6</v>
      </c>
      <c r="C69" s="16" t="s">
        <v>226</v>
      </c>
      <c r="D69" s="17" t="n">
        <v>29.97</v>
      </c>
      <c r="E69" s="18" t="n">
        <v>68576.58</v>
      </c>
      <c r="F69" s="15" t="s">
        <v>209</v>
      </c>
      <c r="G69" s="15" t="s">
        <v>209</v>
      </c>
      <c r="H69" s="18" t="n">
        <v>809.970000000004</v>
      </c>
      <c r="I69" s="16" t="s">
        <v>243</v>
      </c>
      <c r="J69" s="15" t="s">
        <v>118</v>
      </c>
      <c r="K69" s="16" t="s">
        <v>226</v>
      </c>
      <c r="L69" s="17" t="n">
        <v>29.79</v>
      </c>
      <c r="M69" s="18" t="n">
        <v>68576.58</v>
      </c>
      <c r="N69" s="15" t="s">
        <v>195</v>
      </c>
      <c r="O69" s="15" t="s">
        <v>196</v>
      </c>
      <c r="P69" s="15" t="s">
        <v>197</v>
      </c>
      <c r="Q69" s="18" t="n">
        <v>804.33</v>
      </c>
      <c r="R69" s="19" t="n">
        <f aca="false">IF(Q69="","",Q69-H69)</f>
        <v>-5.64000000000408</v>
      </c>
      <c r="S69" s="18" t="n">
        <v>0</v>
      </c>
      <c r="T69" s="18" t="n">
        <v>0</v>
      </c>
      <c r="U69" s="18" t="n">
        <v>0</v>
      </c>
      <c r="V69" s="18" t="n">
        <v>0</v>
      </c>
      <c r="W69" s="18" t="n">
        <v>0</v>
      </c>
      <c r="X69" s="18" t="n">
        <v>0</v>
      </c>
      <c r="Y69" s="18" t="n">
        <v>-5.64</v>
      </c>
      <c r="Z69" s="18" t="n">
        <f aca="false">IF(Q69="","",SUM(S69:Y69)-R69)</f>
        <v>4.07940348168268E-012</v>
      </c>
      <c r="AA69" s="20" t="s">
        <v>244</v>
      </c>
    </row>
    <row r="70" customFormat="false" ht="15" hidden="false" customHeight="false" outlineLevel="0" collapsed="false">
      <c r="A70" s="15" t="s">
        <v>233</v>
      </c>
      <c r="B70" s="15" t="n">
        <v>7</v>
      </c>
      <c r="C70" s="16" t="s">
        <v>226</v>
      </c>
      <c r="D70" s="17" t="n">
        <v>81.46</v>
      </c>
      <c r="E70" s="18" t="n">
        <v>206093.8</v>
      </c>
      <c r="F70" s="15" t="s">
        <v>209</v>
      </c>
      <c r="G70" s="15" t="s">
        <v>209</v>
      </c>
      <c r="H70" s="18" t="n">
        <v>2199.82</v>
      </c>
      <c r="I70" s="16" t="s">
        <v>245</v>
      </c>
      <c r="J70" s="15" t="s">
        <v>118</v>
      </c>
      <c r="K70" s="16" t="s">
        <v>226</v>
      </c>
      <c r="L70" s="17" t="n">
        <v>81.46</v>
      </c>
      <c r="M70" s="18" t="n">
        <v>206093.8</v>
      </c>
      <c r="N70" s="15" t="s">
        <v>240</v>
      </c>
      <c r="O70" s="15" t="s">
        <v>196</v>
      </c>
      <c r="P70" s="15" t="s">
        <v>197</v>
      </c>
      <c r="Q70" s="18" t="n">
        <v>2199.42</v>
      </c>
      <c r="R70" s="18" t="n">
        <f aca="false">IF(Q70="","",Q70-H70)</f>
        <v>-0.400000000000091</v>
      </c>
      <c r="S70" s="18" t="n">
        <v>0</v>
      </c>
      <c r="T70" s="18" t="n">
        <v>0</v>
      </c>
      <c r="U70" s="18" t="n">
        <v>0</v>
      </c>
      <c r="V70" s="18" t="n">
        <v>0</v>
      </c>
      <c r="W70" s="18" t="n">
        <v>0</v>
      </c>
      <c r="X70" s="18" t="n">
        <v>0</v>
      </c>
      <c r="Y70" s="18" t="n">
        <v>-0.4</v>
      </c>
      <c r="Z70" s="18" t="n">
        <f aca="false">IF(Q70="","",SUM(S70:Y70)-R70)</f>
        <v>9.09272657168003E-014</v>
      </c>
      <c r="AA70" s="8"/>
    </row>
    <row r="71" customFormat="false" ht="15" hidden="false" customHeight="false" outlineLevel="0" collapsed="false">
      <c r="A71" s="15" t="s">
        <v>246</v>
      </c>
      <c r="B71" s="15" t="n">
        <v>2</v>
      </c>
      <c r="C71" s="16" t="s">
        <v>201</v>
      </c>
      <c r="D71" s="17" t="n">
        <v>30.06</v>
      </c>
      <c r="E71" s="18" t="n">
        <v>75450.6</v>
      </c>
      <c r="F71" s="15" t="s">
        <v>209</v>
      </c>
      <c r="G71" s="15" t="s">
        <v>209</v>
      </c>
      <c r="H71" s="18" t="n">
        <v>811.820000000001</v>
      </c>
      <c r="I71" s="16" t="s">
        <v>247</v>
      </c>
      <c r="J71" s="15" t="s">
        <v>248</v>
      </c>
      <c r="K71" s="16" t="s">
        <v>201</v>
      </c>
      <c r="L71" s="17" t="n">
        <v>30.06</v>
      </c>
      <c r="M71" s="18" t="n">
        <v>75450.6</v>
      </c>
      <c r="N71" s="15" t="s">
        <v>249</v>
      </c>
      <c r="O71" s="15" t="s">
        <v>196</v>
      </c>
      <c r="P71" s="15" t="s">
        <v>197</v>
      </c>
      <c r="Q71" s="18" t="n">
        <v>811.62</v>
      </c>
      <c r="R71" s="18" t="n">
        <f aca="false">IF(Q71="","",Q71-H71)</f>
        <v>-0.200000000000955</v>
      </c>
      <c r="S71" s="18" t="n">
        <v>0</v>
      </c>
      <c r="T71" s="18" t="n">
        <v>0</v>
      </c>
      <c r="U71" s="18" t="n">
        <v>0</v>
      </c>
      <c r="V71" s="18" t="n">
        <v>0</v>
      </c>
      <c r="W71" s="18" t="n">
        <v>0</v>
      </c>
      <c r="X71" s="18" t="n">
        <v>0</v>
      </c>
      <c r="Y71" s="18" t="n">
        <v>-0.2</v>
      </c>
      <c r="Z71" s="18" t="n">
        <f aca="false">IF(Q71="","",SUM(S71:Y71)-R71)</f>
        <v>9.54958334631328E-013</v>
      </c>
      <c r="AA71" s="8"/>
    </row>
    <row r="72" customFormat="false" ht="15" hidden="false" customHeight="false" outlineLevel="0" collapsed="false">
      <c r="A72" s="15" t="s">
        <v>246</v>
      </c>
      <c r="B72" s="15" t="n">
        <v>3</v>
      </c>
      <c r="C72" s="16" t="s">
        <v>230</v>
      </c>
      <c r="D72" s="17" t="n">
        <v>57.86</v>
      </c>
      <c r="E72" s="18" t="n">
        <v>147543</v>
      </c>
      <c r="F72" s="15" t="s">
        <v>209</v>
      </c>
      <c r="G72" s="15" t="s">
        <v>209</v>
      </c>
      <c r="H72" s="18" t="n">
        <v>1562.82</v>
      </c>
      <c r="I72" s="16" t="s">
        <v>250</v>
      </c>
      <c r="J72" s="15" t="s">
        <v>251</v>
      </c>
      <c r="K72" s="16" t="s">
        <v>230</v>
      </c>
      <c r="L72" s="17" t="n">
        <v>57.86</v>
      </c>
      <c r="M72" s="18" t="n">
        <v>147543</v>
      </c>
      <c r="N72" s="15" t="s">
        <v>249</v>
      </c>
      <c r="O72" s="15" t="s">
        <v>196</v>
      </c>
      <c r="P72" s="15" t="s">
        <v>197</v>
      </c>
      <c r="Q72" s="18" t="n">
        <v>1562.22</v>
      </c>
      <c r="R72" s="18" t="n">
        <f aca="false">IF(Q72="","",Q72-H72)</f>
        <v>-0.599999999999909</v>
      </c>
      <c r="S72" s="18" t="n">
        <v>0</v>
      </c>
      <c r="T72" s="18" t="n">
        <v>0</v>
      </c>
      <c r="U72" s="18" t="n">
        <v>0</v>
      </c>
      <c r="V72" s="18" t="n">
        <v>0</v>
      </c>
      <c r="W72" s="18" t="n">
        <v>0</v>
      </c>
      <c r="X72" s="18" t="n">
        <v>0</v>
      </c>
      <c r="Y72" s="18" t="n">
        <v>-0.6</v>
      </c>
      <c r="Z72" s="18" t="n">
        <f aca="false">IF(Q72="","",SUM(S72:Y72)-R72)</f>
        <v>-9.09272657168003E-014</v>
      </c>
      <c r="AA72" s="8"/>
    </row>
    <row r="73" customFormat="false" ht="15" hidden="false" customHeight="false" outlineLevel="0" collapsed="false">
      <c r="A73" s="15" t="s">
        <v>246</v>
      </c>
      <c r="B73" s="15" t="n">
        <v>4</v>
      </c>
      <c r="C73" s="16" t="s">
        <v>230</v>
      </c>
      <c r="D73" s="17" t="n">
        <v>42.94</v>
      </c>
      <c r="E73" s="18" t="n">
        <v>109497</v>
      </c>
      <c r="F73" s="15" t="s">
        <v>209</v>
      </c>
      <c r="G73" s="15" t="s">
        <v>209</v>
      </c>
      <c r="H73" s="18" t="n">
        <v>1159.78</v>
      </c>
      <c r="I73" s="16" t="s">
        <v>252</v>
      </c>
      <c r="J73" s="15" t="s">
        <v>149</v>
      </c>
      <c r="K73" s="16" t="s">
        <v>230</v>
      </c>
      <c r="L73" s="17" t="n">
        <v>42.94</v>
      </c>
      <c r="M73" s="18" t="n">
        <v>109497</v>
      </c>
      <c r="N73" s="15" t="s">
        <v>249</v>
      </c>
      <c r="O73" s="15" t="s">
        <v>196</v>
      </c>
      <c r="P73" s="15" t="s">
        <v>197</v>
      </c>
      <c r="Q73" s="18" t="n">
        <v>1159.38</v>
      </c>
      <c r="R73" s="18" t="n">
        <f aca="false">IF(Q73="","",Q73-H73)</f>
        <v>-0.399999999999864</v>
      </c>
      <c r="S73" s="18" t="n">
        <v>0</v>
      </c>
      <c r="T73" s="18" t="n">
        <v>0</v>
      </c>
      <c r="U73" s="18" t="n">
        <v>0</v>
      </c>
      <c r="V73" s="18" t="n">
        <v>0</v>
      </c>
      <c r="W73" s="18" t="n">
        <v>0</v>
      </c>
      <c r="X73" s="18" t="n">
        <v>0</v>
      </c>
      <c r="Y73" s="18" t="n">
        <v>-0.4</v>
      </c>
      <c r="Z73" s="18" t="n">
        <f aca="false">IF(Q73="","",SUM(S73:Y73)-R73)</f>
        <v>-1.36446409726432E-013</v>
      </c>
      <c r="AA73" s="8"/>
    </row>
    <row r="74" customFormat="false" ht="15" hidden="false" customHeight="false" outlineLevel="0" collapsed="false">
      <c r="A74" s="15" t="s">
        <v>246</v>
      </c>
      <c r="B74" s="15" t="n">
        <v>5</v>
      </c>
      <c r="C74" s="16" t="s">
        <v>230</v>
      </c>
      <c r="D74" s="17" t="n">
        <v>75.44</v>
      </c>
      <c r="E74" s="18" t="n">
        <v>196898.4</v>
      </c>
      <c r="F74" s="15" t="s">
        <v>209</v>
      </c>
      <c r="G74" s="15" t="s">
        <v>209</v>
      </c>
      <c r="H74" s="18" t="n">
        <v>2037.68</v>
      </c>
      <c r="I74" s="16" t="s">
        <v>253</v>
      </c>
      <c r="J74" s="15" t="s">
        <v>99</v>
      </c>
      <c r="K74" s="16" t="s">
        <v>230</v>
      </c>
      <c r="L74" s="17" t="n">
        <v>75.44</v>
      </c>
      <c r="M74" s="18" t="n">
        <v>196898.4</v>
      </c>
      <c r="N74" s="15" t="s">
        <v>249</v>
      </c>
      <c r="O74" s="15" t="s">
        <v>196</v>
      </c>
      <c r="P74" s="15" t="s">
        <v>197</v>
      </c>
      <c r="Q74" s="18" t="n">
        <v>2036.88</v>
      </c>
      <c r="R74" s="18" t="n">
        <f aca="false">IF(Q74="","",Q74-H74)</f>
        <v>-0.799999999999045</v>
      </c>
      <c r="S74" s="18" t="n">
        <v>0</v>
      </c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0</v>
      </c>
      <c r="Y74" s="18" t="n">
        <v>-0.8</v>
      </c>
      <c r="Z74" s="18" t="n">
        <f aca="false">IF(Q74="","",SUM(S74:Y74)-R74)</f>
        <v>-9.5501384578256E-013</v>
      </c>
      <c r="AA74" s="8"/>
    </row>
    <row r="75" customFormat="false" ht="15" hidden="false" customHeight="false" outlineLevel="0" collapsed="false">
      <c r="A75" s="15" t="s">
        <v>254</v>
      </c>
      <c r="B75" s="15" t="n">
        <v>2</v>
      </c>
      <c r="C75" s="16" t="s">
        <v>158</v>
      </c>
      <c r="D75" s="17" t="n">
        <v>32.42</v>
      </c>
      <c r="E75" s="18" t="n">
        <v>77808</v>
      </c>
      <c r="F75" s="15" t="s">
        <v>96</v>
      </c>
      <c r="G75" s="15" t="s">
        <v>97</v>
      </c>
      <c r="H75" s="18" t="n">
        <v>555.424099999989</v>
      </c>
      <c r="I75" s="16" t="s">
        <v>255</v>
      </c>
      <c r="J75" s="15" t="s">
        <v>256</v>
      </c>
      <c r="K75" s="16" t="s">
        <v>158</v>
      </c>
      <c r="L75" s="17" t="n">
        <v>32.42</v>
      </c>
      <c r="M75" s="18" t="n">
        <v>77808</v>
      </c>
      <c r="N75" s="15" t="s">
        <v>254</v>
      </c>
      <c r="O75" s="15" t="s">
        <v>97</v>
      </c>
      <c r="P75" s="15" t="s">
        <v>96</v>
      </c>
      <c r="Q75" s="18" t="n">
        <v>554.544099999985</v>
      </c>
      <c r="R75" s="18" t="n">
        <f aca="false">IF(Q75="","",Q75-H75)</f>
        <v>-0.880000000004429</v>
      </c>
      <c r="S75" s="18" t="n">
        <v>0</v>
      </c>
      <c r="T75" s="18" t="n">
        <v>0</v>
      </c>
      <c r="U75" s="18" t="n">
        <v>0</v>
      </c>
      <c r="V75" s="18" t="n">
        <v>0</v>
      </c>
      <c r="W75" s="18" t="n">
        <v>0</v>
      </c>
      <c r="X75" s="18" t="n">
        <v>0</v>
      </c>
      <c r="Y75" s="18" t="n">
        <v>-0.88</v>
      </c>
      <c r="Z75" s="18" t="n">
        <f aca="false">IF(Q75="","",SUM(S75:Y75)-R75)</f>
        <v>4.42923475674206E-012</v>
      </c>
      <c r="AA75" s="8"/>
    </row>
    <row r="76" customFormat="false" ht="15" hidden="false" customHeight="false" outlineLevel="0" collapsed="false">
      <c r="A76" s="15" t="s">
        <v>254</v>
      </c>
      <c r="B76" s="15" t="n">
        <v>3</v>
      </c>
      <c r="C76" s="16" t="s">
        <v>257</v>
      </c>
      <c r="D76" s="17" t="n">
        <v>35.72</v>
      </c>
      <c r="E76" s="18" t="n">
        <v>86442.4</v>
      </c>
      <c r="F76" s="15" t="s">
        <v>96</v>
      </c>
      <c r="G76" s="15" t="s">
        <v>97</v>
      </c>
      <c r="H76" s="18" t="n">
        <v>615.026599999997</v>
      </c>
      <c r="I76" s="16" t="s">
        <v>258</v>
      </c>
      <c r="J76" s="15" t="s">
        <v>259</v>
      </c>
      <c r="K76" s="16" t="s">
        <v>257</v>
      </c>
      <c r="L76" s="17" t="n">
        <v>35.72</v>
      </c>
      <c r="M76" s="18" t="n">
        <v>86442.4</v>
      </c>
      <c r="N76" s="15" t="s">
        <v>254</v>
      </c>
      <c r="O76" s="15" t="s">
        <v>97</v>
      </c>
      <c r="P76" s="15" t="s">
        <v>96</v>
      </c>
      <c r="Q76" s="18" t="n">
        <v>614.562600000005</v>
      </c>
      <c r="R76" s="18" t="n">
        <f aca="false">IF(Q76="","",Q76-H76)</f>
        <v>-0.463999999992211</v>
      </c>
      <c r="S76" s="18" t="n">
        <v>0</v>
      </c>
      <c r="T76" s="18" t="n">
        <v>0</v>
      </c>
      <c r="U76" s="18" t="n">
        <v>0</v>
      </c>
      <c r="V76" s="18" t="n">
        <v>0</v>
      </c>
      <c r="W76" s="18" t="n">
        <v>0</v>
      </c>
      <c r="X76" s="18" t="n">
        <v>0</v>
      </c>
      <c r="Y76" s="18" t="n">
        <v>-0.46</v>
      </c>
      <c r="Z76" s="18" t="n">
        <f aca="false">IF(Q76="","",SUM(S76:Y76)-R76)</f>
        <v>0.00399999999221107</v>
      </c>
      <c r="AA76" s="8"/>
    </row>
    <row r="77" customFormat="false" ht="29.85" hidden="false" customHeight="false" outlineLevel="0" collapsed="false">
      <c r="A77" s="15" t="s">
        <v>254</v>
      </c>
      <c r="B77" s="15" t="n">
        <v>4</v>
      </c>
      <c r="C77" s="16" t="s">
        <v>260</v>
      </c>
      <c r="D77" s="17" t="n">
        <v>38.07</v>
      </c>
      <c r="E77" s="18" t="n">
        <v>91748.7</v>
      </c>
      <c r="F77" s="15" t="s">
        <v>96</v>
      </c>
      <c r="G77" s="15" t="s">
        <v>97</v>
      </c>
      <c r="H77" s="18" t="n">
        <v>652.972849999991</v>
      </c>
      <c r="I77" s="16" t="s">
        <v>261</v>
      </c>
      <c r="J77" s="15" t="s">
        <v>262</v>
      </c>
      <c r="K77" s="16" t="s">
        <v>260</v>
      </c>
      <c r="L77" s="17" t="n">
        <v>38.07</v>
      </c>
      <c r="M77" s="18" t="n">
        <v>91748.7</v>
      </c>
      <c r="N77" s="15" t="s">
        <v>254</v>
      </c>
      <c r="O77" s="15" t="s">
        <v>171</v>
      </c>
      <c r="P77" s="15" t="s">
        <v>96</v>
      </c>
      <c r="Q77" s="18" t="n">
        <v>653.090849999993</v>
      </c>
      <c r="R77" s="18" t="n">
        <f aca="false">IF(Q77="","",Q77-H77)</f>
        <v>0.118000000002212</v>
      </c>
      <c r="S77" s="18" t="n">
        <v>0</v>
      </c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0</v>
      </c>
      <c r="Y77" s="18" t="n">
        <v>0.12</v>
      </c>
      <c r="Z77" s="18" t="n">
        <f aca="false">IF(Q77="","",SUM(S77:Y77)-R77)</f>
        <v>0.0019999999977881</v>
      </c>
      <c r="AA77" s="8" t="s">
        <v>263</v>
      </c>
    </row>
    <row r="78" customFormat="false" ht="44" hidden="false" customHeight="false" outlineLevel="0" collapsed="false">
      <c r="A78" s="15" t="s">
        <v>254</v>
      </c>
      <c r="B78" s="15" t="n">
        <v>5</v>
      </c>
      <c r="C78" s="16" t="s">
        <v>260</v>
      </c>
      <c r="D78" s="17" t="n">
        <v>35.28</v>
      </c>
      <c r="E78" s="18" t="n">
        <v>68714.8</v>
      </c>
      <c r="F78" s="15" t="s">
        <v>96</v>
      </c>
      <c r="G78" s="15" t="s">
        <v>97</v>
      </c>
      <c r="H78" s="18" t="n">
        <v>524.4064</v>
      </c>
      <c r="I78" s="16" t="s">
        <v>264</v>
      </c>
      <c r="J78" s="15" t="s">
        <v>265</v>
      </c>
      <c r="K78" s="16" t="s">
        <v>260</v>
      </c>
      <c r="L78" s="17" t="n">
        <v>35.28</v>
      </c>
      <c r="M78" s="18" t="n">
        <v>68714.8</v>
      </c>
      <c r="N78" s="15" t="s">
        <v>254</v>
      </c>
      <c r="O78" s="15" t="s">
        <v>171</v>
      </c>
      <c r="P78" s="15" t="s">
        <v>96</v>
      </c>
      <c r="Q78" s="18" t="n">
        <v>523.678399999997</v>
      </c>
      <c r="R78" s="18" t="n">
        <f aca="false">IF(Q78="","",Q78-H78)</f>
        <v>-0.728000000002908</v>
      </c>
      <c r="S78" s="18" t="n">
        <v>0</v>
      </c>
      <c r="T78" s="18" t="n">
        <v>0</v>
      </c>
      <c r="U78" s="18" t="n">
        <v>0</v>
      </c>
      <c r="V78" s="18" t="n">
        <v>0</v>
      </c>
      <c r="W78" s="18" t="n">
        <v>0</v>
      </c>
      <c r="X78" s="18" t="n">
        <v>0</v>
      </c>
      <c r="Y78" s="18" t="n">
        <v>-0.73</v>
      </c>
      <c r="Z78" s="18" t="n">
        <f aca="false">IF(Q78="","",SUM(S78:Y78)-R78)</f>
        <v>-0.00199999999709233</v>
      </c>
      <c r="AA78" s="8" t="s">
        <v>266</v>
      </c>
    </row>
    <row r="79" customFormat="false" ht="15" hidden="false" customHeight="false" outlineLevel="0" collapsed="false">
      <c r="A79" s="15" t="s">
        <v>267</v>
      </c>
      <c r="B79" s="15" t="n">
        <v>2</v>
      </c>
      <c r="C79" s="16" t="s">
        <v>112</v>
      </c>
      <c r="D79" s="17" t="n">
        <v>39.16</v>
      </c>
      <c r="E79" s="18" t="n">
        <v>91242.8</v>
      </c>
      <c r="F79" s="15" t="s">
        <v>96</v>
      </c>
      <c r="G79" s="15" t="s">
        <v>97</v>
      </c>
      <c r="H79" s="18" t="n">
        <v>461.133799999996</v>
      </c>
      <c r="I79" s="16" t="s">
        <v>268</v>
      </c>
      <c r="J79" s="15" t="s">
        <v>269</v>
      </c>
      <c r="K79" s="16" t="s">
        <v>112</v>
      </c>
      <c r="L79" s="17" t="n">
        <v>39.16</v>
      </c>
      <c r="M79" s="18" t="n">
        <v>91242.8</v>
      </c>
      <c r="N79" s="15" t="s">
        <v>267</v>
      </c>
      <c r="O79" s="15" t="s">
        <v>97</v>
      </c>
      <c r="P79" s="15" t="s">
        <v>96</v>
      </c>
      <c r="Q79" s="18" t="n">
        <v>460.325800000009</v>
      </c>
      <c r="R79" s="18" t="n">
        <f aca="false">IF(Q79="","",Q79-H79)</f>
        <v>-0.807999999987089</v>
      </c>
      <c r="S79" s="18" t="n">
        <v>0</v>
      </c>
      <c r="T79" s="18" t="n">
        <v>0</v>
      </c>
      <c r="U79" s="18" t="n">
        <v>0</v>
      </c>
      <c r="V79" s="18" t="n">
        <v>0</v>
      </c>
      <c r="W79" s="18" t="n">
        <v>0</v>
      </c>
      <c r="X79" s="18" t="n">
        <v>0</v>
      </c>
      <c r="Y79" s="18" t="n">
        <v>-0.81</v>
      </c>
      <c r="Z79" s="18" t="n">
        <f aca="false">IF(Q79="","",SUM(S79:Y79)-R79)</f>
        <v>-0.00200000001291079</v>
      </c>
      <c r="AA79" s="8"/>
    </row>
    <row r="80" customFormat="false" ht="15" hidden="false" customHeight="false" outlineLevel="0" collapsed="false">
      <c r="A80" s="15" t="s">
        <v>267</v>
      </c>
      <c r="B80" s="15" t="n">
        <v>3</v>
      </c>
      <c r="C80" s="16" t="s">
        <v>122</v>
      </c>
      <c r="D80" s="17" t="n">
        <v>38.78</v>
      </c>
      <c r="E80" s="18" t="n">
        <v>89969.6</v>
      </c>
      <c r="F80" s="15" t="s">
        <v>96</v>
      </c>
      <c r="G80" s="15" t="s">
        <v>97</v>
      </c>
      <c r="H80" s="18" t="n">
        <v>454.775900000008</v>
      </c>
      <c r="I80" s="16" t="s">
        <v>270</v>
      </c>
      <c r="J80" s="15" t="s">
        <v>271</v>
      </c>
      <c r="K80" s="16" t="s">
        <v>122</v>
      </c>
      <c r="L80" s="17" t="n">
        <v>38.78</v>
      </c>
      <c r="M80" s="18" t="n">
        <v>89969.6</v>
      </c>
      <c r="N80" s="15" t="s">
        <v>97</v>
      </c>
      <c r="O80" s="15" t="s">
        <v>97</v>
      </c>
      <c r="P80" s="15" t="s">
        <v>96</v>
      </c>
      <c r="Q80" s="18" t="n">
        <v>647.819900000002</v>
      </c>
      <c r="R80" s="19" t="n">
        <f aca="false">IF(Q80="","",Q80-H80)</f>
        <v>193.043999999994</v>
      </c>
      <c r="S80" s="18" t="n">
        <v>193.9</v>
      </c>
      <c r="T80" s="18" t="n">
        <v>0</v>
      </c>
      <c r="U80" s="18" t="n">
        <v>0</v>
      </c>
      <c r="V80" s="18" t="n">
        <v>0</v>
      </c>
      <c r="W80" s="18" t="n">
        <v>0</v>
      </c>
      <c r="X80" s="18" t="n">
        <v>0</v>
      </c>
      <c r="Y80" s="18" t="n">
        <v>-0.86</v>
      </c>
      <c r="Z80" s="18" t="n">
        <f aca="false">IF(Q80="","",SUM(S80:Y80)-R80)</f>
        <v>-0.00399999999424949</v>
      </c>
      <c r="AA80" s="20" t="s">
        <v>126</v>
      </c>
    </row>
    <row r="81" customFormat="false" ht="15" hidden="false" customHeight="false" outlineLevel="0" collapsed="false">
      <c r="A81" s="15" t="s">
        <v>267</v>
      </c>
      <c r="B81" s="15" t="n">
        <v>4</v>
      </c>
      <c r="C81" s="16" t="s">
        <v>150</v>
      </c>
      <c r="D81" s="17" t="n">
        <v>39.96</v>
      </c>
      <c r="E81" s="18" t="n">
        <v>93186.72</v>
      </c>
      <c r="F81" s="15" t="s">
        <v>96</v>
      </c>
      <c r="G81" s="15" t="s">
        <v>97</v>
      </c>
      <c r="H81" s="18" t="n">
        <v>470.708599999998</v>
      </c>
      <c r="I81" s="16" t="s">
        <v>272</v>
      </c>
      <c r="J81" s="15" t="s">
        <v>273</v>
      </c>
      <c r="K81" s="16" t="s">
        <v>150</v>
      </c>
      <c r="L81" s="17" t="n">
        <v>39.96</v>
      </c>
      <c r="M81" s="18" t="n">
        <v>93186.72</v>
      </c>
      <c r="N81" s="15" t="s">
        <v>97</v>
      </c>
      <c r="O81" s="15" t="s">
        <v>97</v>
      </c>
      <c r="P81" s="15" t="s">
        <v>96</v>
      </c>
      <c r="Q81" s="18" t="n">
        <v>669.929400000008</v>
      </c>
      <c r="R81" s="19" t="n">
        <f aca="false">IF(Q81="","",Q81-H81)</f>
        <v>199.22080000001</v>
      </c>
      <c r="S81" s="18" t="n">
        <v>199.8</v>
      </c>
      <c r="T81" s="18" t="n">
        <v>0</v>
      </c>
      <c r="U81" s="18" t="n">
        <v>0</v>
      </c>
      <c r="V81" s="18" t="n">
        <v>0</v>
      </c>
      <c r="W81" s="18" t="n">
        <v>0</v>
      </c>
      <c r="X81" s="18" t="n">
        <v>0</v>
      </c>
      <c r="Y81" s="18" t="n">
        <v>-0.58</v>
      </c>
      <c r="Z81" s="18" t="n">
        <f aca="false">IF(Q81="","",SUM(S81:Y81)-R81)</f>
        <v>-0.000800000010173108</v>
      </c>
      <c r="AA81" s="20" t="s">
        <v>126</v>
      </c>
    </row>
    <row r="82" customFormat="false" ht="15" hidden="false" customHeight="false" outlineLevel="0" collapsed="false">
      <c r="A82" s="15" t="s">
        <v>267</v>
      </c>
      <c r="B82" s="15" t="n">
        <v>5</v>
      </c>
      <c r="C82" s="16" t="s">
        <v>208</v>
      </c>
      <c r="D82" s="17" t="n">
        <v>39.17</v>
      </c>
      <c r="E82" s="18" t="n">
        <v>94008</v>
      </c>
      <c r="F82" s="15" t="s">
        <v>96</v>
      </c>
      <c r="G82" s="15" t="s">
        <v>188</v>
      </c>
      <c r="H82" s="18" t="n">
        <v>670.882849999995</v>
      </c>
      <c r="I82" s="16" t="s">
        <v>274</v>
      </c>
      <c r="J82" s="15" t="s">
        <v>275</v>
      </c>
      <c r="K82" s="16" t="s">
        <v>208</v>
      </c>
      <c r="L82" s="17" t="n">
        <v>39.17</v>
      </c>
      <c r="M82" s="18" t="n">
        <v>94008</v>
      </c>
      <c r="N82" s="15" t="s">
        <v>267</v>
      </c>
      <c r="O82" s="15" t="s">
        <v>97</v>
      </c>
      <c r="P82" s="15" t="s">
        <v>96</v>
      </c>
      <c r="Q82" s="18" t="n">
        <v>670.00284999999</v>
      </c>
      <c r="R82" s="18" t="n">
        <f aca="false">IF(Q82="","",Q82-H82)</f>
        <v>-0.880000000005111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0</v>
      </c>
      <c r="X82" s="18" t="n">
        <v>0</v>
      </c>
      <c r="Y82" s="18" t="n">
        <v>-0.88</v>
      </c>
      <c r="Z82" s="18" t="n">
        <f aca="false">IF(Q82="","",SUM(S82:Y82)-R82)</f>
        <v>5.11135578307176E-012</v>
      </c>
      <c r="AA82" s="8" t="s">
        <v>276</v>
      </c>
    </row>
    <row r="83" customFormat="false" ht="29.85" hidden="false" customHeight="false" outlineLevel="0" collapsed="false">
      <c r="A83" s="15" t="s">
        <v>267</v>
      </c>
      <c r="B83" s="15" t="n">
        <v>6</v>
      </c>
      <c r="C83" s="16" t="s">
        <v>214</v>
      </c>
      <c r="D83" s="17" t="n">
        <v>34.42</v>
      </c>
      <c r="E83" s="18" t="n">
        <v>82263.8</v>
      </c>
      <c r="F83" s="15" t="s">
        <v>96</v>
      </c>
      <c r="G83" s="15" t="s">
        <v>188</v>
      </c>
      <c r="H83" s="18" t="n">
        <v>587.901100000003</v>
      </c>
      <c r="I83" s="16" t="s">
        <v>277</v>
      </c>
      <c r="J83" s="15" t="s">
        <v>278</v>
      </c>
      <c r="K83" s="16" t="s">
        <v>214</v>
      </c>
      <c r="L83" s="17" t="n">
        <v>34.42</v>
      </c>
      <c r="M83" s="18" t="n">
        <v>82263.8</v>
      </c>
      <c r="N83" s="15" t="s">
        <v>267</v>
      </c>
      <c r="O83" s="15" t="s">
        <v>188</v>
      </c>
      <c r="P83" s="15" t="s">
        <v>96</v>
      </c>
      <c r="Q83" s="18" t="n">
        <v>831.449519999995</v>
      </c>
      <c r="R83" s="19" t="n">
        <f aca="false">IF(Q83="","",Q83-H83)</f>
        <v>243.548419999992</v>
      </c>
      <c r="S83" s="18" t="n">
        <v>0</v>
      </c>
      <c r="T83" s="18" t="n">
        <v>0</v>
      </c>
      <c r="U83" s="18" t="n">
        <v>244.42</v>
      </c>
      <c r="V83" s="18" t="n">
        <v>0</v>
      </c>
      <c r="W83" s="18" t="n">
        <v>0</v>
      </c>
      <c r="X83" s="18" t="n">
        <v>0</v>
      </c>
      <c r="Y83" s="18" t="n">
        <v>-0.87</v>
      </c>
      <c r="Z83" s="18" t="n">
        <f aca="false">IF(Q83="","",SUM(S83:Y83)-R83)</f>
        <v>0.00158000000831748</v>
      </c>
      <c r="AA83" s="20" t="s">
        <v>279</v>
      </c>
    </row>
    <row r="84" customFormat="false" ht="29.85" hidden="false" customHeight="false" outlineLevel="0" collapsed="false">
      <c r="A84" s="15" t="s">
        <v>267</v>
      </c>
      <c r="B84" s="15" t="n">
        <v>7</v>
      </c>
      <c r="C84" s="16" t="s">
        <v>280</v>
      </c>
      <c r="D84" s="17" t="n">
        <v>41.42</v>
      </c>
      <c r="E84" s="18" t="n">
        <v>96094.4</v>
      </c>
      <c r="F84" s="15" t="s">
        <v>96</v>
      </c>
      <c r="G84" s="15" t="s">
        <v>188</v>
      </c>
      <c r="H84" s="18" t="n">
        <v>692.105100000001</v>
      </c>
      <c r="I84" s="16" t="s">
        <v>281</v>
      </c>
      <c r="J84" s="15" t="s">
        <v>282</v>
      </c>
      <c r="K84" s="16" t="s">
        <v>280</v>
      </c>
      <c r="L84" s="17" t="n">
        <v>41.42</v>
      </c>
      <c r="M84" s="18" t="n">
        <v>96094.4</v>
      </c>
      <c r="N84" s="15" t="s">
        <v>267</v>
      </c>
      <c r="O84" s="15" t="s">
        <v>188</v>
      </c>
      <c r="P84" s="15" t="s">
        <v>96</v>
      </c>
      <c r="Q84" s="18" t="n">
        <v>977.346319999997</v>
      </c>
      <c r="R84" s="19" t="n">
        <f aca="false">IF(Q84="","",Q84-H84)</f>
        <v>285.241219999996</v>
      </c>
      <c r="S84" s="18" t="n">
        <v>0</v>
      </c>
      <c r="T84" s="18" t="n">
        <v>0</v>
      </c>
      <c r="U84" s="18" t="n">
        <v>285.43</v>
      </c>
      <c r="V84" s="18" t="n">
        <v>0</v>
      </c>
      <c r="W84" s="18" t="n">
        <v>0</v>
      </c>
      <c r="X84" s="18" t="n">
        <v>0</v>
      </c>
      <c r="Y84" s="18" t="n">
        <v>-0.18</v>
      </c>
      <c r="Z84" s="18" t="n">
        <f aca="false">IF(Q84="","",SUM(S84:Y84)-R84)</f>
        <v>0.00878000000409429</v>
      </c>
      <c r="AA84" s="20" t="s">
        <v>279</v>
      </c>
    </row>
    <row r="85" customFormat="false" ht="15" hidden="false" customHeight="false" outlineLevel="0" collapsed="false">
      <c r="A85" s="15" t="s">
        <v>283</v>
      </c>
      <c r="B85" s="15" t="n">
        <v>2</v>
      </c>
      <c r="C85" s="16" t="s">
        <v>135</v>
      </c>
      <c r="D85" s="17" t="n">
        <v>34.49</v>
      </c>
      <c r="E85" s="18" t="n">
        <v>80430.68</v>
      </c>
      <c r="F85" s="15" t="s">
        <v>96</v>
      </c>
      <c r="G85" s="15" t="s">
        <v>97</v>
      </c>
      <c r="H85" s="18" t="n">
        <v>578.609649999984</v>
      </c>
      <c r="I85" s="16" t="s">
        <v>284</v>
      </c>
      <c r="J85" s="15" t="s">
        <v>285</v>
      </c>
      <c r="K85" s="16" t="s">
        <v>135</v>
      </c>
      <c r="L85" s="17" t="n">
        <v>34.49</v>
      </c>
      <c r="M85" s="18" t="n">
        <v>80430.68</v>
      </c>
      <c r="N85" s="15" t="s">
        <v>97</v>
      </c>
      <c r="O85" s="15" t="s">
        <v>97</v>
      </c>
      <c r="P85" s="15" t="s">
        <v>96</v>
      </c>
      <c r="Q85" s="18" t="n">
        <v>578.224849999984</v>
      </c>
      <c r="R85" s="18" t="n">
        <f aca="false">IF(Q85="","",Q85-H85)</f>
        <v>-0.384799999999814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  <c r="X85" s="18" t="n">
        <v>0</v>
      </c>
      <c r="Y85" s="18" t="n">
        <v>-0.38</v>
      </c>
      <c r="Z85" s="18" t="n">
        <f aca="false">IF(Q85="","",SUM(S85:Y85)-R85)</f>
        <v>0.00479999999981373</v>
      </c>
      <c r="AA85" s="8"/>
    </row>
    <row r="86" customFormat="false" ht="29.85" hidden="false" customHeight="false" outlineLevel="0" collapsed="false">
      <c r="A86" s="15" t="s">
        <v>283</v>
      </c>
      <c r="B86" s="15" t="n">
        <v>3</v>
      </c>
      <c r="C86" s="16" t="s">
        <v>221</v>
      </c>
      <c r="D86" s="17" t="n">
        <v>44.52</v>
      </c>
      <c r="E86" s="18" t="n">
        <v>103286.4</v>
      </c>
      <c r="F86" s="15" t="s">
        <v>96</v>
      </c>
      <c r="G86" s="15" t="s">
        <v>188</v>
      </c>
      <c r="H86" s="18" t="n">
        <v>744.010599999994</v>
      </c>
      <c r="I86" s="16" t="s">
        <v>286</v>
      </c>
      <c r="J86" s="15" t="s">
        <v>287</v>
      </c>
      <c r="K86" s="16" t="s">
        <v>221</v>
      </c>
      <c r="L86" s="17" t="n">
        <v>44.52</v>
      </c>
      <c r="M86" s="18" t="n">
        <v>103286.4</v>
      </c>
      <c r="N86" s="15" t="s">
        <v>267</v>
      </c>
      <c r="O86" s="15" t="s">
        <v>188</v>
      </c>
      <c r="P86" s="15" t="s">
        <v>212</v>
      </c>
      <c r="Q86" s="18" t="n">
        <v>915.331200000007</v>
      </c>
      <c r="R86" s="19" t="n">
        <f aca="false">IF(Q86="","",Q86-H86)</f>
        <v>171.320600000013</v>
      </c>
      <c r="S86" s="18" t="n">
        <v>0</v>
      </c>
      <c r="T86" s="18" t="n">
        <v>0</v>
      </c>
      <c r="U86" s="18" t="n">
        <v>0</v>
      </c>
      <c r="V86" s="18" t="n">
        <v>0</v>
      </c>
      <c r="W86" s="18" t="n">
        <v>0</v>
      </c>
      <c r="X86" s="18" t="n">
        <v>171.32</v>
      </c>
      <c r="Y86" s="18" t="n">
        <v>0</v>
      </c>
      <c r="Z86" s="18" t="n">
        <f aca="false">IF(Q86="","",SUM(S86:Y86)-R86)</f>
        <v>-0.000600000012980217</v>
      </c>
      <c r="AA86" s="20" t="s">
        <v>288</v>
      </c>
    </row>
    <row r="87" customFormat="false" ht="29.85" hidden="false" customHeight="false" outlineLevel="0" collapsed="false">
      <c r="A87" s="15" t="s">
        <v>283</v>
      </c>
      <c r="B87" s="15" t="n">
        <v>4</v>
      </c>
      <c r="C87" s="16" t="s">
        <v>214</v>
      </c>
      <c r="D87" s="17" t="n">
        <v>33.02</v>
      </c>
      <c r="E87" s="18" t="n">
        <v>76606.4</v>
      </c>
      <c r="F87" s="15" t="s">
        <v>96</v>
      </c>
      <c r="G87" s="15" t="s">
        <v>188</v>
      </c>
      <c r="H87" s="18" t="n">
        <v>552.103100000008</v>
      </c>
      <c r="I87" s="16" t="s">
        <v>289</v>
      </c>
      <c r="J87" s="15" t="s">
        <v>290</v>
      </c>
      <c r="K87" s="16" t="s">
        <v>214</v>
      </c>
      <c r="L87" s="17" t="n">
        <v>33.02</v>
      </c>
      <c r="M87" s="18" t="n">
        <v>76606.4</v>
      </c>
      <c r="N87" s="15" t="s">
        <v>267</v>
      </c>
      <c r="O87" s="15" t="s">
        <v>188</v>
      </c>
      <c r="P87" s="15" t="s">
        <v>96</v>
      </c>
      <c r="Q87" s="18" t="n">
        <v>779.139919999987</v>
      </c>
      <c r="R87" s="19" t="n">
        <f aca="false">IF(Q87="","",Q87-H87)</f>
        <v>227.036819999979</v>
      </c>
      <c r="S87" s="18" t="n">
        <v>0</v>
      </c>
      <c r="T87" s="18" t="n">
        <v>0</v>
      </c>
      <c r="U87" s="18" t="n">
        <v>227.54</v>
      </c>
      <c r="V87" s="18" t="n">
        <v>0</v>
      </c>
      <c r="W87" s="18" t="n">
        <v>0</v>
      </c>
      <c r="X87" s="18" t="n">
        <v>0</v>
      </c>
      <c r="Y87" s="18" t="n">
        <v>-0.5</v>
      </c>
      <c r="Z87" s="18" t="n">
        <f aca="false">IF(Q87="","",SUM(S87:Y87)-R87)</f>
        <v>0.00318000002098984</v>
      </c>
      <c r="AA87" s="20" t="s">
        <v>279</v>
      </c>
    </row>
    <row r="88" customFormat="false" ht="15" hidden="false" customHeight="false" outlineLevel="0" collapsed="false">
      <c r="A88" s="15" t="s">
        <v>291</v>
      </c>
      <c r="B88" s="15" t="n">
        <v>2</v>
      </c>
      <c r="C88" s="16" t="s">
        <v>292</v>
      </c>
      <c r="D88" s="17" t="n">
        <v>56.14</v>
      </c>
      <c r="E88" s="18" t="n">
        <v>132939.52</v>
      </c>
      <c r="F88" s="15" t="s">
        <v>96</v>
      </c>
      <c r="G88" s="15"/>
      <c r="H88" s="18" t="n">
        <v>952.27949999999</v>
      </c>
      <c r="I88" s="16" t="s">
        <v>293</v>
      </c>
      <c r="J88" s="15" t="s">
        <v>294</v>
      </c>
      <c r="K88" s="16" t="s">
        <v>292</v>
      </c>
      <c r="L88" s="17" t="n">
        <v>56.14</v>
      </c>
      <c r="M88" s="18" t="n">
        <v>132939.52</v>
      </c>
      <c r="N88" s="15" t="s">
        <v>295</v>
      </c>
      <c r="O88" s="15" t="s">
        <v>97</v>
      </c>
      <c r="P88" s="15" t="s">
        <v>96</v>
      </c>
      <c r="Q88" s="18" t="n">
        <v>951.292300000001</v>
      </c>
      <c r="R88" s="18" t="n">
        <f aca="false">IF(Q88="","",Q88-H88)</f>
        <v>-0.987199999989002</v>
      </c>
      <c r="S88" s="18" t="n">
        <v>0</v>
      </c>
      <c r="T88" s="18" t="n">
        <v>0</v>
      </c>
      <c r="U88" s="18" t="n">
        <v>0</v>
      </c>
      <c r="V88" s="18" t="n">
        <v>0</v>
      </c>
      <c r="W88" s="18" t="n">
        <v>0</v>
      </c>
      <c r="X88" s="18" t="n">
        <v>0</v>
      </c>
      <c r="Y88" s="18" t="n">
        <v>-0.99</v>
      </c>
      <c r="Z88" s="18" t="n">
        <f aca="false">IF(Q88="","",SUM(S88:Y88)-R88)</f>
        <v>-0.00280000001099778</v>
      </c>
      <c r="AA88" s="8"/>
    </row>
    <row r="89" customFormat="false" ht="15" hidden="false" customHeight="false" outlineLevel="0" collapsed="false">
      <c r="A89" s="15" t="s">
        <v>291</v>
      </c>
      <c r="B89" s="15" t="n">
        <v>3</v>
      </c>
      <c r="C89" s="16" t="s">
        <v>221</v>
      </c>
      <c r="D89" s="17" t="n">
        <v>78.36</v>
      </c>
      <c r="E89" s="18" t="n">
        <v>198250.8</v>
      </c>
      <c r="F89" s="15" t="s">
        <v>296</v>
      </c>
      <c r="G89" s="15"/>
      <c r="H89" s="18" t="n">
        <v>2356.18959999998</v>
      </c>
      <c r="I89" s="16" t="s">
        <v>297</v>
      </c>
      <c r="J89" s="15" t="s">
        <v>298</v>
      </c>
      <c r="K89" s="16" t="s">
        <v>221</v>
      </c>
      <c r="L89" s="17" t="n">
        <v>78.36</v>
      </c>
      <c r="M89" s="18" t="n">
        <v>198250.8</v>
      </c>
      <c r="N89" s="15" t="s">
        <v>295</v>
      </c>
      <c r="O89" s="15" t="s">
        <v>299</v>
      </c>
      <c r="P89" s="15" t="s">
        <v>212</v>
      </c>
      <c r="Q89" s="18" t="n">
        <v>2355.5016</v>
      </c>
      <c r="R89" s="18" t="n">
        <f aca="false">IF(Q89="","",Q89-H89)</f>
        <v>-0.687999999980093</v>
      </c>
      <c r="S89" s="18" t="n">
        <v>0</v>
      </c>
      <c r="T89" s="18" t="n">
        <v>0</v>
      </c>
      <c r="U89" s="18" t="n">
        <v>0</v>
      </c>
      <c r="V89" s="18" t="n">
        <v>0</v>
      </c>
      <c r="W89" s="18" t="n">
        <v>0</v>
      </c>
      <c r="X89" s="18" t="n">
        <v>0</v>
      </c>
      <c r="Y89" s="18" t="n">
        <v>-0.69</v>
      </c>
      <c r="Z89" s="18" t="n">
        <f aca="false">IF(Q89="","",SUM(S89:Y89)-R89)</f>
        <v>-0.00200000001990697</v>
      </c>
      <c r="AA89" s="8" t="s">
        <v>300</v>
      </c>
    </row>
    <row r="90" customFormat="false" ht="15" hidden="false" customHeight="false" outlineLevel="0" collapsed="false">
      <c r="A90" s="15" t="s">
        <v>291</v>
      </c>
      <c r="B90" s="15" t="n">
        <v>4</v>
      </c>
      <c r="C90" s="16" t="s">
        <v>214</v>
      </c>
      <c r="D90" s="17" t="n">
        <v>79.58</v>
      </c>
      <c r="E90" s="18" t="n">
        <v>199745.8</v>
      </c>
      <c r="F90" s="15" t="s">
        <v>296</v>
      </c>
      <c r="G90" s="15"/>
      <c r="H90" s="18" t="n">
        <v>2389.37959999999</v>
      </c>
      <c r="I90" s="16" t="s">
        <v>301</v>
      </c>
      <c r="J90" s="15" t="s">
        <v>298</v>
      </c>
      <c r="K90" s="16" t="s">
        <v>214</v>
      </c>
      <c r="L90" s="17" t="n">
        <v>79.58</v>
      </c>
      <c r="M90" s="18" t="n">
        <v>199745.8</v>
      </c>
      <c r="N90" s="15" t="s">
        <v>295</v>
      </c>
      <c r="O90" s="15" t="s">
        <v>299</v>
      </c>
      <c r="P90" s="15" t="s">
        <v>296</v>
      </c>
      <c r="Q90" s="18" t="n">
        <v>2388.99160000001</v>
      </c>
      <c r="R90" s="18" t="n">
        <f aca="false">IF(Q90="","",Q90-H90)</f>
        <v>-0.387999999982185</v>
      </c>
      <c r="S90" s="18" t="n">
        <v>0</v>
      </c>
      <c r="T90" s="18" t="n">
        <v>0</v>
      </c>
      <c r="U90" s="18" t="n">
        <v>0</v>
      </c>
      <c r="V90" s="18" t="n">
        <v>0</v>
      </c>
      <c r="W90" s="18" t="n">
        <v>0</v>
      </c>
      <c r="X90" s="18" t="n">
        <v>0</v>
      </c>
      <c r="Y90" s="18" t="n">
        <v>-0.39</v>
      </c>
      <c r="Z90" s="18" t="n">
        <f aca="false">IF(Q90="","",SUM(S90:Y90)-R90)</f>
        <v>-0.0020000000178152</v>
      </c>
      <c r="AA90" s="8"/>
    </row>
    <row r="91" customFormat="false" ht="15" hidden="false" customHeight="false" outlineLevel="0" collapsed="false">
      <c r="A91" s="15" t="s">
        <v>291</v>
      </c>
      <c r="B91" s="15" t="n">
        <v>5</v>
      </c>
      <c r="C91" s="16" t="s">
        <v>214</v>
      </c>
      <c r="D91" s="17" t="n">
        <v>47.98</v>
      </c>
      <c r="E91" s="18" t="n">
        <v>123308.6</v>
      </c>
      <c r="F91" s="15" t="s">
        <v>296</v>
      </c>
      <c r="G91" s="15"/>
      <c r="H91" s="18" t="n">
        <v>1446.5132</v>
      </c>
      <c r="I91" s="16" t="s">
        <v>302</v>
      </c>
      <c r="J91" s="15" t="s">
        <v>303</v>
      </c>
      <c r="K91" s="16" t="s">
        <v>214</v>
      </c>
      <c r="L91" s="17" t="n">
        <v>47.98</v>
      </c>
      <c r="M91" s="18" t="n">
        <v>123308.6</v>
      </c>
      <c r="N91" s="15" t="s">
        <v>295</v>
      </c>
      <c r="O91" s="15" t="s">
        <v>299</v>
      </c>
      <c r="P91" s="15" t="s">
        <v>296</v>
      </c>
      <c r="Q91" s="18" t="n">
        <v>1446.11719999999</v>
      </c>
      <c r="R91" s="18" t="n">
        <f aca="false">IF(Q91="","",Q91-H91)</f>
        <v>-0.396000000007007</v>
      </c>
      <c r="S91" s="18" t="n">
        <v>0</v>
      </c>
      <c r="T91" s="18" t="n">
        <v>0</v>
      </c>
      <c r="U91" s="18" t="n">
        <v>0</v>
      </c>
      <c r="V91" s="18" t="n">
        <v>0</v>
      </c>
      <c r="W91" s="18" t="n">
        <v>0</v>
      </c>
      <c r="X91" s="18" t="n">
        <v>0</v>
      </c>
      <c r="Y91" s="18" t="n">
        <v>-0.4</v>
      </c>
      <c r="Z91" s="18" t="n">
        <f aca="false">IF(Q91="","",SUM(S91:Y91)-R91)</f>
        <v>-0.00399999999299328</v>
      </c>
      <c r="AA91" s="8"/>
    </row>
    <row r="92" customFormat="false" ht="15" hidden="false" customHeight="false" outlineLevel="0" collapsed="false">
      <c r="A92" s="15" t="s">
        <v>291</v>
      </c>
      <c r="B92" s="15" t="n">
        <v>6</v>
      </c>
      <c r="C92" s="16" t="s">
        <v>280</v>
      </c>
      <c r="D92" s="17" t="n">
        <v>50.72</v>
      </c>
      <c r="E92" s="18" t="n">
        <v>128017.28</v>
      </c>
      <c r="F92" s="15" t="s">
        <v>296</v>
      </c>
      <c r="G92" s="15"/>
      <c r="H92" s="18" t="n">
        <v>1524.89535999999</v>
      </c>
      <c r="I92" s="16" t="s">
        <v>304</v>
      </c>
      <c r="J92" s="15" t="s">
        <v>305</v>
      </c>
      <c r="K92" s="16" t="s">
        <v>280</v>
      </c>
      <c r="L92" s="17" t="n">
        <v>50.72</v>
      </c>
      <c r="M92" s="18" t="n">
        <v>128017.28</v>
      </c>
      <c r="N92" s="15" t="s">
        <v>295</v>
      </c>
      <c r="O92" s="15" t="s">
        <v>299</v>
      </c>
      <c r="P92" s="15" t="s">
        <v>296</v>
      </c>
      <c r="Q92" s="18" t="n">
        <v>1524.03456</v>
      </c>
      <c r="R92" s="18" t="n">
        <f aca="false">IF(Q92="","",Q92-H92)</f>
        <v>-0.860799999989922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-0.86</v>
      </c>
      <c r="Z92" s="18" t="n">
        <f aca="false">IF(Q92="","",SUM(S92:Y92)-R92)</f>
        <v>0.000799999989922084</v>
      </c>
      <c r="AA92" s="8"/>
    </row>
    <row r="93" customFormat="false" ht="15" hidden="false" customHeight="false" outlineLevel="0" collapsed="false">
      <c r="A93" s="15" t="s">
        <v>291</v>
      </c>
      <c r="B93" s="15" t="n">
        <v>7</v>
      </c>
      <c r="C93" s="16" t="s">
        <v>226</v>
      </c>
      <c r="D93" s="17" t="n">
        <v>73.54</v>
      </c>
      <c r="E93" s="18" t="n">
        <v>186056.2</v>
      </c>
      <c r="F93" s="15" t="s">
        <v>296</v>
      </c>
      <c r="G93" s="15"/>
      <c r="H93" s="18" t="n">
        <v>2210.94440000001</v>
      </c>
      <c r="I93" s="16" t="s">
        <v>306</v>
      </c>
      <c r="J93" s="15" t="s">
        <v>298</v>
      </c>
      <c r="K93" s="16" t="s">
        <v>226</v>
      </c>
      <c r="L93" s="17" t="n">
        <v>73.54</v>
      </c>
      <c r="M93" s="18" t="n">
        <v>186056.2</v>
      </c>
      <c r="N93" s="15" t="s">
        <v>295</v>
      </c>
      <c r="O93" s="15" t="s">
        <v>299</v>
      </c>
      <c r="P93" s="15" t="s">
        <v>296</v>
      </c>
      <c r="Q93" s="18" t="n">
        <v>2210.61240000001</v>
      </c>
      <c r="R93" s="18" t="n">
        <f aca="false">IF(Q93="","",Q93-H93)</f>
        <v>-0.331999999996697</v>
      </c>
      <c r="S93" s="18" t="n">
        <v>0</v>
      </c>
      <c r="T93" s="18" t="n">
        <v>0</v>
      </c>
      <c r="U93" s="18" t="n">
        <v>0</v>
      </c>
      <c r="V93" s="18" t="n">
        <v>0</v>
      </c>
      <c r="W93" s="18" t="n">
        <v>0</v>
      </c>
      <c r="X93" s="18" t="n">
        <v>0</v>
      </c>
      <c r="Y93" s="18" t="n">
        <v>-0.33</v>
      </c>
      <c r="Z93" s="18" t="n">
        <f aca="false">IF(Q93="","",SUM(S93:Y93)-R93)</f>
        <v>0.0019999999966967</v>
      </c>
      <c r="AA93" s="8"/>
    </row>
    <row r="94" customFormat="false" ht="15" hidden="false" customHeight="false" outlineLevel="0" collapsed="false">
      <c r="A94" s="15" t="s">
        <v>291</v>
      </c>
      <c r="B94" s="15" t="n">
        <v>8</v>
      </c>
      <c r="C94" s="16" t="s">
        <v>226</v>
      </c>
      <c r="D94" s="17" t="n">
        <v>52</v>
      </c>
      <c r="E94" s="18" t="n">
        <v>126308</v>
      </c>
      <c r="F94" s="15" t="s">
        <v>296</v>
      </c>
      <c r="G94" s="15"/>
      <c r="H94" s="18" t="n">
        <v>1553.496</v>
      </c>
      <c r="I94" s="16" t="s">
        <v>307</v>
      </c>
      <c r="J94" s="15" t="s">
        <v>308</v>
      </c>
      <c r="K94" s="16" t="s">
        <v>226</v>
      </c>
      <c r="L94" s="17" t="n">
        <v>52</v>
      </c>
      <c r="M94" s="18" t="n">
        <v>126308</v>
      </c>
      <c r="N94" s="15" t="s">
        <v>295</v>
      </c>
      <c r="O94" s="15" t="s">
        <v>299</v>
      </c>
      <c r="P94" s="15" t="s">
        <v>296</v>
      </c>
      <c r="Q94" s="18" t="n">
        <v>1552.616</v>
      </c>
      <c r="R94" s="18" t="n">
        <f aca="false">IF(Q94="","",Q94-H94)</f>
        <v>-0.880000000005111</v>
      </c>
      <c r="S94" s="18" t="n">
        <v>0</v>
      </c>
      <c r="T94" s="18" t="n">
        <v>0</v>
      </c>
      <c r="U94" s="18" t="n">
        <v>0</v>
      </c>
      <c r="V94" s="18" t="n">
        <v>0</v>
      </c>
      <c r="W94" s="18" t="n">
        <v>0</v>
      </c>
      <c r="X94" s="18" t="n">
        <v>0</v>
      </c>
      <c r="Y94" s="18" t="n">
        <v>-0.88</v>
      </c>
      <c r="Z94" s="18" t="n">
        <f aca="false">IF(Q94="","",SUM(S94:Y94)-R94)</f>
        <v>5.11135578307176E-012</v>
      </c>
      <c r="AA94" s="8"/>
    </row>
    <row r="95" customFormat="false" ht="15" hidden="false" customHeight="false" outlineLevel="0" collapsed="false">
      <c r="A95" s="15" t="s">
        <v>291</v>
      </c>
      <c r="B95" s="15" t="n">
        <v>9</v>
      </c>
      <c r="C95" s="16" t="s">
        <v>201</v>
      </c>
      <c r="D95" s="17" t="n">
        <v>30.22</v>
      </c>
      <c r="E95" s="18" t="n">
        <v>75852.2</v>
      </c>
      <c r="F95" s="15" t="s">
        <v>296</v>
      </c>
      <c r="G95" s="15"/>
      <c r="H95" s="18" t="n">
        <v>908.096399999995</v>
      </c>
      <c r="I95" s="16" t="s">
        <v>309</v>
      </c>
      <c r="J95" s="15" t="s">
        <v>310</v>
      </c>
      <c r="K95" s="16" t="s">
        <v>201</v>
      </c>
      <c r="L95" s="17" t="n">
        <v>30.22</v>
      </c>
      <c r="M95" s="18" t="n">
        <v>75852.2</v>
      </c>
      <c r="N95" s="15" t="s">
        <v>295</v>
      </c>
      <c r="O95" s="15" t="s">
        <v>299</v>
      </c>
      <c r="P95" s="15" t="s">
        <v>296</v>
      </c>
      <c r="Q95" s="18" t="n">
        <v>907.204399999995</v>
      </c>
      <c r="R95" s="18" t="n">
        <f aca="false">IF(Q95="","",Q95-H95)</f>
        <v>-0.891999999999939</v>
      </c>
      <c r="S95" s="18" t="n">
        <v>0</v>
      </c>
      <c r="T95" s="18" t="n">
        <v>0</v>
      </c>
      <c r="U95" s="18" t="n">
        <v>0</v>
      </c>
      <c r="V95" s="18" t="n">
        <v>0</v>
      </c>
      <c r="W95" s="18" t="n">
        <v>0</v>
      </c>
      <c r="X95" s="18" t="n">
        <v>0</v>
      </c>
      <c r="Y95" s="18" t="n">
        <v>-0.89</v>
      </c>
      <c r="Z95" s="18" t="n">
        <f aca="false">IF(Q95="","",SUM(S95:Y95)-R95)</f>
        <v>0.00199999999993905</v>
      </c>
      <c r="AA95" s="8"/>
    </row>
    <row r="96" customFormat="false" ht="29.85" hidden="false" customHeight="false" outlineLevel="0" collapsed="false">
      <c r="A96" s="21" t="s">
        <v>291</v>
      </c>
      <c r="B96" s="21" t="n">
        <v>10</v>
      </c>
      <c r="C96" s="22" t="s">
        <v>311</v>
      </c>
      <c r="D96" s="23" t="n">
        <v>27.98</v>
      </c>
      <c r="E96" s="24" t="n">
        <v>70229.8</v>
      </c>
      <c r="F96" s="21" t="s">
        <v>296</v>
      </c>
      <c r="G96" s="21"/>
      <c r="H96" s="24" t="n">
        <v>840.587599999999</v>
      </c>
      <c r="I96" s="21"/>
      <c r="J96" s="21"/>
      <c r="K96" s="21"/>
      <c r="L96" s="23"/>
      <c r="M96" s="24"/>
      <c r="N96" s="21"/>
      <c r="O96" s="21"/>
      <c r="P96" s="21"/>
      <c r="Q96" s="24"/>
      <c r="R96" s="24" t="str">
        <f aca="false">IF(Q96="","",Q96-H96)</f>
        <v/>
      </c>
      <c r="S96" s="24" t="n">
        <v>0</v>
      </c>
      <c r="T96" s="24" t="n">
        <v>0</v>
      </c>
      <c r="U96" s="24" t="n">
        <v>0</v>
      </c>
      <c r="V96" s="24" t="n">
        <v>0</v>
      </c>
      <c r="W96" s="24" t="n">
        <v>0</v>
      </c>
      <c r="X96" s="24" t="n">
        <v>0</v>
      </c>
      <c r="Y96" s="24" t="n">
        <v>0</v>
      </c>
      <c r="Z96" s="24" t="str">
        <f aca="false">IF(Q96="","",SUM(S96:Y96)-R96)</f>
        <v/>
      </c>
      <c r="AA96" s="25" t="s">
        <v>312</v>
      </c>
    </row>
    <row r="97" customFormat="false" ht="29.85" hidden="false" customHeight="false" outlineLevel="0" collapsed="false">
      <c r="A97" s="15" t="s">
        <v>313</v>
      </c>
      <c r="B97" s="15" t="n">
        <v>2</v>
      </c>
      <c r="C97" s="16" t="s">
        <v>257</v>
      </c>
      <c r="D97" s="17" t="n">
        <v>481.77</v>
      </c>
      <c r="E97" s="18" t="n">
        <v>1181813.6</v>
      </c>
      <c r="F97" s="15" t="s">
        <v>96</v>
      </c>
      <c r="G97" s="15" t="s">
        <v>171</v>
      </c>
      <c r="H97" s="18" t="n">
        <v>8369.19985000009</v>
      </c>
      <c r="I97" s="16" t="s">
        <v>314</v>
      </c>
      <c r="J97" s="15" t="s">
        <v>315</v>
      </c>
      <c r="K97" s="16" t="s">
        <v>177</v>
      </c>
      <c r="L97" s="17" t="n">
        <v>481.77</v>
      </c>
      <c r="M97" s="18" t="n">
        <v>1181813.6</v>
      </c>
      <c r="N97" s="15" t="s">
        <v>97</v>
      </c>
      <c r="O97" s="15" t="s">
        <v>97</v>
      </c>
      <c r="P97" s="15" t="s">
        <v>96</v>
      </c>
      <c r="Q97" s="18" t="n">
        <v>8368.50384999998</v>
      </c>
      <c r="R97" s="18" t="n">
        <f aca="false">IF(Q97="","",Q97-H97)</f>
        <v>-0.696000000110871</v>
      </c>
      <c r="S97" s="18" t="n">
        <v>0</v>
      </c>
      <c r="T97" s="18" t="n">
        <v>0</v>
      </c>
      <c r="U97" s="18" t="n">
        <v>0</v>
      </c>
      <c r="V97" s="18" t="n">
        <v>0</v>
      </c>
      <c r="W97" s="18" t="n">
        <v>0</v>
      </c>
      <c r="X97" s="18" t="n">
        <v>0</v>
      </c>
      <c r="Y97" s="18" t="n">
        <v>-0.7</v>
      </c>
      <c r="Z97" s="18" t="n">
        <f aca="false">IF(Q97="","",SUM(S97:Y97)-R97)</f>
        <v>-0.00399999988912891</v>
      </c>
      <c r="AA97" s="8" t="s">
        <v>316</v>
      </c>
    </row>
    <row r="98" customFormat="false" ht="44" hidden="false" customHeight="false" outlineLevel="0" collapsed="false">
      <c r="A98" s="15" t="s">
        <v>313</v>
      </c>
      <c r="B98" s="15" t="n">
        <v>3</v>
      </c>
      <c r="C98" s="16" t="s">
        <v>185</v>
      </c>
      <c r="D98" s="17" t="n">
        <v>560.21</v>
      </c>
      <c r="E98" s="18" t="n">
        <v>1381864.15</v>
      </c>
      <c r="F98" s="15" t="s">
        <v>96</v>
      </c>
      <c r="G98" s="15" t="s">
        <v>188</v>
      </c>
      <c r="H98" s="18" t="n">
        <v>9769.36179999984</v>
      </c>
      <c r="I98" s="16" t="s">
        <v>317</v>
      </c>
      <c r="J98" s="15" t="s">
        <v>318</v>
      </c>
      <c r="K98" s="16" t="s">
        <v>257</v>
      </c>
      <c r="L98" s="17" t="n">
        <v>560.21</v>
      </c>
      <c r="M98" s="18" t="n">
        <v>1381864.15</v>
      </c>
      <c r="N98" s="15" t="s">
        <v>97</v>
      </c>
      <c r="O98" s="15" t="s">
        <v>188</v>
      </c>
      <c r="P98" s="15" t="s">
        <v>96</v>
      </c>
      <c r="Q98" s="18" t="n">
        <v>13876.1307599999</v>
      </c>
      <c r="R98" s="19" t="n">
        <f aca="false">IF(Q98="","",Q98-H98)</f>
        <v>4106.76896000001</v>
      </c>
      <c r="S98" s="18" t="n">
        <v>0</v>
      </c>
      <c r="T98" s="18" t="n">
        <v>0</v>
      </c>
      <c r="U98" s="18" t="n">
        <v>4106.94</v>
      </c>
      <c r="V98" s="18" t="n">
        <v>0</v>
      </c>
      <c r="W98" s="18" t="n">
        <v>0</v>
      </c>
      <c r="X98" s="18" t="n">
        <v>0</v>
      </c>
      <c r="Y98" s="18" t="n">
        <v>-0.17</v>
      </c>
      <c r="Z98" s="18" t="n">
        <f aca="false">IF(Q98="","",SUM(S98:Y98)-R98)</f>
        <v>0.0010399999891888</v>
      </c>
      <c r="AA98" s="20" t="s">
        <v>319</v>
      </c>
    </row>
    <row r="99" customFormat="false" ht="44" hidden="false" customHeight="false" outlineLevel="0" collapsed="false">
      <c r="A99" s="15" t="s">
        <v>313</v>
      </c>
      <c r="B99" s="15" t="n">
        <v>4</v>
      </c>
      <c r="C99" s="16" t="s">
        <v>280</v>
      </c>
      <c r="D99" s="17" t="n">
        <v>589.24</v>
      </c>
      <c r="E99" s="18" t="n">
        <v>1444596.08</v>
      </c>
      <c r="F99" s="15" t="s">
        <v>96</v>
      </c>
      <c r="G99" s="15" t="s">
        <v>188</v>
      </c>
      <c r="H99" s="18" t="n">
        <v>10231.6794</v>
      </c>
      <c r="I99" s="16" t="s">
        <v>320</v>
      </c>
      <c r="J99" s="15" t="s">
        <v>321</v>
      </c>
      <c r="K99" s="16" t="s">
        <v>214</v>
      </c>
      <c r="L99" s="17" t="n">
        <v>589.24</v>
      </c>
      <c r="M99" s="18" t="n">
        <v>1444596.08</v>
      </c>
      <c r="N99" s="15" t="s">
        <v>313</v>
      </c>
      <c r="O99" s="15" t="s">
        <v>188</v>
      </c>
      <c r="P99" s="15" t="s">
        <v>96</v>
      </c>
      <c r="Q99" s="18" t="n">
        <v>14524.1812799999</v>
      </c>
      <c r="R99" s="19" t="n">
        <f aca="false">IF(Q99="","",Q99-H99)</f>
        <v>4292.5018799999</v>
      </c>
      <c r="S99" s="18" t="n">
        <v>0</v>
      </c>
      <c r="T99" s="18" t="n">
        <v>0</v>
      </c>
      <c r="U99" s="18" t="n">
        <v>4293.13</v>
      </c>
      <c r="V99" s="18" t="n">
        <v>0</v>
      </c>
      <c r="W99" s="18" t="n">
        <v>0</v>
      </c>
      <c r="X99" s="18" t="n">
        <v>0</v>
      </c>
      <c r="Y99" s="18" t="n">
        <v>-0.63</v>
      </c>
      <c r="Z99" s="18" t="n">
        <f aca="false">IF(Q99="","",SUM(S99:Y99)-R99)</f>
        <v>-0.00187999989975651</v>
      </c>
      <c r="AA99" s="20" t="s">
        <v>322</v>
      </c>
    </row>
    <row r="100" customFormat="false" ht="15" hidden="false" customHeight="false" outlineLevel="0" collapsed="false">
      <c r="A100" s="15" t="s">
        <v>313</v>
      </c>
      <c r="B100" s="15" t="n">
        <v>5</v>
      </c>
      <c r="C100" s="16" t="s">
        <v>201</v>
      </c>
      <c r="D100" s="17" t="n">
        <v>646.85</v>
      </c>
      <c r="E100" s="18" t="n">
        <v>1563945.84</v>
      </c>
      <c r="F100" s="15" t="s">
        <v>296</v>
      </c>
      <c r="G100" s="15"/>
      <c r="H100" s="18" t="n">
        <v>19299.5640800002</v>
      </c>
      <c r="I100" s="16" t="s">
        <v>323</v>
      </c>
      <c r="J100" s="15" t="s">
        <v>324</v>
      </c>
      <c r="K100" s="16" t="s">
        <v>193</v>
      </c>
      <c r="L100" s="17" t="n">
        <v>646.85</v>
      </c>
      <c r="M100" s="18" t="n">
        <v>1563945.84</v>
      </c>
      <c r="N100" s="15" t="s">
        <v>313</v>
      </c>
      <c r="O100" s="15" t="s">
        <v>325</v>
      </c>
      <c r="P100" s="15" t="s">
        <v>296</v>
      </c>
      <c r="Q100" s="18" t="n">
        <v>19299.1416800001</v>
      </c>
      <c r="R100" s="18" t="n">
        <f aca="false">IF(Q100="","",Q100-H100)</f>
        <v>-0.422400000079506</v>
      </c>
      <c r="S100" s="18" t="n">
        <v>0</v>
      </c>
      <c r="T100" s="18" t="n">
        <v>0</v>
      </c>
      <c r="U100" s="18" t="n">
        <v>0</v>
      </c>
      <c r="V100" s="18" t="n">
        <v>0</v>
      </c>
      <c r="W100" s="18" t="n">
        <v>0</v>
      </c>
      <c r="X100" s="18" t="n">
        <v>0</v>
      </c>
      <c r="Y100" s="18" t="n">
        <v>-0.42</v>
      </c>
      <c r="Z100" s="18" t="n">
        <f aca="false">IF(Q100="","",SUM(S100:Y100)-R100)</f>
        <v>0.00240000007950586</v>
      </c>
      <c r="AA100" s="8" t="s">
        <v>326</v>
      </c>
    </row>
    <row r="101" customFormat="false" ht="29.85" hidden="false" customHeight="false" outlineLevel="0" collapsed="false">
      <c r="A101" s="15" t="s">
        <v>327</v>
      </c>
      <c r="B101" s="15" t="n">
        <v>2</v>
      </c>
      <c r="C101" s="16" t="s">
        <v>150</v>
      </c>
      <c r="D101" s="17" t="n">
        <v>518.48</v>
      </c>
      <c r="E101" s="18" t="n">
        <v>1271258.96</v>
      </c>
      <c r="F101" s="15" t="s">
        <v>96</v>
      </c>
      <c r="G101" s="15" t="s">
        <v>97</v>
      </c>
      <c r="H101" s="18" t="n">
        <v>6460.84079999989</v>
      </c>
      <c r="I101" s="16" t="s">
        <v>328</v>
      </c>
      <c r="J101" s="15" t="s">
        <v>329</v>
      </c>
      <c r="K101" s="16" t="s">
        <v>122</v>
      </c>
      <c r="L101" s="17" t="n">
        <v>518.48</v>
      </c>
      <c r="M101" s="18" t="n">
        <v>1271258.96</v>
      </c>
      <c r="N101" s="15" t="s">
        <v>97</v>
      </c>
      <c r="O101" s="15" t="s">
        <v>97</v>
      </c>
      <c r="P101" s="15" t="s">
        <v>96</v>
      </c>
      <c r="Q101" s="18" t="n">
        <v>9003.1351999999</v>
      </c>
      <c r="R101" s="19" t="n">
        <f aca="false">IF(Q101="","",Q101-H101)</f>
        <v>2542.29440000001</v>
      </c>
      <c r="S101" s="18" t="n">
        <v>0</v>
      </c>
      <c r="T101" s="18" t="n">
        <v>0</v>
      </c>
      <c r="U101" s="18" t="n">
        <v>0</v>
      </c>
      <c r="V101" s="18" t="n">
        <v>2542.52</v>
      </c>
      <c r="W101" s="18" t="n">
        <v>0</v>
      </c>
      <c r="X101" s="18" t="n">
        <v>0</v>
      </c>
      <c r="Y101" s="18" t="n">
        <v>-0.22</v>
      </c>
      <c r="Z101" s="18" t="n">
        <f aca="false">IF(Q101="","",SUM(S101:Y101)-R101)</f>
        <v>0.00559999998768035</v>
      </c>
      <c r="AA101" s="20" t="s">
        <v>330</v>
      </c>
    </row>
    <row r="102" customFormat="false" ht="15" hidden="false" customHeight="false" outlineLevel="0" collapsed="false">
      <c r="A102" s="15" t="s">
        <v>331</v>
      </c>
      <c r="B102" s="15" t="n">
        <v>2</v>
      </c>
      <c r="C102" s="16" t="s">
        <v>260</v>
      </c>
      <c r="D102" s="17" t="n">
        <v>39.12</v>
      </c>
      <c r="E102" s="18" t="n">
        <v>89584.8</v>
      </c>
      <c r="F102" s="15" t="s">
        <v>96</v>
      </c>
      <c r="G102" s="15" t="s">
        <v>188</v>
      </c>
      <c r="H102" s="18" t="n">
        <v>648.559599999993</v>
      </c>
      <c r="I102" s="16" t="s">
        <v>332</v>
      </c>
      <c r="J102" s="15" t="s">
        <v>333</v>
      </c>
      <c r="K102" s="16" t="s">
        <v>260</v>
      </c>
      <c r="L102" s="17" t="n">
        <v>39.12</v>
      </c>
      <c r="M102" s="18" t="n">
        <v>89584.8</v>
      </c>
      <c r="N102" s="15" t="s">
        <v>331</v>
      </c>
      <c r="O102" s="15" t="s">
        <v>171</v>
      </c>
      <c r="P102" s="15" t="s">
        <v>96</v>
      </c>
      <c r="Q102" s="18" t="n">
        <v>647.631600000008</v>
      </c>
      <c r="R102" s="18" t="n">
        <f aca="false">IF(Q102="","",Q102-H102)</f>
        <v>-0.927999999985218</v>
      </c>
      <c r="S102" s="18" t="n">
        <v>0</v>
      </c>
      <c r="T102" s="18" t="n">
        <v>0</v>
      </c>
      <c r="U102" s="18" t="n">
        <v>0</v>
      </c>
      <c r="V102" s="18" t="n">
        <v>0</v>
      </c>
      <c r="W102" s="18" t="n">
        <v>0</v>
      </c>
      <c r="X102" s="18" t="n">
        <v>0</v>
      </c>
      <c r="Y102" s="18" t="n">
        <v>-0.93</v>
      </c>
      <c r="Z102" s="18" t="n">
        <f aca="false">IF(Q102="","",SUM(S102:Y102)-R102)</f>
        <v>-0.00200000001478207</v>
      </c>
      <c r="AA102" s="8" t="s">
        <v>334</v>
      </c>
    </row>
    <row r="103" customFormat="false" ht="15" hidden="false" customHeight="false" outlineLevel="0" collapsed="false">
      <c r="A103" s="3" t="s">
        <v>37</v>
      </c>
      <c r="D103" s="26" t="n">
        <f aca="false">SUM(D2:D102)</f>
        <v>9431.16</v>
      </c>
      <c r="E103" s="27" t="n">
        <f aca="false">SUM(E2:E102)</f>
        <v>22847355.45</v>
      </c>
      <c r="H103" s="27" t="n">
        <f aca="false">SUM(H2:H102)</f>
        <v>161231.49511</v>
      </c>
      <c r="L103" s="26" t="n">
        <f aca="false">SUM(L2:L102)</f>
        <v>9403</v>
      </c>
      <c r="M103" s="27" t="n">
        <f aca="false">SUM(M2:M102)</f>
        <v>22746516.85</v>
      </c>
      <c r="Q103" s="27" t="n">
        <f aca="false">SUM(Q2:Q102)</f>
        <v>186934.97897</v>
      </c>
      <c r="R103" s="27" t="n">
        <f aca="false">SUM(R2:R102)</f>
        <v>26544.0714600004</v>
      </c>
      <c r="S103" s="27" t="n">
        <f aca="false">SUM(S2:S102)</f>
        <v>12531.4</v>
      </c>
      <c r="T103" s="27" t="n">
        <f aca="false">SUM(T2:T102)</f>
        <v>4460.55</v>
      </c>
      <c r="U103" s="27" t="n">
        <f aca="false">SUM(U2:U102)</f>
        <v>9157.46</v>
      </c>
      <c r="V103" s="27" t="n">
        <f aca="false">SUM(V2:V102)</f>
        <v>2542.52</v>
      </c>
      <c r="W103" s="27" t="n">
        <f aca="false">SUM(W2:W102)</f>
        <v>-800</v>
      </c>
      <c r="X103" s="27" t="n">
        <f aca="false">SUM(X2:X102)</f>
        <v>-1298.91</v>
      </c>
      <c r="Y103" s="27" t="n">
        <f aca="false">SUM(Y2:Y102)</f>
        <v>-48.96</v>
      </c>
      <c r="Z103" s="27" t="n">
        <f aca="false">SUM(Z2:Z102)</f>
        <v>-0.011460000361671</v>
      </c>
    </row>
    <row r="105" customFormat="false" ht="15" hidden="false" customHeight="false" outlineLevel="0" collapsed="false">
      <c r="A105" s="3" t="s">
        <v>335</v>
      </c>
    </row>
    <row r="106" customFormat="false" ht="15" hidden="false" customHeight="false" outlineLevel="0" collapsed="false">
      <c r="A106" s="28" t="s">
        <v>336</v>
      </c>
    </row>
  </sheetData>
  <autoFilter ref="A1:AA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6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3" t="s">
        <v>337</v>
      </c>
      <c r="B1" s="13" t="s">
        <v>338</v>
      </c>
      <c r="C1" s="13" t="s">
        <v>339</v>
      </c>
      <c r="D1" s="13" t="s">
        <v>340</v>
      </c>
    </row>
    <row r="2" customFormat="false" ht="29.85" hidden="false" customHeight="false" outlineLevel="0" collapsed="false">
      <c r="A2" s="8" t="s">
        <v>341</v>
      </c>
      <c r="B2" s="8" t="s">
        <v>342</v>
      </c>
      <c r="C2" s="8" t="s">
        <v>343</v>
      </c>
      <c r="D2" s="8" t="s">
        <v>344</v>
      </c>
    </row>
    <row r="3" customFormat="false" ht="29.85" hidden="false" customHeight="false" outlineLevel="0" collapsed="false">
      <c r="A3" s="8" t="s">
        <v>345</v>
      </c>
      <c r="B3" s="8" t="s">
        <v>346</v>
      </c>
      <c r="C3" s="8" t="s">
        <v>347</v>
      </c>
      <c r="D3" s="8" t="s">
        <v>348</v>
      </c>
    </row>
    <row r="4" customFormat="false" ht="29.85" hidden="false" customHeight="false" outlineLevel="0" collapsed="false">
      <c r="A4" s="8" t="s">
        <v>296</v>
      </c>
      <c r="B4" s="8" t="s">
        <v>349</v>
      </c>
      <c r="C4" s="8" t="s">
        <v>350</v>
      </c>
      <c r="D4" s="8" t="s">
        <v>351</v>
      </c>
    </row>
    <row r="5" customFormat="false" ht="29.85" hidden="false" customHeight="false" outlineLevel="0" collapsed="false">
      <c r="A5" s="8" t="s">
        <v>352</v>
      </c>
      <c r="B5" s="8" t="s">
        <v>353</v>
      </c>
      <c r="C5" s="8" t="s">
        <v>354</v>
      </c>
      <c r="D5" s="8" t="s">
        <v>355</v>
      </c>
    </row>
    <row r="6" customFormat="false" ht="15" hidden="false" customHeight="false" outlineLevel="0" collapsed="false">
      <c r="A6" s="8" t="s">
        <v>356</v>
      </c>
      <c r="B6" s="8" t="s">
        <v>357</v>
      </c>
      <c r="C6" s="8" t="s">
        <v>358</v>
      </c>
      <c r="D6" s="10" t="s">
        <v>359</v>
      </c>
    </row>
    <row r="7" customFormat="false" ht="15" hidden="false" customHeight="false" outlineLevel="0" collapsed="false">
      <c r="A7" s="8" t="s">
        <v>360</v>
      </c>
      <c r="B7" s="8" t="s">
        <v>361</v>
      </c>
      <c r="C7" s="8" t="s">
        <v>362</v>
      </c>
      <c r="D7" s="8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2026-09-22T03:13:52Z</dcterms:created>
  <dc:creator>openpyxl</dc:creator>
  <dc:description/>
  <dc:language>en-US</dc:language>
  <cp:lastModifiedBy/>
  <dcterms:modified xsi:type="dcterms:W3CDTF">2026-09-22T03:13:53Z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