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①车次对账" sheetId="2" state="visible" r:id="rId4"/>
    <sheet name="②调货人供货厂" sheetId="3" state="visible" r:id="rId5"/>
    <sheet name="③票源" sheetId="4" state="visible" r:id="rId6"/>
    <sheet name="④计算路径" sheetId="5" state="visible" r:id="rId7"/>
    <sheet name="⑤计算过程对比" sheetId="6" state="visible" r:id="rId8"/>
    <sheet name="⑥路径统计" sheetId="7" state="visible" r:id="rId9"/>
    <sheet name="⑦各路径计算过程" sheetId="8" state="visible" r:id="rId10"/>
    <sheet name="⑧系统同步明细" sheetId="9" state="visible" r:id="rId11"/>
  </sheets>
  <definedNames>
    <definedName function="false" hidden="true" localSheetId="1" name="_xlnm._FilterDatabase" vbProcedure="false">①车次对账!$A$1:$L$102</definedName>
    <definedName function="false" hidden="true" localSheetId="2" name="_xlnm._FilterDatabase" vbProcedure="false">②调货人供货厂!$A$1:$L$102</definedName>
    <definedName function="false" hidden="true" localSheetId="3" name="_xlnm._FilterDatabase" vbProcedure="false">③票源!$A$1:$J$102</definedName>
    <definedName function="false" hidden="true" localSheetId="4" name="_xlnm._FilterDatabase" vbProcedure="false">④计算路径!$A$1:$I$102</definedName>
    <definedName function="false" hidden="true" localSheetId="5" name="_xlnm._FilterDatabase" vbProcedure="false">⑤计算过程对比!$A$2:$AJ$102</definedName>
    <definedName function="false" hidden="true" localSheetId="8" name="_xlnm._FilterDatabase" vbProcedure="false">⑧系统同步明细!$A$1:$J$54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<sst xmlns="http://schemas.openxmlformats.org/spreadsheetml/2006/main" count="4158" uniqueCount="480">
  <si>
    <r>
      <rPr>
        <b val="true"/>
        <sz val="14"/>
        <rFont val="Noto Sans CJK SC"/>
        <family val="2"/>
      </rPr>
      <t xml:space="preserve">财务「发货记录表</t>
    </r>
    <r>
      <rPr>
        <b val="true"/>
        <sz val="14"/>
        <rFont val="Arial"/>
        <family val="0"/>
        <charset val="1"/>
      </rPr>
      <t xml:space="preserve">6</t>
    </r>
    <r>
      <rPr>
        <b val="true"/>
        <sz val="14"/>
        <rFont val="Noto Sans CJK SC"/>
        <family val="2"/>
      </rPr>
      <t xml:space="preserve">」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系统（同步后）对账</t>
    </r>
  </si>
  <si>
    <r>
      <rPr>
        <sz val="9"/>
        <color rgb="FF667085"/>
        <rFont val="Noto Sans CJK SC"/>
        <family val="2"/>
      </rPr>
      <t xml:space="preserve">先按财务标记同步了系统（调货人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供货厂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票源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计算路径），并按你确认的规则改了系统（切割费客户承担只扣一次、王荣胜特批</t>
    </r>
    <r>
      <rPr>
        <sz val="9"/>
        <color rgb="FF667085"/>
        <rFont val="Arial"/>
        <family val="0"/>
        <charset val="1"/>
      </rPr>
      <t xml:space="preserve">13.8%</t>
    </r>
    <r>
      <rPr>
        <sz val="9"/>
        <color rgb="FF667085"/>
        <rFont val="Noto Sans CJK SC"/>
        <family val="2"/>
      </rPr>
      <t xml:space="preserve">、林凯配票提成</t>
    </r>
    <r>
      <rPr>
        <sz val="9"/>
        <color rgb="FF667085"/>
        <rFont val="Arial"/>
        <family val="0"/>
        <charset val="1"/>
      </rPr>
      <t xml:space="preserve">9/05</t>
    </r>
    <r>
      <rPr>
        <sz val="9"/>
        <color rgb="FF667085"/>
        <rFont val="Noto Sans CJK SC"/>
        <family val="2"/>
      </rPr>
      <t xml:space="preserve">停），再逐项对比。</t>
    </r>
  </si>
  <si>
    <t xml:space="preserve">步骤</t>
  </si>
  <si>
    <t xml:space="preserve">对象</t>
  </si>
  <si>
    <t xml:space="preserve">一致</t>
  </si>
  <si>
    <t xml:space="preserve">需关注</t>
  </si>
  <si>
    <t xml:space="preserve">结论</t>
  </si>
  <si>
    <t xml:space="preserve">①车次对账</t>
  </si>
  <si>
    <r>
      <rPr>
        <sz val="10"/>
        <rFont val="Noto Sans CJK SC"/>
        <family val="2"/>
      </rPr>
      <t xml:space="preserve">财务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行</t>
    </r>
  </si>
  <si>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行一一对上（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行只是日期差 </t>
    </r>
    <r>
      <rPr>
        <sz val="10"/>
        <rFont val="Arial"/>
        <family val="0"/>
        <charset val="1"/>
      </rPr>
      <t xml:space="preserve">1~2 </t>
    </r>
    <r>
      <rPr>
        <sz val="10"/>
        <rFont val="Noto Sans CJK SC"/>
        <family val="2"/>
      </rPr>
      <t xml:space="preserve">天，蓝色）。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行是财务把两车合成一行（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DBE075+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行是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闫东鹏你还没录</t>
    </r>
  </si>
  <si>
    <r>
      <rPr>
        <sz val="10"/>
        <rFont val="Noto Sans CJK SC"/>
        <family val="2"/>
      </rPr>
      <t xml:space="preserve">②调货人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供货厂</t>
    </r>
  </si>
  <si>
    <t xml:space="preserve">系统车次</t>
  </si>
  <si>
    <r>
      <rPr>
        <sz val="10"/>
        <rFont val="Noto Sans CJK SC"/>
        <family val="2"/>
      </rPr>
      <t xml:space="preserve">已全部按财务同步。剩下只有名字写法“闫东鹏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财务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闫东朋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系统</t>
    </r>
    <r>
      <rPr>
        <sz val="10"/>
        <rFont val="Arial"/>
        <family val="0"/>
        <charset val="1"/>
      </rPr>
      <t xml:space="preserve">)”——</t>
    </r>
    <r>
      <rPr>
        <sz val="10"/>
        <rFont val="Noto Sans CJK SC"/>
        <family val="2"/>
      </rPr>
      <t xml:space="preserve">你告诉我哪个对，我统一改</t>
    </r>
  </si>
  <si>
    <t xml:space="preserve">③票源</t>
  </si>
  <si>
    <r>
      <rPr>
        <sz val="10"/>
        <rFont val="Noto Sans CJK SC"/>
        <family val="2"/>
      </rPr>
      <t xml:space="preserve">已全部按财务同步。剩下闫东鹏 </t>
    </r>
    <r>
      <rPr>
        <sz val="10"/>
        <rFont val="Arial"/>
        <family val="0"/>
        <charset val="1"/>
      </rPr>
      <t xml:space="preserve">9/02 </t>
    </r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BXT103 </t>
    </r>
    <r>
      <rPr>
        <sz val="10"/>
        <rFont val="Noto Sans CJK SC"/>
        <family val="2"/>
      </rPr>
      <t xml:space="preserve">财务没写票源（系统俊兴，利润两边一致）</t>
    </r>
  </si>
  <si>
    <t xml:space="preserve">④计算路径</t>
  </si>
  <si>
    <t xml:space="preserve">全部一致</t>
  </si>
  <si>
    <t xml:space="preserve">⑤计算过程</t>
  </si>
  <si>
    <t xml:space="preserve">逐车逐步</t>
  </si>
  <si>
    <r>
      <rPr>
        <sz val="10"/>
        <rFont val="Noto Sans CJK SC"/>
        <family val="2"/>
      </rPr>
      <t xml:space="preserve">每一步（结算额→垫资→开票额→给客户付→前端实付→个人垫资→量补→提成→利润）都对上，只剩财务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取整的几毛钱（灰色）</t>
    </r>
  </si>
  <si>
    <t xml:space="preserve">利润总账</t>
  </si>
  <si>
    <t xml:space="preserve">项目</t>
  </si>
  <si>
    <t xml:space="preserve">金额</t>
  </si>
  <si>
    <t xml:space="preserve">说明</t>
  </si>
  <si>
    <r>
      <rPr>
        <sz val="10"/>
        <rFont val="Noto Sans CJK SC"/>
        <family val="2"/>
      </rPr>
      <t xml:space="preserve">财务利润合计（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行）</t>
    </r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</si>
  <si>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未录那车 </t>
    </r>
    <r>
      <rPr>
        <sz val="10"/>
        <rFont val="Arial"/>
        <family val="0"/>
        <charset val="1"/>
      </rPr>
      <t xml:space="preserve">840.59</t>
    </r>
    <r>
      <rPr>
        <sz val="10"/>
        <rFont val="Noto Sans CJK SC"/>
        <family val="2"/>
      </rPr>
      <t xml:space="preserve">；财务表自己的合计公式漏了这一行</t>
    </r>
  </si>
  <si>
    <r>
      <rPr>
        <sz val="10"/>
        <rFont val="Noto Sans CJK SC"/>
        <family val="2"/>
      </rPr>
      <t xml:space="preserve">系统利润合计（</t>
    </r>
    <r>
      <rPr>
        <sz val="10"/>
        <rFont val="Arial"/>
        <family val="0"/>
        <charset val="1"/>
      </rPr>
      <t xml:space="preserve">101</t>
    </r>
    <r>
      <rPr>
        <sz val="10"/>
        <rFont val="Noto Sans CJK SC"/>
        <family val="2"/>
      </rPr>
      <t xml:space="preserve">车）</t>
    </r>
  </si>
  <si>
    <r>
      <rPr>
        <sz val="10"/>
        <rFont val="Noto Sans CJK SC"/>
        <family val="2"/>
      </rPr>
      <t xml:space="preserve">同步后。同步前是 </t>
    </r>
    <r>
      <rPr>
        <sz val="10"/>
        <rFont val="Arial"/>
        <family val="0"/>
        <charset val="1"/>
      </rPr>
      <t xml:space="preserve">186,934.98</t>
    </r>
  </si>
  <si>
    <t xml:space="preserve">差额（系统−财务）</t>
  </si>
  <si>
    <r>
      <rPr>
        <sz val="10"/>
        <rFont val="Noto Sans CJK SC"/>
        <family val="2"/>
      </rPr>
      <t xml:space="preserve">其中：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未录一车</t>
    </r>
  </si>
  <si>
    <t xml:space="preserve">你录入后这项消失</t>
  </si>
  <si>
    <r>
      <rPr>
        <sz val="10"/>
        <rFont val="Noto Sans CJK SC"/>
        <family val="2"/>
      </rPr>
      <t xml:space="preserve">其中：财务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</t>
    </r>
  </si>
  <si>
    <r>
      <rPr>
        <sz val="10"/>
        <rFont val="Arial"/>
        <family val="0"/>
        <charset val="1"/>
      </rPr>
      <t xml:space="preserve">99 </t>
    </r>
    <r>
      <rPr>
        <sz val="10"/>
        <rFont val="Noto Sans CJK SC"/>
        <family val="2"/>
      </rPr>
      <t xml:space="preserve">车每车差不到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元，可忽略</t>
    </r>
  </si>
  <si>
    <t xml:space="preserve">颜色说明</t>
  </si>
  <si>
    <r>
      <rPr>
        <sz val="10"/>
        <rFont val="Noto Sans CJK SC"/>
        <family val="2"/>
      </rPr>
      <t xml:space="preserve">红：不一致（差额</t>
    </r>
    <r>
      <rPr>
        <sz val="10"/>
        <rFont val="Arial"/>
        <family val="0"/>
        <charset val="1"/>
      </rPr>
      <t xml:space="preserve">&gt;1</t>
    </r>
    <r>
      <rPr>
        <sz val="10"/>
        <rFont val="Noto Sans CJK SC"/>
        <family val="2"/>
      </rPr>
      <t xml:space="preserve">元、字段不同、系统没录）</t>
    </r>
  </si>
  <si>
    <r>
      <rPr>
        <sz val="10"/>
        <rFont val="Noto Sans CJK SC"/>
        <family val="2"/>
      </rPr>
      <t xml:space="preserve">橙：本次按财务同步改过的地方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合并车次</t>
    </r>
  </si>
  <si>
    <t xml:space="preserve">蓝：只是日期差、名字写法不同</t>
  </si>
  <si>
    <t xml:space="preserve">绿：一致</t>
  </si>
  <si>
    <r>
      <rPr>
        <sz val="10"/>
        <rFont val="Noto Sans CJK SC"/>
        <family val="2"/>
      </rPr>
      <t xml:space="preserve">灰“</t>
    </r>
    <r>
      <rPr>
        <sz val="10"/>
        <rFont val="Arial"/>
        <family val="0"/>
        <charset val="1"/>
      </rPr>
      <t xml:space="preserve">INT”</t>
    </r>
    <r>
      <rPr>
        <sz val="10"/>
        <rFont val="Noto Sans CJK SC"/>
        <family val="2"/>
      </rPr>
      <t xml:space="preserve">：财务 </t>
    </r>
    <r>
      <rPr>
        <sz val="10"/>
        <rFont val="Arial"/>
        <family val="0"/>
        <charset val="1"/>
      </rPr>
      <t xml:space="preserve">INT </t>
    </r>
    <r>
      <rPr>
        <sz val="10"/>
        <rFont val="Noto Sans CJK SC"/>
        <family val="2"/>
      </rPr>
      <t xml:space="preserve">取整的几毛钱，忽略</t>
    </r>
  </si>
  <si>
    <t xml:space="preserve">淡橙：财务表的数</t>
  </si>
  <si>
    <t xml:space="preserve">淡蓝：系统的数</t>
  </si>
  <si>
    <t xml:space="preserve">其它表</t>
  </si>
  <si>
    <r>
      <rPr>
        <sz val="10"/>
        <rFont val="Noto Sans CJK SC"/>
        <family val="2"/>
      </rPr>
      <t xml:space="preserve">⑥路径统计：按 配票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带票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票源 统计车数、吨位、结算额、两边利润、每吨利润；下面按调货人再统计一遍</t>
    </r>
  </si>
  <si>
    <t xml:space="preserve">⑦各路径计算过程：三条路径各拿一车真实数据，逐步写出财务怎么算、系统怎么算、两边结果</t>
  </si>
  <si>
    <t xml:space="preserve">⑧系统同步明细：这次系统里每一车改了什么、利润前后变化</t>
  </si>
  <si>
    <t xml:space="preserve">财务表</t>
  </si>
  <si>
    <t xml:space="preserve">行</t>
  </si>
  <si>
    <t xml:space="preserve">财务日期</t>
  </si>
  <si>
    <t xml:space="preserve">财务吨位</t>
  </si>
  <si>
    <t xml:space="preserve">财务应收金额</t>
  </si>
  <si>
    <t xml:space="preserve">车号</t>
  </si>
  <si>
    <t xml:space="preserve">系统结算日期</t>
  </si>
  <si>
    <t xml:space="preserve">系统吨位</t>
  </si>
  <si>
    <t xml:space="preserve">系统结算金额</t>
  </si>
  <si>
    <t xml:space="preserve">对账结果</t>
  </si>
  <si>
    <t xml:space="preserve">林凯</t>
  </si>
  <si>
    <t xml:space="preserve">2026-08-19</t>
  </si>
  <si>
    <t xml:space="preserve">#1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</si>
  <si>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DBB772</t>
    </r>
  </si>
  <si>
    <t xml:space="preserve">2026-08-20</t>
  </si>
  <si>
    <t xml:space="preserve">#2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</si>
  <si>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DFM060</t>
    </r>
  </si>
  <si>
    <t xml:space="preserve">2026-08-21</t>
  </si>
  <si>
    <t xml:space="preserve">#3</t>
  </si>
  <si>
    <t xml:space="preserve">#4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</si>
  <si>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M2A505</t>
    </r>
  </si>
  <si>
    <t xml:space="preserve">#5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</si>
  <si>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EQB977</t>
    </r>
  </si>
  <si>
    <t xml:space="preserve">#6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</si>
  <si>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BUK952</t>
    </r>
  </si>
  <si>
    <t xml:space="preserve">2026-08-22</t>
  </si>
  <si>
    <t xml:space="preserve">#7</t>
  </si>
  <si>
    <t xml:space="preserve">#9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</si>
  <si>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MAK862</t>
    </r>
  </si>
  <si>
    <t xml:space="preserve">2026-08-25</t>
  </si>
  <si>
    <t xml:space="preserve">#10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</si>
  <si>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</t>
    </r>
  </si>
  <si>
    <t xml:space="preserve">2026-08-26</t>
  </si>
  <si>
    <t xml:space="preserve">#11</t>
  </si>
  <si>
    <r>
      <rPr>
        <sz val="10"/>
        <rFont val="Noto Sans CJK SC"/>
        <family val="2"/>
      </rPr>
      <t xml:space="preserve">苏淮货</t>
    </r>
    <r>
      <rPr>
        <sz val="10"/>
        <rFont val="Arial"/>
        <family val="0"/>
        <charset val="1"/>
      </rPr>
      <t xml:space="preserve">16776</t>
    </r>
  </si>
  <si>
    <t xml:space="preserve">2026-08-27</t>
  </si>
  <si>
    <r>
      <rPr>
        <sz val="10"/>
        <rFont val="Noto Sans CJK SC"/>
        <family val="2"/>
      </rPr>
      <t xml:space="preserve">一致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</si>
  <si>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天（船，财务是结算单日期）</t>
    </r>
  </si>
  <si>
    <t xml:space="preserve">#12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</si>
  <si>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NEX375</t>
    </r>
  </si>
  <si>
    <t xml:space="preserve">#13</t>
  </si>
  <si>
    <t xml:space="preserve">#15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</si>
  <si>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BDK567</t>
    </r>
  </si>
  <si>
    <t xml:space="preserve">#16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</si>
  <si>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BZP839</t>
    </r>
  </si>
  <si>
    <t xml:space="preserve">#18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</si>
  <si>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ERS080</t>
    </r>
  </si>
  <si>
    <t xml:space="preserve">2026-08-28</t>
  </si>
  <si>
    <t xml:space="preserve">#22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</si>
  <si>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DFB287</t>
    </r>
  </si>
  <si>
    <t xml:space="preserve">#21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</si>
  <si>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DBX137</t>
    </r>
  </si>
  <si>
    <t xml:space="preserve">#20</t>
  </si>
  <si>
    <t xml:space="preserve">#23</t>
  </si>
  <si>
    <t xml:space="preserve">#24</t>
  </si>
  <si>
    <t xml:space="preserve">#26</t>
  </si>
  <si>
    <t xml:space="preserve">#25</t>
  </si>
  <si>
    <t xml:space="preserve">#28</t>
  </si>
  <si>
    <t xml:space="preserve">#30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</si>
  <si>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BWX568</t>
    </r>
  </si>
  <si>
    <t xml:space="preserve">#29</t>
  </si>
  <si>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</si>
  <si>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2026-08-29</t>
  </si>
  <si>
    <t xml:space="preserve">#31</t>
  </si>
  <si>
    <t xml:space="preserve">#32</t>
  </si>
  <si>
    <t xml:space="preserve">#33+#34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</si>
  <si>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DBE075 /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</t>
    </r>
  </si>
  <si>
    <t xml:space="preserve">合并</t>
  </si>
  <si>
    <r>
      <rPr>
        <sz val="10"/>
        <rFont val="Noto Sans CJK SC"/>
        <family val="2"/>
      </rPr>
      <t xml:space="preserve">财务一行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系统两车：苏</t>
    </r>
    <r>
      <rPr>
        <sz val="10"/>
        <rFont val="Arial"/>
        <family val="0"/>
        <charset val="1"/>
      </rPr>
      <t xml:space="preserve">DBE075 79.68</t>
    </r>
    <r>
      <rPr>
        <sz val="10"/>
        <rFont val="Noto Sans CJK SC"/>
        <family val="2"/>
      </rPr>
      <t xml:space="preserve">吨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冀</t>
    </r>
    <r>
      <rPr>
        <sz val="10"/>
        <rFont val="Arial"/>
        <family val="0"/>
        <charset val="1"/>
      </rPr>
      <t xml:space="preserve">A224E6 20.0</t>
    </r>
    <r>
      <rPr>
        <sz val="10"/>
        <rFont val="Noto Sans CJK SC"/>
        <family val="2"/>
      </rPr>
      <t xml:space="preserve">吨，吨位金额合计一致</t>
    </r>
  </si>
  <si>
    <t xml:space="preserve">#36</t>
  </si>
  <si>
    <t xml:space="preserve">2026-08-30</t>
  </si>
  <si>
    <t xml:space="preserve">#44</t>
  </si>
  <si>
    <t xml:space="preserve">#43</t>
  </si>
  <si>
    <t xml:space="preserve">#42</t>
  </si>
  <si>
    <t xml:space="preserve">#41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</si>
  <si>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SB2849</t>
    </r>
  </si>
  <si>
    <t xml:space="preserve">#38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</si>
  <si>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DBE961</t>
    </r>
  </si>
  <si>
    <t xml:space="preserve">#39</t>
  </si>
  <si>
    <t xml:space="preserve">#37</t>
  </si>
  <si>
    <t xml:space="preserve">2026-08-31</t>
  </si>
  <si>
    <t xml:space="preserve">#45</t>
  </si>
  <si>
    <t xml:space="preserve">#46</t>
  </si>
  <si>
    <t xml:space="preserve">#47</t>
  </si>
  <si>
    <t xml:space="preserve">#48</t>
  </si>
  <si>
    <t xml:space="preserve">#49</t>
  </si>
  <si>
    <t xml:space="preserve">2026-09-01</t>
  </si>
  <si>
    <t xml:space="preserve">#50</t>
  </si>
  <si>
    <t xml:space="preserve">#51</t>
  </si>
  <si>
    <t xml:space="preserve">#52</t>
  </si>
  <si>
    <t xml:space="preserve">#53</t>
  </si>
  <si>
    <t xml:space="preserve">2026-09-06</t>
  </si>
  <si>
    <t xml:space="preserve">#61</t>
  </si>
  <si>
    <r>
      <rPr>
        <sz val="10"/>
        <rFont val="Noto Sans CJK SC"/>
        <family val="2"/>
      </rPr>
      <t xml:space="preserve">皖城兴货</t>
    </r>
    <r>
      <rPr>
        <sz val="10"/>
        <rFont val="Arial"/>
        <family val="0"/>
        <charset val="1"/>
      </rPr>
      <t xml:space="preserve">688</t>
    </r>
  </si>
  <si>
    <t xml:space="preserve">2026-09-05</t>
  </si>
  <si>
    <t xml:space="preserve">2026-09-08</t>
  </si>
  <si>
    <t xml:space="preserve">#62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</si>
  <si>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1567</t>
    </r>
  </si>
  <si>
    <t xml:space="preserve">2026-09-07</t>
  </si>
  <si>
    <t xml:space="preserve">2026-09-18</t>
  </si>
  <si>
    <t xml:space="preserve">#89</t>
  </si>
  <si>
    <t xml:space="preserve">#90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</si>
  <si>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NEN536</t>
    </r>
  </si>
  <si>
    <t xml:space="preserve">2026-09-19</t>
  </si>
  <si>
    <t xml:space="preserve">#95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</si>
  <si>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GE2356</t>
    </r>
  </si>
  <si>
    <t xml:space="preserve">#96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</si>
  <si>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NHY179</t>
    </r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</si>
  <si>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鑫景通</t>
    </r>
  </si>
  <si>
    <t xml:space="preserve">2026-09-12</t>
  </si>
  <si>
    <t xml:space="preserve">#66</t>
  </si>
  <si>
    <t xml:space="preserve">2026-09-15</t>
  </si>
  <si>
    <t xml:space="preserve">#78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</si>
  <si>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君盛</t>
    </r>
  </si>
  <si>
    <t xml:space="preserve">#14</t>
  </si>
  <si>
    <t xml:space="preserve">#68</t>
  </si>
  <si>
    <t xml:space="preserve">2026-09-14</t>
  </si>
  <si>
    <t xml:space="preserve">#69</t>
  </si>
  <si>
    <t xml:space="preserve">#79</t>
  </si>
  <si>
    <t xml:space="preserve">#74</t>
  </si>
  <si>
    <t xml:space="preserve">2026-09-17</t>
  </si>
  <si>
    <t xml:space="preserve">#87</t>
  </si>
  <si>
    <t xml:space="preserve">#91</t>
  </si>
  <si>
    <t xml:space="preserve">#92</t>
  </si>
  <si>
    <t xml:space="preserve">2026-09-20</t>
  </si>
  <si>
    <t xml:space="preserve">#98</t>
  </si>
  <si>
    <t xml:space="preserve">#99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</si>
  <si>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力拓</t>
    </r>
  </si>
  <si>
    <t xml:space="preserve">2026-09-10</t>
  </si>
  <si>
    <t xml:space="preserve">#63</t>
  </si>
  <si>
    <t xml:space="preserve">2026-09-11</t>
  </si>
  <si>
    <t xml:space="preserve">#64</t>
  </si>
  <si>
    <t xml:space="preserve">#65</t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</si>
  <si>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天</t>
    </r>
  </si>
  <si>
    <t xml:space="preserve">#70</t>
  </si>
  <si>
    <t xml:space="preserve">#86</t>
  </si>
  <si>
    <t xml:space="preserve">#83</t>
  </si>
  <si>
    <r>
      <rPr>
        <sz val="10"/>
        <rFont val="Noto Sans CJK SC"/>
        <family val="2"/>
      </rPr>
      <t xml:space="preserve">林凯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兴德</t>
    </r>
  </si>
  <si>
    <t xml:space="preserve">#97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</si>
  <si>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SG1498</t>
    </r>
  </si>
  <si>
    <t xml:space="preserve">#100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</si>
  <si>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BYR535</t>
    </r>
  </si>
  <si>
    <t xml:space="preserve">#101</t>
  </si>
  <si>
    <t xml:space="preserve">#102</t>
  </si>
  <si>
    <t xml:space="preserve">李涛</t>
  </si>
  <si>
    <t xml:space="preserve">#40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</si>
  <si>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BTQ938</t>
    </r>
  </si>
  <si>
    <t xml:space="preserve">2026-09-03</t>
  </si>
  <si>
    <t xml:space="preserve">#56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</si>
  <si>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NER821</t>
    </r>
  </si>
  <si>
    <t xml:space="preserve">2026-09-04</t>
  </si>
  <si>
    <t xml:space="preserve">#58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</si>
  <si>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SG1123</t>
    </r>
  </si>
  <si>
    <t xml:space="preserve">#59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</si>
  <si>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LE9644</t>
    </r>
  </si>
  <si>
    <t xml:space="preserve">邓晶焱</t>
  </si>
  <si>
    <t xml:space="preserve">#8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</si>
  <si>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E9W908</t>
    </r>
  </si>
  <si>
    <t xml:space="preserve">#17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</si>
  <si>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NEV615</t>
    </r>
  </si>
  <si>
    <t xml:space="preserve">#35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</si>
  <si>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AE8896</t>
    </r>
  </si>
  <si>
    <t xml:space="preserve">#67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</si>
  <si>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F30399</t>
    </r>
  </si>
  <si>
    <t xml:space="preserve">#73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</si>
  <si>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ELU629</t>
    </r>
  </si>
  <si>
    <t xml:space="preserve">2026-09-16</t>
  </si>
  <si>
    <t xml:space="preserve">#82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</si>
  <si>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AK6033</t>
    </r>
  </si>
  <si>
    <t xml:space="preserve">高栾凤</t>
  </si>
  <si>
    <t xml:space="preserve">#27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</si>
  <si>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KQ1052</t>
    </r>
  </si>
  <si>
    <t xml:space="preserve">#71</t>
  </si>
  <si>
    <r>
      <rPr>
        <sz val="10"/>
        <rFont val="Noto Sans CJK SC"/>
        <family val="2"/>
      </rPr>
      <t xml:space="preserve">鲁</t>
    </r>
    <r>
      <rPr>
        <sz val="10"/>
        <rFont val="Arial"/>
        <family val="0"/>
        <charset val="1"/>
      </rPr>
      <t xml:space="preserve">DC6106</t>
    </r>
  </si>
  <si>
    <t xml:space="preserve">#77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</si>
  <si>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CLK667</t>
    </r>
  </si>
  <si>
    <t xml:space="preserve">闫东鹏</t>
  </si>
  <si>
    <t xml:space="preserve">2026-09-02</t>
  </si>
  <si>
    <t xml:space="preserve">#55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</si>
  <si>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BXT103</t>
    </r>
  </si>
  <si>
    <t xml:space="preserve">#72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</si>
  <si>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J19371</t>
    </r>
  </si>
  <si>
    <t xml:space="preserve">#76</t>
  </si>
  <si>
    <t xml:space="preserve">#75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</si>
  <si>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L80153</t>
    </r>
  </si>
  <si>
    <t xml:space="preserve">#81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</si>
  <si>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SC6167</t>
    </r>
  </si>
  <si>
    <t xml:space="preserve">#85</t>
  </si>
  <si>
    <t xml:space="preserve">#84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</si>
  <si>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AP1626</t>
    </r>
  </si>
  <si>
    <t xml:space="preserve">#94</t>
  </si>
  <si>
    <r>
      <rPr>
        <sz val="10"/>
        <rFont val="Noto Sans CJK SC"/>
        <family val="2"/>
      </rPr>
      <t xml:space="preserve">皖</t>
    </r>
    <r>
      <rPr>
        <sz val="10"/>
        <rFont val="Arial"/>
        <family val="0"/>
        <charset val="1"/>
      </rPr>
      <t xml:space="preserve">AP7737</t>
    </r>
  </si>
  <si>
    <t xml:space="preserve">2026-09-21</t>
  </si>
  <si>
    <t xml:space="preserve">系统未录</t>
  </si>
  <si>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闫东鹏反向，你还没录入（录入后利润应≈</t>
    </r>
    <r>
      <rPr>
        <sz val="10"/>
        <rFont val="Arial"/>
        <family val="0"/>
        <charset val="1"/>
      </rPr>
      <t xml:space="preserve">840.59</t>
    </r>
    <r>
      <rPr>
        <sz val="10"/>
        <rFont val="Noto Sans CJK SC"/>
        <family val="2"/>
      </rPr>
      <t xml:space="preserve">）</t>
    </r>
  </si>
  <si>
    <t xml:space="preserve">尹鹏飞</t>
  </si>
  <si>
    <t xml:space="preserve">#54</t>
  </si>
  <si>
    <r>
      <rPr>
        <sz val="10"/>
        <rFont val="Noto Sans CJK SC"/>
        <family val="2"/>
      </rPr>
      <t xml:space="preserve">通海机</t>
    </r>
    <r>
      <rPr>
        <sz val="10"/>
        <rFont val="Arial"/>
        <family val="0"/>
        <charset val="1"/>
      </rPr>
      <t xml:space="preserve">9998</t>
    </r>
  </si>
  <si>
    <r>
      <rPr>
        <sz val="10"/>
        <rFont val="Noto Sans CJK SC"/>
        <family val="2"/>
      </rPr>
      <t xml:space="preserve">日期差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天（船，财务是结算单日期）</t>
    </r>
  </si>
  <si>
    <t xml:space="preserve">#57</t>
  </si>
  <si>
    <r>
      <rPr>
        <sz val="10"/>
        <rFont val="Noto Sans CJK SC"/>
        <family val="2"/>
      </rPr>
      <t xml:space="preserve">苏兴达货</t>
    </r>
    <r>
      <rPr>
        <sz val="10"/>
        <rFont val="Arial"/>
        <family val="0"/>
        <charset val="1"/>
      </rPr>
      <t xml:space="preserve">8566</t>
    </r>
  </si>
  <si>
    <t xml:space="preserve">#80</t>
  </si>
  <si>
    <r>
      <rPr>
        <sz val="10"/>
        <rFont val="Noto Sans CJK SC"/>
        <family val="2"/>
      </rPr>
      <t xml:space="preserve">皖四航</t>
    </r>
    <r>
      <rPr>
        <sz val="10"/>
        <rFont val="Arial"/>
        <family val="0"/>
        <charset val="1"/>
      </rPr>
      <t xml:space="preserve">6058</t>
    </r>
  </si>
  <si>
    <t xml:space="preserve">#93</t>
  </si>
  <si>
    <r>
      <rPr>
        <sz val="10"/>
        <rFont val="Noto Sans CJK SC"/>
        <family val="2"/>
      </rPr>
      <t xml:space="preserve">苏通源货</t>
    </r>
    <r>
      <rPr>
        <sz val="10"/>
        <rFont val="Arial"/>
        <family val="0"/>
        <charset val="1"/>
      </rPr>
      <t xml:space="preserve">6666</t>
    </r>
  </si>
  <si>
    <t xml:space="preserve">王荣胜</t>
  </si>
  <si>
    <t xml:space="preserve">#19</t>
  </si>
  <si>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</si>
  <si>
    <t xml:space="preserve">陈杰</t>
  </si>
  <si>
    <t xml:space="preserve">#60</t>
  </si>
  <si>
    <r>
      <rPr>
        <sz val="10"/>
        <rFont val="Noto Sans CJK SC"/>
        <family val="2"/>
      </rPr>
      <t xml:space="preserve">苏</t>
    </r>
    <r>
      <rPr>
        <sz val="10"/>
        <rFont val="Arial"/>
        <family val="0"/>
        <charset val="1"/>
      </rPr>
      <t xml:space="preserve">K66529</t>
    </r>
  </si>
  <si>
    <t xml:space="preserve">财务：调货人</t>
  </si>
  <si>
    <t xml:space="preserve">财务：供货厂</t>
  </si>
  <si>
    <t xml:space="preserve">系统调货人</t>
  </si>
  <si>
    <t xml:space="preserve">系统供货厂</t>
  </si>
  <si>
    <t xml:space="preserve">对比结果</t>
  </si>
  <si>
    <t xml:space="preserve">本次同步改了什么</t>
  </si>
  <si>
    <t xml:space="preserve">—</t>
  </si>
  <si>
    <t xml:space="preserve">俊兴</t>
  </si>
  <si>
    <t xml:space="preserve">调货人：（空） → 林凯</t>
  </si>
  <si>
    <t xml:space="preserve">#33</t>
  </si>
  <si>
    <t xml:space="preserve">；财务这一行是两车合并</t>
  </si>
  <si>
    <t xml:space="preserve">#34</t>
  </si>
  <si>
    <t xml:space="preserve">供货厂：君盛 → 林凯</t>
  </si>
  <si>
    <t xml:space="preserve">（未填）</t>
  </si>
  <si>
    <t xml:space="preserve">鑫景通</t>
  </si>
  <si>
    <t xml:space="preserve">君盛</t>
  </si>
  <si>
    <t xml:space="preserve">供货厂：林凯 → 君盛</t>
  </si>
  <si>
    <t xml:space="preserve">力拓</t>
  </si>
  <si>
    <t xml:space="preserve">供货厂：君盛 → 力拓</t>
  </si>
  <si>
    <t xml:space="preserve">兴德</t>
  </si>
  <si>
    <t xml:space="preserve">李涛（按人分表）</t>
  </si>
  <si>
    <t xml:space="preserve">邓晶焱（按人分表）</t>
  </si>
  <si>
    <t xml:space="preserve">调货人：（空） → 邓晶焱</t>
  </si>
  <si>
    <t xml:space="preserve">高栾凤（按人分表）</t>
  </si>
  <si>
    <t xml:space="preserve">调货人：（空） → 高栾凤</t>
  </si>
  <si>
    <t xml:space="preserve">调货人：邓晶焱 → 高栾凤；供货厂：邓晶焱 → （空）</t>
  </si>
  <si>
    <t xml:space="preserve">调货人：（空） → 高栾凤；供货厂：邓晶焱 → （空）</t>
  </si>
  <si>
    <t xml:space="preserve">闫东鹏（按人分表）</t>
  </si>
  <si>
    <t xml:space="preserve">闫东朋</t>
  </si>
  <si>
    <t xml:space="preserve">写法不同</t>
  </si>
  <si>
    <t xml:space="preserve">名字写法：财务“闫东鹏”，系统“闫东朋”</t>
  </si>
  <si>
    <t xml:space="preserve">尹鹏飞（按人分表）</t>
  </si>
  <si>
    <t xml:space="preserve">供货厂：俊兴 → 尹鹏飞</t>
  </si>
  <si>
    <t xml:space="preserve">王荣胜（按人分表）</t>
  </si>
  <si>
    <t xml:space="preserve">调货人：（空） → 王荣胜</t>
  </si>
  <si>
    <t xml:space="preserve">陈杰（按人分表）</t>
  </si>
  <si>
    <r>
      <rPr>
        <sz val="9"/>
        <color rgb="FF667085"/>
        <rFont val="Noto Sans CJK SC"/>
        <family val="2"/>
      </rPr>
      <t xml:space="preserve">“按人分表”的李涛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邓晶焱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高栾凤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闫东鹏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尹鹏飞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王荣胜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陈杰表：系统里调货人或供货厂任一是这个人就算一致。“林凯”表财务没写供货厂。橙色</t>
    </r>
    <r>
      <rPr>
        <sz val="9"/>
        <color rgb="FF667085"/>
        <rFont val="Arial"/>
        <family val="0"/>
        <charset val="1"/>
      </rPr>
      <t xml:space="preserve">=</t>
    </r>
    <r>
      <rPr>
        <sz val="9"/>
        <color rgb="FF667085"/>
        <rFont val="Noto Sans CJK SC"/>
        <family val="2"/>
      </rPr>
      <t xml:space="preserve">本次按财务同步改过的。</t>
    </r>
  </si>
  <si>
    <t xml:space="preserve">财务票源</t>
  </si>
  <si>
    <t xml:space="preserve">系统票源</t>
  </si>
  <si>
    <t xml:space="preserve">益周 → 俊兴</t>
  </si>
  <si>
    <t xml:space="preserve">煌烽</t>
  </si>
  <si>
    <t xml:space="preserve">（空） → 煌烽</t>
  </si>
  <si>
    <t xml:space="preserve">自带票</t>
  </si>
  <si>
    <t xml:space="preserve">俊兴 → （空）</t>
  </si>
  <si>
    <t xml:space="preserve">俊兴 → 煌烽</t>
  </si>
  <si>
    <t xml:space="preserve">（财务没写）</t>
  </si>
  <si>
    <t xml:space="preserve">财务没写</t>
  </si>
  <si>
    <t xml:space="preserve">财务这一行没写票源，系统是俊兴（利润按俊兴算，和财务利润一致）</t>
  </si>
  <si>
    <t xml:space="preserve">反向</t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</si>
  <si>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闫东朋</t>
    </r>
  </si>
  <si>
    <t xml:space="preserve">益周</t>
  </si>
  <si>
    <t xml:space="preserve">俊兴 → 益周</t>
  </si>
  <si>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尹鹏飞</t>
    </r>
  </si>
  <si>
    <t xml:space="preserve">益周 → 煌烽</t>
  </si>
  <si>
    <t xml:space="preserve">财务路径</t>
  </si>
  <si>
    <t xml:space="preserve">系统链条规则</t>
  </si>
  <si>
    <t xml:space="preserve">配票</t>
  </si>
  <si>
    <t xml:space="preserve">直签带票 → 配票</t>
  </si>
  <si>
    <t xml:space="preserve">带票</t>
  </si>
  <si>
    <t xml:space="preserve">直签带票</t>
  </si>
  <si>
    <t xml:space="preserve">户头通道 → 直签带票</t>
  </si>
  <si>
    <t xml:space="preserve">配票 → 直签带票</t>
  </si>
  <si>
    <t xml:space="preserve">户头通道 → 配票</t>
  </si>
  <si>
    <t xml:space="preserve">户头通道 → 反向</t>
  </si>
  <si>
    <r>
      <rPr>
        <sz val="9"/>
        <color rgb="FF667085"/>
        <rFont val="Noto Sans CJK SC"/>
        <family val="2"/>
      </rPr>
      <t xml:space="preserve">逐车把计算过程拆开对比：左边橙底</t>
    </r>
    <r>
      <rPr>
        <sz val="9"/>
        <color rgb="FF667085"/>
        <rFont val="Arial"/>
        <family val="0"/>
        <charset val="1"/>
      </rPr>
      <t xml:space="preserve">=</t>
    </r>
    <r>
      <rPr>
        <sz val="9"/>
        <color rgb="FF667085"/>
        <rFont val="Noto Sans CJK SC"/>
        <family val="2"/>
      </rPr>
      <t xml:space="preserve">财务表，右边蓝底</t>
    </r>
    <r>
      <rPr>
        <sz val="9"/>
        <color rgb="FF667085"/>
        <rFont val="Arial"/>
        <family val="0"/>
        <charset val="1"/>
      </rPr>
      <t xml:space="preserve">=</t>
    </r>
    <r>
      <rPr>
        <sz val="9"/>
        <color rgb="FF667085"/>
        <rFont val="Noto Sans CJK SC"/>
        <family val="2"/>
      </rPr>
      <t xml:space="preserve">系统。配票</t>
    </r>
    <r>
      <rPr>
        <sz val="9"/>
        <color rgb="FF667085"/>
        <rFont val="Arial"/>
        <family val="0"/>
        <charset val="1"/>
      </rPr>
      <t xml:space="preserve">/</t>
    </r>
    <r>
      <rPr>
        <sz val="9"/>
        <color rgb="FF667085"/>
        <rFont val="Noto Sans CJK SC"/>
        <family val="2"/>
      </rPr>
      <t xml:space="preserve">反向：结算额 → 垫资费 → 前端开票额</t>
    </r>
    <r>
      <rPr>
        <sz val="9"/>
        <color rgb="FF667085"/>
        <rFont val="Arial"/>
        <family val="0"/>
        <charset val="1"/>
      </rPr>
      <t xml:space="preserve">(</t>
    </r>
    <r>
      <rPr>
        <sz val="9"/>
        <color rgb="FF667085"/>
        <rFont val="Noto Sans CJK SC"/>
        <family val="2"/>
      </rPr>
      <t xml:space="preserve">欧冶</t>
    </r>
    <r>
      <rPr>
        <sz val="9"/>
        <color rgb="FF667085"/>
        <rFont val="Arial"/>
        <family val="0"/>
        <charset val="1"/>
      </rPr>
      <t xml:space="preserve">) → </t>
    </r>
    <r>
      <rPr>
        <sz val="9"/>
        <color rgb="FF667085"/>
        <rFont val="Noto Sans CJK SC"/>
        <family val="2"/>
      </rPr>
      <t xml:space="preserve">给客户付</t>
    </r>
    <r>
      <rPr>
        <sz val="9"/>
        <color rgb="FF667085"/>
        <rFont val="Arial"/>
        <family val="0"/>
        <charset val="1"/>
      </rPr>
      <t xml:space="preserve">(</t>
    </r>
    <r>
      <rPr>
        <sz val="9"/>
        <color rgb="FF667085"/>
        <rFont val="Noto Sans CJK SC"/>
        <family val="2"/>
      </rPr>
      <t xml:space="preserve">实际付款</t>
    </r>
    <r>
      <rPr>
        <sz val="9"/>
        <color rgb="FF667085"/>
        <rFont val="Arial"/>
        <family val="0"/>
        <charset val="1"/>
      </rPr>
      <t xml:space="preserve">) → </t>
    </r>
    <r>
      <rPr>
        <sz val="9"/>
        <color rgb="FF667085"/>
        <rFont val="Noto Sans CJK SC"/>
        <family val="2"/>
      </rPr>
      <t xml:space="preserve">前端实付</t>
    </r>
    <r>
      <rPr>
        <sz val="9"/>
        <color rgb="FF667085"/>
        <rFont val="Arial"/>
        <family val="0"/>
        <charset val="1"/>
      </rPr>
      <t xml:space="preserve">(</t>
    </r>
    <r>
      <rPr>
        <sz val="9"/>
        <color rgb="FF667085"/>
        <rFont val="Noto Sans CJK SC"/>
        <family val="2"/>
      </rPr>
      <t xml:space="preserve">带票公司付</t>
    </r>
    <r>
      <rPr>
        <sz val="9"/>
        <color rgb="FF667085"/>
        <rFont val="Arial"/>
        <family val="0"/>
        <charset val="1"/>
      </rPr>
      <t xml:space="preserve">) → </t>
    </r>
    <r>
      <rPr>
        <sz val="9"/>
        <color rgb="FF667085"/>
        <rFont val="Noto Sans CJK SC"/>
        <family val="2"/>
      </rPr>
      <t xml:space="preserve">个人垫资 → 量补、提成 → 利润。带票：结算额 → 垫资 → 欧冶 → 付供货厂 → 毛服务费</t>
    </r>
    <r>
      <rPr>
        <sz val="9"/>
        <color rgb="FF667085"/>
        <rFont val="Arial"/>
        <family val="0"/>
        <charset val="1"/>
      </rPr>
      <t xml:space="preserve">(40/</t>
    </r>
    <r>
      <rPr>
        <sz val="9"/>
        <color rgb="FF667085"/>
        <rFont val="Noto Sans CJK SC"/>
        <family val="2"/>
      </rPr>
      <t xml:space="preserve">吨</t>
    </r>
    <r>
      <rPr>
        <sz val="9"/>
        <color rgb="FF667085"/>
        <rFont val="Arial"/>
        <family val="0"/>
        <charset val="1"/>
      </rPr>
      <t xml:space="preserve">) → </t>
    </r>
    <r>
      <rPr>
        <sz val="9"/>
        <color rgb="FF667085"/>
        <rFont val="Noto Sans CJK SC"/>
        <family val="2"/>
      </rPr>
      <t xml:space="preserve">量补、提成 → 利润。差额</t>
    </r>
    <r>
      <rPr>
        <sz val="9"/>
        <color rgb="FF667085"/>
        <rFont val="Arial"/>
        <family val="0"/>
        <charset val="1"/>
      </rPr>
      <t xml:space="preserve">&gt;1</t>
    </r>
    <r>
      <rPr>
        <sz val="9"/>
        <color rgb="FF667085"/>
        <rFont val="Noto Sans CJK SC"/>
        <family val="2"/>
      </rPr>
      <t xml:space="preserve">元标红；</t>
    </r>
    <r>
      <rPr>
        <sz val="9"/>
        <color rgb="FF667085"/>
        <rFont val="Arial"/>
        <family val="0"/>
        <charset val="1"/>
      </rPr>
      <t xml:space="preserve">0.01~1</t>
    </r>
    <r>
      <rPr>
        <sz val="9"/>
        <color rgb="FF667085"/>
        <rFont val="Noto Sans CJK SC"/>
        <family val="2"/>
      </rPr>
      <t xml:space="preserve">元标灰“</t>
    </r>
    <r>
      <rPr>
        <sz val="9"/>
        <color rgb="FF667085"/>
        <rFont val="Arial"/>
        <family val="0"/>
        <charset val="1"/>
      </rPr>
      <t xml:space="preserve">INT”(</t>
    </r>
    <r>
      <rPr>
        <sz val="9"/>
        <color rgb="FF667085"/>
        <rFont val="Noto Sans CJK SC"/>
        <family val="2"/>
      </rPr>
      <t xml:space="preserve">财务实际付款用了 </t>
    </r>
    <r>
      <rPr>
        <sz val="9"/>
        <color rgb="FF667085"/>
        <rFont val="Arial"/>
        <family val="0"/>
        <charset val="1"/>
      </rPr>
      <t xml:space="preserve">INT </t>
    </r>
    <r>
      <rPr>
        <sz val="9"/>
        <color rgb="FF667085"/>
        <rFont val="Noto Sans CJK SC"/>
        <family val="2"/>
      </rPr>
      <t xml:space="preserve">向下取整，可忽略</t>
    </r>
    <r>
      <rPr>
        <sz val="9"/>
        <color rgb="FF667085"/>
        <rFont val="Arial"/>
        <family val="0"/>
        <charset val="1"/>
      </rPr>
      <t xml:space="preserve">)</t>
    </r>
    <r>
      <rPr>
        <sz val="9"/>
        <color rgb="FF667085"/>
        <rFont val="Noto Sans CJK SC"/>
        <family val="2"/>
      </rPr>
      <t xml:space="preserve">。</t>
    </r>
  </si>
  <si>
    <t xml:space="preserve">路径</t>
  </si>
  <si>
    <t xml:space="preserve">票源</t>
  </si>
  <si>
    <t xml:space="preserve">吨位</t>
  </si>
  <si>
    <r>
      <rPr>
        <b val="true"/>
        <sz val="10"/>
        <color rgb="FFFFFFFF"/>
        <rFont val="Noto Sans CJK SC"/>
        <family val="2"/>
      </rPr>
      <t xml:space="preserve">点位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财务→系统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</si>
  <si>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结算额
财务</t>
  </si>
  <si>
    <t xml:space="preserve">结算额
系统</t>
  </si>
  <si>
    <t xml:space="preserve">差</t>
  </si>
  <si>
    <t xml:space="preserve">垫资费
财务</t>
  </si>
  <si>
    <t xml:space="preserve">垫资费
系统</t>
  </si>
  <si>
    <r>
      <rPr>
        <b val="true"/>
        <sz val="10"/>
        <color rgb="FFFFFFFF"/>
        <rFont val="Noto Sans CJK SC"/>
        <family val="2"/>
      </rPr>
      <t xml:space="preserve">前端开票额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欧冶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Noto Sans CJK SC"/>
        <family val="2"/>
      </rPr>
      <t xml:space="preserve">财务</t>
    </r>
  </si>
  <si>
    <r>
      <rPr>
        <b val="true"/>
        <sz val="10"/>
        <color rgb="FFFFFFFF"/>
        <rFont val="Noto Sans CJK SC"/>
        <family val="2"/>
      </rPr>
      <t xml:space="preserve">前端开票额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欧冶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Noto Sans CJK SC"/>
        <family val="2"/>
      </rPr>
      <t xml:space="preserve">系统</t>
    </r>
  </si>
  <si>
    <r>
      <rPr>
        <b val="true"/>
        <sz val="10"/>
        <color rgb="FFFFFFFF"/>
        <rFont val="Noto Sans CJK SC"/>
        <family val="2"/>
      </rPr>
      <t xml:space="preserve">给客户付</t>
    </r>
    <r>
      <rPr>
        <b val="true"/>
        <sz val="10"/>
        <color rgb="FFFFFFFF"/>
        <rFont val="Arial"/>
        <family val="0"/>
        <charset val="1"/>
      </rPr>
      <t xml:space="preserve">/
</t>
    </r>
    <r>
      <rPr>
        <b val="true"/>
        <sz val="10"/>
        <color rgb="FFFFFFFF"/>
        <rFont val="Noto Sans CJK SC"/>
        <family val="2"/>
      </rPr>
      <t xml:space="preserve">付供货厂
财务</t>
    </r>
  </si>
  <si>
    <r>
      <rPr>
        <b val="true"/>
        <sz val="10"/>
        <color rgb="FFFFFFFF"/>
        <rFont val="Noto Sans CJK SC"/>
        <family val="2"/>
      </rPr>
      <t xml:space="preserve">给客户付</t>
    </r>
    <r>
      <rPr>
        <b val="true"/>
        <sz val="10"/>
        <color rgb="FFFFFFFF"/>
        <rFont val="Arial"/>
        <family val="0"/>
        <charset val="1"/>
      </rPr>
      <t xml:space="preserve">/
</t>
    </r>
    <r>
      <rPr>
        <b val="true"/>
        <sz val="10"/>
        <color rgb="FFFFFFFF"/>
        <rFont val="Noto Sans CJK SC"/>
        <family val="2"/>
      </rPr>
      <t xml:space="preserve">付供货厂
系统</t>
    </r>
  </si>
  <si>
    <r>
      <rPr>
        <b val="true"/>
        <sz val="10"/>
        <color rgb="FFFFFFFF"/>
        <rFont val="Noto Sans CJK SC"/>
        <family val="2"/>
      </rPr>
      <t xml:space="preserve">前端实付</t>
    </r>
    <r>
      <rPr>
        <b val="true"/>
        <sz val="10"/>
        <color rgb="FFFFFFFF"/>
        <rFont val="Arial"/>
        <family val="0"/>
        <charset val="1"/>
      </rPr>
      <t xml:space="preserve">/
</t>
    </r>
    <r>
      <rPr>
        <b val="true"/>
        <sz val="10"/>
        <color rgb="FFFFFFFF"/>
        <rFont val="Noto Sans CJK SC"/>
        <family val="2"/>
      </rPr>
      <t xml:space="preserve">毛服务费
财务</t>
    </r>
  </si>
  <si>
    <r>
      <rPr>
        <b val="true"/>
        <sz val="10"/>
        <color rgb="FFFFFFFF"/>
        <rFont val="Noto Sans CJK SC"/>
        <family val="2"/>
      </rPr>
      <t xml:space="preserve">前端实付</t>
    </r>
    <r>
      <rPr>
        <b val="true"/>
        <sz val="10"/>
        <color rgb="FFFFFFFF"/>
        <rFont val="Arial"/>
        <family val="0"/>
        <charset val="1"/>
      </rPr>
      <t xml:space="preserve">/
</t>
    </r>
    <r>
      <rPr>
        <b val="true"/>
        <sz val="10"/>
        <color rgb="FFFFFFFF"/>
        <rFont val="Noto Sans CJK SC"/>
        <family val="2"/>
      </rPr>
      <t xml:space="preserve">毛服务费
系统</t>
    </r>
  </si>
  <si>
    <t xml:space="preserve">个人垫资
财务</t>
  </si>
  <si>
    <t xml:space="preserve">个人垫资
系统</t>
  </si>
  <si>
    <t xml:space="preserve">量补
财务</t>
  </si>
  <si>
    <t xml:space="preserve">量补
系统</t>
  </si>
  <si>
    <t xml:space="preserve">提成
财务</t>
  </si>
  <si>
    <t xml:space="preserve">提成
系统</t>
  </si>
  <si>
    <t xml:space="preserve">利润
财务</t>
  </si>
  <si>
    <t xml:space="preserve">利润
系统</t>
  </si>
  <si>
    <r>
      <rPr>
        <sz val="10"/>
        <rFont val="Noto Sans CJK SC"/>
        <family val="2"/>
      </rPr>
      <t xml:space="preserve">给客户 </t>
    </r>
    <r>
      <rPr>
        <sz val="10"/>
        <rFont val="Arial"/>
        <family val="0"/>
        <charset val="1"/>
      </rPr>
      <t xml:space="preserve">×0.860→×0.860</t>
    </r>
    <r>
      <rPr>
        <sz val="10"/>
        <rFont val="Noto Sans CJK SC"/>
        <family val="2"/>
      </rPr>
      <t xml:space="preserve">；实付 </t>
    </r>
    <r>
      <rPr>
        <sz val="10"/>
        <rFont val="Arial"/>
        <family val="0"/>
        <charset val="1"/>
      </rPr>
      <t xml:space="preserve">×0.865→×0.865</t>
    </r>
  </si>
  <si>
    <r>
      <rPr>
        <sz val="10"/>
        <rFont val="Noto Sans CJK SC"/>
        <family val="2"/>
      </rPr>
      <t xml:space="preserve">切割费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：两边结算额里都已扣，客户承担，利润不再扣（已统一）</t>
    </r>
  </si>
  <si>
    <r>
      <rPr>
        <sz val="10"/>
        <rFont val="Noto Sans CJK SC"/>
        <family val="2"/>
      </rPr>
      <t xml:space="preserve">财务一行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系统两车，系统数为两车相加</t>
    </r>
  </si>
  <si>
    <r>
      <rPr>
        <sz val="10"/>
        <rFont val="Noto Sans CJK SC"/>
        <family val="2"/>
      </rPr>
      <t xml:space="preserve">给客户 </t>
    </r>
    <r>
      <rPr>
        <sz val="10"/>
        <rFont val="Arial"/>
        <family val="0"/>
        <charset val="1"/>
      </rPr>
      <t xml:space="preserve">×0.860→×0.860</t>
    </r>
    <r>
      <rPr>
        <sz val="10"/>
        <rFont val="Noto Sans CJK SC"/>
        <family val="2"/>
      </rPr>
      <t xml:space="preserve">；实付 </t>
    </r>
    <r>
      <rPr>
        <sz val="10"/>
        <rFont val="Arial"/>
        <family val="0"/>
        <charset val="1"/>
      </rPr>
      <t xml:space="preserve">×0.868→×0.868</t>
    </r>
  </si>
  <si>
    <r>
      <rPr>
        <sz val="10"/>
        <rFont val="Noto Sans CJK SC"/>
        <family val="2"/>
      </rPr>
      <t xml:space="preserve">付供货厂 结算额−</t>
    </r>
    <r>
      <rPr>
        <sz val="10"/>
        <rFont val="Arial"/>
        <family val="0"/>
        <charset val="1"/>
      </rPr>
      <t xml:space="preserve">40/</t>
    </r>
    <r>
      <rPr>
        <sz val="10"/>
        <rFont val="Noto Sans CJK SC"/>
        <family val="2"/>
      </rPr>
      <t xml:space="preserve">吨</t>
    </r>
  </si>
  <si>
    <r>
      <rPr>
        <sz val="10"/>
        <rFont val="Noto Sans CJK SC"/>
        <family val="2"/>
      </rPr>
      <t xml:space="preserve">切割费</t>
    </r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：两边结算额里都已扣，客户承担，利润不再扣（已统一）</t>
    </r>
  </si>
  <si>
    <r>
      <rPr>
        <sz val="10"/>
        <rFont val="Noto Sans CJK SC"/>
        <family val="2"/>
      </rPr>
      <t xml:space="preserve">切割费</t>
    </r>
    <r>
      <rPr>
        <sz val="10"/>
        <rFont val="Arial"/>
        <family val="0"/>
        <charset val="1"/>
      </rPr>
      <t xml:space="preserve">16310</t>
    </r>
    <r>
      <rPr>
        <sz val="10"/>
        <rFont val="Noto Sans CJK SC"/>
        <family val="2"/>
      </rPr>
      <t xml:space="preserve">：两边结算额里都已扣，客户承担，利润不再扣（已统一）</t>
    </r>
  </si>
  <si>
    <r>
      <rPr>
        <sz val="10"/>
        <rFont val="Noto Sans CJK SC"/>
        <family val="2"/>
      </rPr>
      <t xml:space="preserve">给客户 </t>
    </r>
    <r>
      <rPr>
        <sz val="10"/>
        <rFont val="Arial"/>
        <family val="0"/>
        <charset val="1"/>
      </rPr>
      <t xml:space="preserve">×0.860→×0.860</t>
    </r>
    <r>
      <rPr>
        <sz val="10"/>
        <rFont val="Noto Sans CJK SC"/>
        <family val="2"/>
      </rPr>
      <t xml:space="preserve">；实付 </t>
    </r>
    <r>
      <rPr>
        <sz val="10"/>
        <rFont val="Arial"/>
        <family val="0"/>
        <charset val="1"/>
      </rPr>
      <t xml:space="preserve">×0.862→×0.862</t>
    </r>
  </si>
  <si>
    <r>
      <rPr>
        <sz val="10"/>
        <rFont val="Noto Sans CJK SC"/>
        <family val="2"/>
      </rPr>
      <t xml:space="preserve">给客户 </t>
    </r>
    <r>
      <rPr>
        <sz val="10"/>
        <rFont val="Arial"/>
        <family val="0"/>
        <charset val="1"/>
      </rPr>
      <t xml:space="preserve">×0.862→×0.862</t>
    </r>
    <r>
      <rPr>
        <sz val="10"/>
        <rFont val="Noto Sans CJK SC"/>
        <family val="2"/>
      </rPr>
      <t xml:space="preserve">；实付 </t>
    </r>
    <r>
      <rPr>
        <sz val="10"/>
        <rFont val="Arial"/>
        <family val="0"/>
        <charset val="1"/>
      </rPr>
      <t xml:space="preserve">×0.865→×0.865</t>
    </r>
  </si>
  <si>
    <r>
      <rPr>
        <sz val="10"/>
        <rFont val="Noto Sans CJK SC"/>
        <family val="2"/>
      </rPr>
      <t xml:space="preserve">王荣胜特批：给客户付按</t>
    </r>
    <r>
      <rPr>
        <sz val="10"/>
        <rFont val="Arial"/>
        <family val="0"/>
        <charset val="1"/>
      </rPr>
      <t xml:space="preserve">13.8%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），系统已设本车费率</t>
    </r>
  </si>
  <si>
    <t xml:space="preserve">合计</t>
  </si>
  <si>
    <r>
      <rPr>
        <b val="true"/>
        <sz val="10"/>
        <rFont val="Noto Sans CJK SC"/>
        <family val="2"/>
      </rPr>
      <t xml:space="preserve">按计算路径统计（同步后；财务利润按财务表，系统利润按系统；</t>
    </r>
    <r>
      <rPr>
        <b val="true"/>
        <sz val="10"/>
        <rFont val="Arial"/>
        <family val="0"/>
        <charset val="1"/>
      </rPr>
      <t xml:space="preserve">9/21 </t>
    </r>
    <r>
      <rPr>
        <b val="true"/>
        <sz val="10"/>
        <rFont val="Noto Sans CJK SC"/>
        <family val="2"/>
      </rPr>
      <t xml:space="preserve">未录那车只在财务列）</t>
    </r>
  </si>
  <si>
    <t xml:space="preserve">车数</t>
  </si>
  <si>
    <t xml:space="preserve">结算额</t>
  </si>
  <si>
    <t xml:space="preserve">财务利润</t>
  </si>
  <si>
    <t xml:space="preserve">系统利润</t>
  </si>
  <si>
    <r>
      <rPr>
        <b val="true"/>
        <sz val="10"/>
        <color rgb="FFFFFFFF"/>
        <rFont val="Noto Sans CJK SC"/>
        <family val="2"/>
      </rPr>
      <t xml:space="preserve">差额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系统−财务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</si>
  <si>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每吨利润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</si>
  <si>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配票 小计</t>
  </si>
  <si>
    <r>
      <rPr>
        <b val="true"/>
        <sz val="10"/>
        <rFont val="Noto Sans CJK SC"/>
        <family val="2"/>
      </rPr>
      <t xml:space="preserve">企业票源差价模型：利润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量补 −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给客户付 − 前端实付</t>
    </r>
    <r>
      <rPr>
        <b val="true"/>
        <sz val="10"/>
        <rFont val="Arial"/>
        <family val="0"/>
        <charset val="1"/>
      </rPr>
      <t xml:space="preserve">) − </t>
    </r>
    <r>
      <rPr>
        <b val="true"/>
        <sz val="10"/>
        <rFont val="Noto Sans CJK SC"/>
        <family val="2"/>
      </rPr>
      <t xml:space="preserve">提成</t>
    </r>
  </si>
  <si>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9/21 </t>
    </r>
    <r>
      <rPr>
        <sz val="10"/>
        <rFont val="Noto Sans CJK SC"/>
        <family val="2"/>
      </rPr>
      <t xml:space="preserve">未录一车（财务利润 </t>
    </r>
    <r>
      <rPr>
        <sz val="10"/>
        <rFont val="Arial"/>
        <family val="0"/>
        <charset val="1"/>
      </rPr>
      <t xml:space="preserve">840.59</t>
    </r>
    <r>
      <rPr>
        <sz val="10"/>
        <rFont val="Noto Sans CJK SC"/>
        <family val="2"/>
      </rPr>
      <t xml:space="preserve">）</t>
    </r>
  </si>
  <si>
    <t xml:space="preserve">反向 小计</t>
  </si>
  <si>
    <r>
      <rPr>
        <b val="true"/>
        <sz val="10"/>
        <rFont val="Noto Sans CJK SC"/>
        <family val="2"/>
      </rPr>
      <t xml:space="preserve">反向个人开票：不扣垫资，前端实付</t>
    </r>
    <r>
      <rPr>
        <b val="true"/>
        <sz val="10"/>
        <rFont val="Arial"/>
        <family val="0"/>
        <charset val="1"/>
      </rPr>
      <t xml:space="preserve">=</t>
    </r>
    <r>
      <rPr>
        <b val="true"/>
        <sz val="10"/>
        <rFont val="Noto Sans CJK SC"/>
        <family val="2"/>
      </rPr>
      <t xml:space="preserve">结算额</t>
    </r>
    <r>
      <rPr>
        <b val="true"/>
        <sz val="10"/>
        <rFont val="Arial"/>
        <family val="0"/>
        <charset val="1"/>
      </rPr>
      <t xml:space="preserve">×(1−13.8%)</t>
    </r>
  </si>
  <si>
    <t xml:space="preserve">带票 小计</t>
  </si>
  <si>
    <r>
      <rPr>
        <b val="true"/>
        <sz val="10"/>
        <rFont val="Noto Sans CJK SC"/>
        <family val="2"/>
      </rPr>
      <t xml:space="preserve">供货厂自带票服务费：</t>
    </r>
    <r>
      <rPr>
        <b val="true"/>
        <sz val="10"/>
        <rFont val="Arial"/>
        <family val="0"/>
        <charset val="1"/>
      </rPr>
      <t xml:space="preserve">40 − </t>
    </r>
    <r>
      <rPr>
        <b val="true"/>
        <sz val="10"/>
        <rFont val="Noto Sans CJK SC"/>
        <family val="2"/>
      </rPr>
      <t xml:space="preserve">垫资</t>
    </r>
    <r>
      <rPr>
        <b val="true"/>
        <sz val="10"/>
        <rFont val="Arial"/>
        <family val="0"/>
        <charset val="1"/>
      </rPr>
      <t xml:space="preserve">23 − </t>
    </r>
    <r>
      <rPr>
        <b val="true"/>
        <sz val="10"/>
        <rFont val="Noto Sans CJK SC"/>
        <family val="2"/>
      </rPr>
      <t xml:space="preserve">提成</t>
    </r>
    <r>
      <rPr>
        <b val="true"/>
        <sz val="10"/>
        <rFont val="Arial"/>
        <family val="0"/>
        <charset val="1"/>
      </rPr>
      <t xml:space="preserve">15 + </t>
    </r>
    <r>
      <rPr>
        <b val="true"/>
        <sz val="10"/>
        <rFont val="Noto Sans CJK SC"/>
        <family val="2"/>
      </rPr>
      <t xml:space="preserve">量补</t>
    </r>
    <r>
      <rPr>
        <b val="true"/>
        <sz val="10"/>
        <rFont val="Arial"/>
        <family val="0"/>
        <charset val="1"/>
      </rPr>
      <t xml:space="preserve">25 = 27</t>
    </r>
    <r>
      <rPr>
        <b val="true"/>
        <sz val="10"/>
        <rFont val="Noto Sans CJK SC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吨</t>
    </r>
  </si>
  <si>
    <t xml:space="preserve">总计</t>
  </si>
  <si>
    <r>
      <rPr>
        <b val="true"/>
        <sz val="10"/>
        <rFont val="Noto Sans CJK SC"/>
        <family val="2"/>
      </rPr>
      <t xml:space="preserve">差额 </t>
    </r>
    <r>
      <rPr>
        <b val="true"/>
        <sz val="10"/>
        <rFont val="Arial"/>
        <family val="0"/>
        <charset val="1"/>
      </rPr>
      <t xml:space="preserve">= 9/21 </t>
    </r>
    <r>
      <rPr>
        <b val="true"/>
        <sz val="10"/>
        <rFont val="Noto Sans CJK SC"/>
        <family val="2"/>
      </rPr>
      <t xml:space="preserve">未录一车</t>
    </r>
    <r>
      <rPr>
        <b val="true"/>
        <sz val="10"/>
        <rFont val="Arial"/>
        <family val="0"/>
        <charset val="1"/>
      </rPr>
      <t xml:space="preserve">(−840.59) + </t>
    </r>
    <r>
      <rPr>
        <b val="true"/>
        <sz val="10"/>
        <rFont val="Noto Sans CJK SC"/>
        <family val="2"/>
      </rPr>
      <t xml:space="preserve">财务 </t>
    </r>
    <r>
      <rPr>
        <b val="true"/>
        <sz val="10"/>
        <rFont val="Arial"/>
        <family val="0"/>
        <charset val="1"/>
      </rPr>
      <t xml:space="preserve">INT </t>
    </r>
    <r>
      <rPr>
        <b val="true"/>
        <sz val="10"/>
        <rFont val="Noto Sans CJK SC"/>
        <family val="2"/>
      </rPr>
      <t xml:space="preserve">取整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约 −</t>
    </r>
    <r>
      <rPr>
        <b val="true"/>
        <sz val="10"/>
        <rFont val="Arial"/>
        <family val="0"/>
        <charset val="1"/>
      </rPr>
      <t xml:space="preserve">45)</t>
    </r>
  </si>
  <si>
    <t xml:space="preserve">按调货人统计（同步后，系统）</t>
  </si>
  <si>
    <t xml:space="preserve">调货人</t>
  </si>
  <si>
    <t xml:space="preserve">差额</t>
  </si>
  <si>
    <r>
      <rPr>
        <b val="true"/>
        <sz val="10"/>
        <color rgb="FFFFFFFF"/>
        <rFont val="Noto Sans CJK SC"/>
        <family val="2"/>
      </rPr>
      <t xml:space="preserve">提成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系统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</si>
  <si>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（无）</t>
  </si>
  <si>
    <r>
      <rPr>
        <sz val="9"/>
        <color rgb="FF667085"/>
        <rFont val="Noto Sans CJK SC"/>
        <family val="2"/>
      </rPr>
      <t xml:space="preserve">注：财务 </t>
    </r>
    <r>
      <rPr>
        <sz val="9"/>
        <color rgb="FF667085"/>
        <rFont val="Arial"/>
        <family val="0"/>
        <charset val="1"/>
      </rPr>
      <t xml:space="preserve">8/29 </t>
    </r>
    <r>
      <rPr>
        <sz val="9"/>
        <color rgb="FF667085"/>
        <rFont val="Noto Sans CJK SC"/>
        <family val="2"/>
      </rPr>
      <t xml:space="preserve">那行是两车合并，按系统两车利润比例分摊到各自调货人。</t>
    </r>
  </si>
  <si>
    <r>
      <rPr>
        <b val="true"/>
        <sz val="11"/>
        <rFont val="Noto Sans CJK SC"/>
        <family val="2"/>
      </rPr>
      <t xml:space="preserve">配票路径　实例：林凯 第</t>
    </r>
    <r>
      <rPr>
        <b val="true"/>
        <sz val="11"/>
        <rFont val="Arial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行 苏</t>
    </r>
    <r>
      <rPr>
        <b val="true"/>
        <sz val="11"/>
        <rFont val="Arial"/>
        <family val="0"/>
        <charset val="1"/>
      </rPr>
      <t xml:space="preserve">NEN536 2026-09-18 34.02</t>
    </r>
    <r>
      <rPr>
        <b val="true"/>
        <sz val="11"/>
        <rFont val="Noto Sans CJK SC"/>
        <family val="2"/>
      </rPr>
      <t xml:space="preserve">吨（系统 </t>
    </r>
    <r>
      <rPr>
        <b val="true"/>
        <sz val="11"/>
        <rFont val="Arial"/>
        <family val="0"/>
        <charset val="1"/>
      </rPr>
      <t xml:space="preserve">#90</t>
    </r>
    <r>
      <rPr>
        <b val="true"/>
        <sz val="11"/>
        <rFont val="Noto Sans CJK SC"/>
        <family val="2"/>
      </rPr>
      <t xml:space="preserve">）</t>
    </r>
  </si>
  <si>
    <t xml:space="preserve">财务表怎么算</t>
  </si>
  <si>
    <t xml:space="preserve">系统怎么算</t>
  </si>
  <si>
    <t xml:space="preserve">财务结果</t>
  </si>
  <si>
    <t xml:space="preserve">系统结果</t>
  </si>
  <si>
    <r>
      <rPr>
        <sz val="10"/>
        <rFont val="Noto Sans CJK SC"/>
        <family val="2"/>
      </rPr>
      <t xml:space="preserve">结算额 </t>
    </r>
    <r>
      <rPr>
        <sz val="10"/>
        <rFont val="Arial"/>
        <family val="0"/>
        <charset val="1"/>
      </rPr>
      <t xml:space="preserve">A</t>
    </r>
  </si>
  <si>
    <r>
      <rPr>
        <sz val="10"/>
        <rFont val="Noto Sans CJK SC"/>
        <family val="2"/>
      </rPr>
      <t xml:space="preserve">应收金额 </t>
    </r>
    <r>
      <rPr>
        <sz val="10"/>
        <rFont val="Arial"/>
        <family val="0"/>
        <charset val="1"/>
      </rPr>
      <t xml:space="preserve">D = </t>
    </r>
    <r>
      <rPr>
        <sz val="10"/>
        <rFont val="Noto Sans CJK SC"/>
        <family val="2"/>
      </rPr>
      <t xml:space="preserve">吨位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单价</t>
    </r>
  </si>
  <si>
    <t xml:space="preserve">结算金额（磅重明细合计）</t>
  </si>
  <si>
    <t xml:space="preserve">垫资费</t>
  </si>
  <si>
    <r>
      <rPr>
        <sz val="10"/>
        <rFont val="Arial"/>
        <family val="0"/>
        <charset val="1"/>
      </rPr>
      <t xml:space="preserve">23 × </t>
    </r>
    <r>
      <rPr>
        <sz val="10"/>
        <rFont val="Noto Sans CJK SC"/>
        <family val="2"/>
      </rPr>
      <t xml:space="preserve">吨位</t>
    </r>
  </si>
  <si>
    <r>
      <rPr>
        <sz val="10"/>
        <rFont val="Noto Sans CJK SC"/>
        <family val="2"/>
      </rPr>
      <t xml:space="preserve">吨位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户头垫资费率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费率与关系，</t>
    </r>
    <r>
      <rPr>
        <sz val="10"/>
        <rFont val="Arial"/>
        <family val="0"/>
        <charset val="1"/>
      </rPr>
      <t xml:space="preserve">23)</t>
    </r>
  </si>
  <si>
    <t xml:space="preserve">前端开票额</t>
  </si>
  <si>
    <r>
      <rPr>
        <sz val="10"/>
        <rFont val="Noto Sans CJK SC"/>
        <family val="2"/>
      </rPr>
      <t xml:space="preserve">欧冶 </t>
    </r>
    <r>
      <rPr>
        <sz val="10"/>
        <rFont val="Arial"/>
        <family val="0"/>
        <charset val="1"/>
      </rPr>
      <t xml:space="preserve">E = D − 23×</t>
    </r>
    <r>
      <rPr>
        <sz val="10"/>
        <rFont val="Noto Sans CJK SC"/>
        <family val="2"/>
      </rPr>
      <t xml:space="preserve">吨位</t>
    </r>
  </si>
  <si>
    <t xml:space="preserve">结算额 − 垫资费</t>
  </si>
  <si>
    <t xml:space="preserve">给客户付</t>
  </si>
  <si>
    <r>
      <rPr>
        <sz val="10"/>
        <rFont val="Noto Sans CJK SC"/>
        <family val="2"/>
      </rPr>
      <t xml:space="preserve">实际付款 </t>
    </r>
    <r>
      <rPr>
        <sz val="10"/>
        <rFont val="Arial"/>
        <family val="0"/>
        <charset val="1"/>
      </rPr>
      <t xml:space="preserve">F = INT(D × 0.86)</t>
    </r>
  </si>
  <si>
    <r>
      <rPr>
        <sz val="10"/>
        <rFont val="Noto Sans CJK SC"/>
        <family val="2"/>
      </rPr>
      <t xml:space="preserve">结算额 </t>
    </r>
    <r>
      <rPr>
        <sz val="10"/>
        <rFont val="Arial"/>
        <family val="0"/>
        <charset val="1"/>
      </rPr>
      <t xml:space="preserve">× (1 − </t>
    </r>
    <r>
      <rPr>
        <sz val="10"/>
        <rFont val="Noto Sans CJK SC"/>
        <family val="2"/>
      </rPr>
      <t xml:space="preserve">对外点位</t>
    </r>
    <r>
      <rPr>
        <sz val="10"/>
        <rFont val="Arial"/>
        <family val="0"/>
        <charset val="1"/>
      </rPr>
      <t xml:space="preserve">14%)</t>
    </r>
  </si>
  <si>
    <t xml:space="preserve">前端实付</t>
  </si>
  <si>
    <r>
      <rPr>
        <sz val="10"/>
        <rFont val="Arial"/>
        <family val="0"/>
        <charset val="1"/>
      </rPr>
      <t xml:space="preserve">E × 0.865(</t>
    </r>
    <r>
      <rPr>
        <sz val="10"/>
        <rFont val="Noto Sans CJK SC"/>
        <family val="2"/>
      </rPr>
      <t xml:space="preserve">俊兴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益周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× 0.868(</t>
    </r>
    <r>
      <rPr>
        <sz val="10"/>
        <rFont val="Noto Sans CJK SC"/>
        <family val="2"/>
      </rPr>
      <t xml:space="preserve">煌烽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</si>
  <si>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前端开票额 </t>
    </r>
    <r>
      <rPr>
        <sz val="10"/>
        <rFont val="Arial"/>
        <family val="0"/>
        <charset val="1"/>
      </rPr>
      <t xml:space="preserve">× (1 − </t>
    </r>
    <r>
      <rPr>
        <sz val="10"/>
        <rFont val="Noto Sans CJK SC"/>
        <family val="2"/>
      </rPr>
      <t xml:space="preserve">票源点位</t>
    </r>
    <r>
      <rPr>
        <sz val="10"/>
        <rFont val="Arial"/>
        <family val="0"/>
        <charset val="1"/>
      </rPr>
      <t xml:space="preserve">)</t>
    </r>
  </si>
  <si>
    <t xml:space="preserve">个人垫资</t>
  </si>
  <si>
    <r>
      <rPr>
        <sz val="10"/>
        <rFont val="Arial"/>
        <family val="0"/>
        <charset val="1"/>
      </rPr>
      <t xml:space="preserve">F − </t>
    </r>
    <r>
      <rPr>
        <sz val="10"/>
        <rFont val="Noto Sans CJK SC"/>
        <family val="2"/>
      </rPr>
      <t xml:space="preserve">前端实付</t>
    </r>
  </si>
  <si>
    <t xml:space="preserve">给客户付 − 前端实付</t>
  </si>
  <si>
    <t xml:space="preserve">量补</t>
  </si>
  <si>
    <r>
      <rPr>
        <sz val="10"/>
        <rFont val="Arial"/>
        <family val="0"/>
        <charset val="1"/>
      </rPr>
      <t xml:space="preserve">25 × </t>
    </r>
    <r>
      <rPr>
        <sz val="10"/>
        <rFont val="Noto Sans CJK SC"/>
        <family val="2"/>
      </rPr>
      <t xml:space="preserve">吨位（</t>
    </r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那期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</si>
  <si>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钢厂量补阶梯（那期固化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）</t>
    </r>
  </si>
  <si>
    <t xml:space="preserve">调货提成</t>
  </si>
  <si>
    <r>
      <rPr>
        <sz val="10"/>
        <rFont val="Noto Sans CJK SC"/>
        <family val="2"/>
      </rPr>
      <t xml:space="preserve">林凯 </t>
    </r>
    <r>
      <rPr>
        <sz val="10"/>
        <rFont val="Arial"/>
        <family val="0"/>
        <charset val="1"/>
      </rPr>
      <t xml:space="preserve">5 × </t>
    </r>
    <r>
      <rPr>
        <sz val="10"/>
        <rFont val="Noto Sans CJK SC"/>
        <family val="2"/>
      </rPr>
      <t xml:space="preserve">吨位（</t>
    </r>
    <r>
      <rPr>
        <sz val="10"/>
        <rFont val="Arial"/>
        <family val="0"/>
        <charset val="1"/>
      </rPr>
      <t xml:space="preserve">9/04 </t>
    </r>
    <r>
      <rPr>
        <sz val="10"/>
        <rFont val="Noto Sans CJK SC"/>
        <family val="2"/>
      </rPr>
      <t xml:space="preserve">前）</t>
    </r>
  </si>
  <si>
    <r>
      <rPr>
        <sz val="10"/>
        <rFont val="Noto Sans CJK SC"/>
        <family val="2"/>
      </rPr>
      <t xml:space="preserve">费率与关系：林凯配票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吨到 </t>
    </r>
    <r>
      <rPr>
        <sz val="10"/>
        <rFont val="Arial"/>
        <family val="0"/>
        <charset val="1"/>
      </rPr>
      <t xml:space="preserve">9/04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起 </t>
    </r>
    <r>
      <rPr>
        <sz val="10"/>
        <rFont val="Arial"/>
        <family val="0"/>
        <charset val="1"/>
      </rPr>
      <t xml:space="preserve">0</t>
    </r>
  </si>
  <si>
    <t xml:space="preserve">利润</t>
  </si>
  <si>
    <r>
      <rPr>
        <b val="true"/>
        <sz val="10"/>
        <rFont val="Noto Sans CJK SC"/>
        <family val="2"/>
      </rPr>
      <t xml:space="preserve">前端实付 − </t>
    </r>
    <r>
      <rPr>
        <b val="true"/>
        <sz val="10"/>
        <rFont val="Arial"/>
        <family val="0"/>
        <charset val="1"/>
      </rPr>
      <t xml:space="preserve">F + </t>
    </r>
    <r>
      <rPr>
        <b val="true"/>
        <sz val="10"/>
        <rFont val="Noto Sans CJK SC"/>
        <family val="2"/>
      </rPr>
      <t xml:space="preserve">量补 − 提成</t>
    </r>
  </si>
  <si>
    <t xml:space="preserve">量补 − 个人垫资 − 提成 − 其他成本</t>
  </si>
  <si>
    <r>
      <rPr>
        <b val="true"/>
        <sz val="11"/>
        <rFont val="Noto Sans CJK SC"/>
        <family val="2"/>
      </rPr>
      <t xml:space="preserve">反向路径　实例：闫东鹏 第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行 苏</t>
    </r>
    <r>
      <rPr>
        <b val="true"/>
        <sz val="11"/>
        <rFont val="Arial"/>
        <family val="0"/>
        <charset val="1"/>
      </rPr>
      <t xml:space="preserve">J19371 2026-09-14 78.36</t>
    </r>
    <r>
      <rPr>
        <b val="true"/>
        <sz val="11"/>
        <rFont val="Noto Sans CJK SC"/>
        <family val="2"/>
      </rPr>
      <t xml:space="preserve">吨（系统 </t>
    </r>
    <r>
      <rPr>
        <b val="true"/>
        <sz val="11"/>
        <rFont val="Arial"/>
        <family val="0"/>
        <charset val="1"/>
      </rPr>
      <t xml:space="preserve">#72</t>
    </r>
    <r>
      <rPr>
        <b val="true"/>
        <sz val="11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</si>
  <si>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应收金额 </t>
    </r>
    <r>
      <rPr>
        <sz val="10"/>
        <rFont val="Arial"/>
        <family val="0"/>
        <charset val="1"/>
      </rPr>
      <t xml:space="preserve">D</t>
    </r>
  </si>
  <si>
    <t xml:space="preserve">结算金额</t>
  </si>
  <si>
    <t xml:space="preserve">不扣（本期已含在反向票点里）</t>
  </si>
  <si>
    <r>
      <rPr>
        <sz val="10"/>
        <rFont val="Noto Sans CJK SC"/>
        <family val="2"/>
      </rPr>
      <t xml:space="preserve">户头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反向 生效档 </t>
    </r>
    <r>
      <rPr>
        <sz val="10"/>
        <rFont val="Arial"/>
        <family val="0"/>
        <charset val="1"/>
      </rPr>
      <t xml:space="preserve">= 0</t>
    </r>
  </si>
  <si>
    <r>
      <rPr>
        <sz val="10"/>
        <rFont val="Noto Sans CJK SC"/>
        <family val="2"/>
      </rPr>
      <t xml:space="preserve">就是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（不扣垫资）</t>
    </r>
  </si>
  <si>
    <r>
      <rPr>
        <sz val="10"/>
        <rFont val="Noto Sans CJK SC"/>
        <family val="2"/>
      </rPr>
      <t xml:space="preserve">结算额 − </t>
    </r>
    <r>
      <rPr>
        <sz val="10"/>
        <rFont val="Arial"/>
        <family val="0"/>
        <charset val="1"/>
      </rPr>
      <t xml:space="preserve">0</t>
    </r>
  </si>
  <si>
    <t xml:space="preserve">F = INT(D × 0.86)</t>
  </si>
  <si>
    <r>
      <rPr>
        <sz val="10"/>
        <rFont val="Noto Sans CJK SC"/>
        <family val="2"/>
      </rPr>
      <t xml:space="preserve">结算额 </t>
    </r>
    <r>
      <rPr>
        <sz val="10"/>
        <rFont val="Arial"/>
        <family val="0"/>
        <charset val="1"/>
      </rPr>
      <t xml:space="preserve">× (1 − 14%)</t>
    </r>
  </si>
  <si>
    <r>
      <rPr>
        <sz val="10"/>
        <rFont val="Noto Sans CJK SC"/>
        <family val="2"/>
      </rPr>
      <t xml:space="preserve">带票公司付 </t>
    </r>
    <r>
      <rPr>
        <sz val="10"/>
        <rFont val="Arial"/>
        <family val="0"/>
        <charset val="1"/>
      </rPr>
      <t xml:space="preserve">G = D × 0.862</t>
    </r>
  </si>
  <si>
    <r>
      <rPr>
        <sz val="10"/>
        <rFont val="Noto Sans CJK SC"/>
        <family val="2"/>
      </rPr>
      <t xml:space="preserve">前端开票额 </t>
    </r>
    <r>
      <rPr>
        <sz val="10"/>
        <rFont val="Arial"/>
        <family val="0"/>
        <charset val="1"/>
      </rPr>
      <t xml:space="preserve">× (1 − 13.8%)</t>
    </r>
  </si>
  <si>
    <t xml:space="preserve">F − G</t>
  </si>
  <si>
    <r>
      <rPr>
        <sz val="10"/>
        <rFont val="Arial"/>
        <family val="0"/>
        <charset val="1"/>
      </rPr>
      <t xml:space="preserve">25 × </t>
    </r>
    <r>
      <rPr>
        <sz val="10"/>
        <rFont val="Noto Sans CJK SC"/>
        <family val="2"/>
      </rPr>
      <t xml:space="preserve">吨位</t>
    </r>
  </si>
  <si>
    <t xml:space="preserve">钢厂量补阶梯</t>
  </si>
  <si>
    <t xml:space="preserve">0</t>
  </si>
  <si>
    <r>
      <rPr>
        <b val="true"/>
        <sz val="10"/>
        <rFont val="Arial"/>
        <family val="0"/>
        <charset val="1"/>
      </rPr>
      <t xml:space="preserve">G − F + 25×</t>
    </r>
    <r>
      <rPr>
        <b val="true"/>
        <sz val="10"/>
        <rFont val="Noto Sans CJK SC"/>
        <family val="2"/>
      </rPr>
      <t xml:space="preserve">吨位</t>
    </r>
  </si>
  <si>
    <t xml:space="preserve">量补 − 个人垫资 − 提成</t>
  </si>
  <si>
    <r>
      <rPr>
        <b val="true"/>
        <sz val="11"/>
        <rFont val="Noto Sans CJK SC"/>
        <family val="2"/>
      </rPr>
      <t xml:space="preserve">带票路径　实例：林凯</t>
    </r>
    <r>
      <rPr>
        <b val="true"/>
        <sz val="11"/>
        <rFont val="Arial"/>
        <family val="0"/>
        <charset val="1"/>
      </rPr>
      <t xml:space="preserve">-</t>
    </r>
    <r>
      <rPr>
        <b val="true"/>
        <sz val="11"/>
        <rFont val="Noto Sans CJK SC"/>
        <family val="2"/>
      </rPr>
      <t xml:space="preserve">君盛 第</t>
    </r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行 苏</t>
    </r>
    <r>
      <rPr>
        <b val="true"/>
        <sz val="11"/>
        <rFont val="Arial"/>
        <family val="0"/>
        <charset val="1"/>
      </rPr>
      <t xml:space="preserve">DBE075 2026-09-12 65.44</t>
    </r>
    <r>
      <rPr>
        <b val="true"/>
        <sz val="11"/>
        <rFont val="Noto Sans CJK SC"/>
        <family val="2"/>
      </rPr>
      <t xml:space="preserve">吨（系统 </t>
    </r>
    <r>
      <rPr>
        <b val="true"/>
        <sz val="11"/>
        <rFont val="Arial"/>
        <family val="0"/>
        <charset val="1"/>
      </rPr>
      <t xml:space="preserve">#68</t>
    </r>
    <r>
      <rPr>
        <b val="true"/>
        <sz val="11"/>
        <rFont val="Noto Sans CJK SC"/>
        <family val="2"/>
      </rPr>
      <t xml:space="preserve">）</t>
    </r>
  </si>
  <si>
    <t xml:space="preserve">垫资</t>
  </si>
  <si>
    <r>
      <rPr>
        <sz val="10"/>
        <rFont val="Noto Sans CJK SC"/>
        <family val="2"/>
      </rPr>
      <t xml:space="preserve">吨位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垫资费率 </t>
    </r>
    <r>
      <rPr>
        <sz val="10"/>
        <rFont val="Arial"/>
        <family val="0"/>
        <charset val="1"/>
      </rPr>
      <t xml:space="preserve">23</t>
    </r>
  </si>
  <si>
    <t xml:space="preserve">欧冶</t>
  </si>
  <si>
    <r>
      <rPr>
        <sz val="10"/>
        <rFont val="Arial"/>
        <family val="0"/>
        <charset val="1"/>
      </rPr>
      <t xml:space="preserve">E = D − 23×</t>
    </r>
    <r>
      <rPr>
        <sz val="10"/>
        <rFont val="Noto Sans CJK SC"/>
        <family val="2"/>
      </rPr>
      <t xml:space="preserve">吨位</t>
    </r>
  </si>
  <si>
    <t xml:space="preserve">结算额 − 垫资</t>
  </si>
  <si>
    <t xml:space="preserve">付供货厂</t>
  </si>
  <si>
    <r>
      <rPr>
        <sz val="10"/>
        <rFont val="Arial"/>
        <family val="0"/>
        <charset val="1"/>
      </rPr>
      <t xml:space="preserve">F = INT(D − 40×</t>
    </r>
    <r>
      <rPr>
        <sz val="10"/>
        <rFont val="Noto Sans CJK SC"/>
        <family val="2"/>
      </rPr>
      <t xml:space="preserve">吨位</t>
    </r>
    <r>
      <rPr>
        <sz val="10"/>
        <rFont val="Arial"/>
        <family val="0"/>
        <charset val="1"/>
      </rPr>
      <t xml:space="preserve">)</t>
    </r>
  </si>
  <si>
    <t xml:space="preserve">结算额 − 毛服务费</t>
  </si>
  <si>
    <t xml:space="preserve">毛服务费</t>
  </si>
  <si>
    <r>
      <rPr>
        <sz val="10"/>
        <rFont val="Arial"/>
        <family val="0"/>
        <charset val="1"/>
      </rPr>
      <t xml:space="preserve">D − F ≈ 40 × </t>
    </r>
    <r>
      <rPr>
        <sz val="10"/>
        <rFont val="Noto Sans CJK SC"/>
        <family val="2"/>
      </rPr>
      <t xml:space="preserve">吨位</t>
    </r>
  </si>
  <si>
    <r>
      <rPr>
        <sz val="10"/>
        <rFont val="Noto Sans CJK SC"/>
        <family val="2"/>
      </rPr>
      <t xml:space="preserve">吨位 </t>
    </r>
    <r>
      <rPr>
        <sz val="10"/>
        <rFont val="Arial"/>
        <family val="0"/>
        <charset val="1"/>
      </rPr>
      <t xml:space="preserve">× 40</t>
    </r>
  </si>
  <si>
    <r>
      <rPr>
        <sz val="10"/>
        <rFont val="Arial"/>
        <family val="0"/>
        <charset val="1"/>
      </rPr>
      <t xml:space="preserve">15 × </t>
    </r>
    <r>
      <rPr>
        <sz val="10"/>
        <rFont val="Noto Sans CJK SC"/>
        <family val="2"/>
      </rPr>
      <t xml:space="preserve">吨位</t>
    </r>
  </si>
  <si>
    <r>
      <rPr>
        <sz val="10"/>
        <rFont val="Noto Sans CJK SC"/>
        <family val="2"/>
      </rPr>
      <t xml:space="preserve">费率与关系：林凯带票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</t>
    </r>
  </si>
  <si>
    <r>
      <rPr>
        <b val="true"/>
        <sz val="10"/>
        <rFont val="Arial"/>
        <family val="0"/>
        <charset val="1"/>
      </rPr>
      <t xml:space="preserve">E − F + 25×</t>
    </r>
    <r>
      <rPr>
        <b val="true"/>
        <sz val="10"/>
        <rFont val="Noto Sans CJK SC"/>
        <family val="2"/>
      </rPr>
      <t xml:space="preserve">吨位 − </t>
    </r>
    <r>
      <rPr>
        <b val="true"/>
        <sz val="10"/>
        <rFont val="Arial"/>
        <family val="0"/>
        <charset val="1"/>
      </rPr>
      <t xml:space="preserve">15×</t>
    </r>
    <r>
      <rPr>
        <b val="true"/>
        <sz val="10"/>
        <rFont val="Noto Sans CJK SC"/>
        <family val="2"/>
      </rPr>
      <t xml:space="preserve">吨位（</t>
    </r>
    <r>
      <rPr>
        <b val="true"/>
        <sz val="10"/>
        <rFont val="Arial"/>
        <family val="0"/>
        <charset val="1"/>
      </rPr>
      <t xml:space="preserve">=27</t>
    </r>
    <r>
      <rPr>
        <b val="true"/>
        <sz val="10"/>
        <rFont val="Noto Sans CJK SC"/>
        <family val="2"/>
      </rPr>
      <t xml:space="preserve">元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吨）</t>
    </r>
  </si>
  <si>
    <r>
      <rPr>
        <b val="true"/>
        <sz val="10"/>
        <rFont val="Noto Sans CJK SC"/>
        <family val="2"/>
      </rPr>
      <t xml:space="preserve">毛服务费 − 垫资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量补 − 提成</t>
    </r>
  </si>
  <si>
    <t xml:space="preserve">规则说明（本次统一）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</si>
  <si>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切割费：由客户承担。钢厂结算单里已经从结算额扣掉，给客户付款也按扣后的结算额算，所以利润里不再扣（以前系统重复扣了，已改）。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</si>
  <si>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王荣胜 </t>
    </r>
    <r>
      <rPr>
        <sz val="10"/>
        <rFont val="Arial"/>
        <family val="0"/>
        <charset val="1"/>
      </rPr>
      <t xml:space="preserve">8/29 </t>
    </r>
    <r>
      <rPr>
        <sz val="10"/>
        <rFont val="Noto Sans CJK SC"/>
        <family val="2"/>
      </rPr>
      <t xml:space="preserve">鲁济宁货</t>
    </r>
    <r>
      <rPr>
        <sz val="10"/>
        <rFont val="Arial"/>
        <family val="0"/>
        <charset val="1"/>
      </rPr>
      <t xml:space="preserve">4095</t>
    </r>
    <r>
      <rPr>
        <sz val="10"/>
        <rFont val="Noto Sans CJK SC"/>
        <family val="2"/>
      </rPr>
      <t xml:space="preserve">：特批按 </t>
    </r>
    <r>
      <rPr>
        <sz val="10"/>
        <rFont val="Arial"/>
        <family val="0"/>
        <charset val="1"/>
      </rPr>
      <t xml:space="preserve">13.8% </t>
    </r>
    <r>
      <rPr>
        <sz val="10"/>
        <rFont val="Noto Sans CJK SC"/>
        <family val="2"/>
      </rPr>
      <t xml:space="preserve">给客户付款（</t>
    </r>
    <r>
      <rPr>
        <sz val="10"/>
        <rFont val="Arial"/>
        <family val="0"/>
        <charset val="1"/>
      </rPr>
      <t xml:space="preserve">×0.862</t>
    </r>
    <r>
      <rPr>
        <sz val="10"/>
        <rFont val="Noto Sans CJK SC"/>
        <family val="2"/>
      </rPr>
      <t xml:space="preserve">），系统在这一车的“本车费率”里设了。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</si>
  <si>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林凯配票提成：</t>
    </r>
    <r>
      <rPr>
        <sz val="10"/>
        <rFont val="Arial"/>
        <family val="0"/>
        <charset val="1"/>
      </rPr>
      <t xml:space="preserve">9/04 </t>
    </r>
    <r>
      <rPr>
        <sz val="10"/>
        <rFont val="Noto Sans CJK SC"/>
        <family val="2"/>
      </rPr>
      <t xml:space="preserve">以前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吨，</t>
    </r>
    <r>
      <rPr>
        <sz val="10"/>
        <rFont val="Arial"/>
        <family val="0"/>
        <charset val="1"/>
      </rPr>
      <t xml:space="preserve">9/05 </t>
    </r>
    <r>
      <rPr>
        <sz val="10"/>
        <rFont val="Noto Sans CJK SC"/>
        <family val="2"/>
      </rPr>
      <t xml:space="preserve">起停。带票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吨不变。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</si>
  <si>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量补：</t>
    </r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那期按约定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吨（已写进这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车的本车费率固定下来），</t>
    </r>
    <r>
      <rPr>
        <sz val="10"/>
        <rFont val="Arial"/>
        <family val="0"/>
        <charset val="1"/>
      </rPr>
      <t xml:space="preserve">8/26 </t>
    </r>
    <r>
      <rPr>
        <sz val="10"/>
        <rFont val="Noto Sans CJK SC"/>
        <family val="2"/>
      </rPr>
      <t xml:space="preserve">起按阶梯 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元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吨。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</si>
  <si>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财务“实际付款”用 </t>
    </r>
    <r>
      <rPr>
        <sz val="10"/>
        <rFont val="Arial"/>
        <family val="0"/>
        <charset val="1"/>
      </rPr>
      <t xml:space="preserve">INT() </t>
    </r>
    <r>
      <rPr>
        <sz val="10"/>
        <rFont val="Noto Sans CJK SC"/>
        <family val="2"/>
      </rPr>
      <t xml:space="preserve">向下取整，每车差几毛钱，系统不取整；对比表里标灰“</t>
    </r>
    <r>
      <rPr>
        <sz val="10"/>
        <rFont val="Arial"/>
        <family val="0"/>
        <charset val="1"/>
      </rPr>
      <t xml:space="preserve">INT”</t>
    </r>
    <r>
      <rPr>
        <sz val="10"/>
        <rFont val="Noto Sans CJK SC"/>
        <family val="2"/>
      </rPr>
      <t xml:space="preserve">，可忽略。</t>
    </r>
  </si>
  <si>
    <t xml:space="preserve">车次</t>
  </si>
  <si>
    <t xml:space="preserve">结算日期</t>
  </si>
  <si>
    <t xml:space="preserve">改了什么（改前 → 改后）</t>
  </si>
  <si>
    <t xml:space="preserve">同步前系统利润</t>
  </si>
  <si>
    <t xml:space="preserve">同步后系统利润</t>
  </si>
  <si>
    <t xml:space="preserve">利润变化</t>
  </si>
  <si>
    <t xml:space="preserve">同步前票差留存</t>
  </si>
  <si>
    <t xml:space="preserve">同步后票差留存</t>
  </si>
  <si>
    <t xml:space="preserve">原因</t>
  </si>
  <si>
    <r>
      <rPr>
        <sz val="10"/>
        <rFont val="Noto Sans CJK SC"/>
        <family val="2"/>
      </rPr>
      <t xml:space="preserve">本车费率：</t>
    </r>
    <r>
      <rPr>
        <sz val="10"/>
        <rFont val="Arial"/>
        <family val="0"/>
        <charset val="1"/>
      </rPr>
      <t xml:space="preserve">None → {"rate:reward_profit": 20.0}</t>
    </r>
  </si>
  <si>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那期量补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固定进本车费率（利润不变）</t>
    </r>
  </si>
  <si>
    <r>
      <rPr>
        <sz val="10"/>
        <rFont val="Noto Sans CJK SC"/>
        <family val="2"/>
      </rPr>
      <t xml:space="preserve">调货人：（空） → 林凯；本车费率：</t>
    </r>
    <r>
      <rPr>
        <sz val="10"/>
        <rFont val="Arial"/>
        <family val="0"/>
        <charset val="1"/>
      </rPr>
      <t xml:space="preserve">None → {"rate:reward_profit": 20.0}</t>
    </r>
  </si>
  <si>
    <r>
      <rPr>
        <sz val="10"/>
        <rFont val="Noto Sans CJK SC"/>
        <family val="2"/>
      </rPr>
      <t xml:space="preserve">按财务标记同步；</t>
    </r>
    <r>
      <rPr>
        <sz val="10"/>
        <rFont val="Arial"/>
        <family val="0"/>
        <charset val="1"/>
      </rPr>
      <t xml:space="preserve">7/26~8/25 </t>
    </r>
    <r>
      <rPr>
        <sz val="10"/>
        <rFont val="Noto Sans CJK SC"/>
        <family val="2"/>
      </rPr>
      <t xml:space="preserve">那期量补 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固定进本车费率（利润不变）</t>
    </r>
  </si>
  <si>
    <t xml:space="preserve">按财务标记同步</t>
  </si>
  <si>
    <t xml:space="preserve">票源：俊兴 → （空）；链条规则：配票 → 直签带票</t>
  </si>
  <si>
    <t xml:space="preserve">切割费客户承担，利润不再扣</t>
  </si>
  <si>
    <r>
      <rPr>
        <sz val="10"/>
        <rFont val="Noto Sans CJK SC"/>
        <family val="2"/>
      </rPr>
      <t xml:space="preserve">调货人：（空） → 王荣胜；本车费率：</t>
    </r>
    <r>
      <rPr>
        <sz val="10"/>
        <rFont val="Arial"/>
        <family val="0"/>
        <charset val="1"/>
      </rPr>
      <t xml:space="preserve">None → {"rate:give_customer": 13.8}</t>
    </r>
  </si>
  <si>
    <r>
      <rPr>
        <sz val="10"/>
        <rFont val="Noto Sans CJK SC"/>
        <family val="2"/>
      </rPr>
      <t xml:space="preserve">按财务标记同步；王荣胜特批 </t>
    </r>
    <r>
      <rPr>
        <sz val="10"/>
        <rFont val="Arial"/>
        <family val="0"/>
        <charset val="1"/>
      </rPr>
      <t xml:space="preserve">13.8%</t>
    </r>
  </si>
  <si>
    <t xml:space="preserve">票源：益周 → 俊兴</t>
  </si>
  <si>
    <t xml:space="preserve">供货厂：俊兴 → 尹鹏飞；票源：俊兴 → 益周</t>
  </si>
  <si>
    <r>
      <rPr>
        <sz val="10"/>
        <rFont val="Noto Sans CJK SC"/>
        <family val="2"/>
      </rPr>
      <t xml:space="preserve">票源：益周 → 俊兴；其他成本：</t>
    </r>
    <r>
      <rPr>
        <sz val="10"/>
        <rFont val="Arial"/>
        <family val="0"/>
        <charset val="1"/>
      </rPr>
      <t xml:space="preserve">-16310.0 → 0.0</t>
    </r>
  </si>
  <si>
    <r>
      <rPr>
        <sz val="10"/>
        <rFont val="Noto Sans CJK SC"/>
        <family val="2"/>
      </rPr>
      <t xml:space="preserve">按财务标记同步；切割费客户承担，利润不再扣；去掉以前的 −</t>
    </r>
    <r>
      <rPr>
        <sz val="10"/>
        <rFont val="Arial"/>
        <family val="0"/>
        <charset val="1"/>
      </rPr>
      <t xml:space="preserve">16310 </t>
    </r>
    <r>
      <rPr>
        <sz val="10"/>
        <rFont val="Noto Sans CJK SC"/>
        <family val="2"/>
      </rPr>
      <t xml:space="preserve">冲抵</t>
    </r>
  </si>
  <si>
    <t xml:space="preserve">票源：益周 → 煌烽</t>
  </si>
  <si>
    <t xml:space="preserve">供货厂：君盛 → 力拓；票源：俊兴 → （空）；链条规则：户头通道 → 直签带票</t>
  </si>
  <si>
    <t xml:space="preserve">票源：俊兴 → （空）；链条规则：户头通道 → 直签带票</t>
  </si>
  <si>
    <t xml:space="preserve">按财务标记同步；切割费客户承担，利润不再扣</t>
  </si>
  <si>
    <t xml:space="preserve">票源：俊兴 → 煌烽</t>
  </si>
  <si>
    <t xml:space="preserve">供货厂：林凯 → 君盛；票源：俊兴 → （空）；链条规则：配票 → 直签带票</t>
  </si>
  <si>
    <t xml:space="preserve">调货人：邓晶焱 → 高栾凤；供货厂：邓晶焱 → （空）；链条规则：户头通道 → 配票</t>
  </si>
  <si>
    <t xml:space="preserve">链条规则：户头通道 → 反向</t>
  </si>
  <si>
    <t xml:space="preserve">供货厂：君盛 → 林凯；票源：（空） → 煌烽；链条规则：直签带票 → 配票</t>
  </si>
  <si>
    <r>
      <rPr>
        <sz val="9"/>
        <color rgb="FF667085"/>
        <rFont val="Noto Sans CJK SC"/>
        <family val="2"/>
      </rPr>
      <t xml:space="preserve">档案：供货厂“𠓾景通”改名“鑫景通”；新增调货人“高栾凤”“王荣胜”（提成 </t>
    </r>
    <r>
      <rPr>
        <sz val="9"/>
        <color rgb="FF667085"/>
        <rFont val="Arial"/>
        <family val="0"/>
        <charset val="1"/>
      </rPr>
      <t xml:space="preserve">0</t>
    </r>
    <r>
      <rPr>
        <sz val="9"/>
        <color rgb="FF667085"/>
        <rFont val="Noto Sans CJK SC"/>
        <family val="2"/>
      </rPr>
      <t xml:space="preserve">）。链条规则 </t>
    </r>
    <r>
      <rPr>
        <sz val="9"/>
        <color rgb="FF667085"/>
        <rFont val="Arial"/>
        <family val="0"/>
        <charset val="1"/>
      </rPr>
      <t xml:space="preserve">5 </t>
    </r>
    <r>
      <rPr>
        <sz val="9"/>
        <color rgb="FF667085"/>
        <rFont val="Noto Sans CJK SC"/>
        <family val="2"/>
      </rPr>
      <t xml:space="preserve">个模板的“其他成本”节点去掉切割费。同步前已自动备份（</t>
    </r>
    <r>
      <rPr>
        <sz val="9"/>
        <color rgb="FF667085"/>
        <rFont val="Arial"/>
        <family val="0"/>
        <charset val="1"/>
      </rPr>
      <t xml:space="preserve">data/backups/manual_20260922_063133.db</t>
    </r>
    <r>
      <rPr>
        <sz val="9"/>
        <color rgb="FF667085"/>
        <rFont val="Noto Sans CJK SC"/>
        <family val="2"/>
      </rPr>
      <t xml:space="preserve">），每项修改在「系统 → 操作记录」里可查。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</si>
</sst>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;\-"/>
    <numFmt numFmtId="166" formatCode="0.00"/>
    <numFmt numFmtId="167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9"/>
      <color rgb="FF667085"/>
      <name val="Noto Sans CJK SC"/>
      <family val="2"/>
    </font>
    <font>
      <sz val="9"/>
      <color rgb="FF667085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68"/>
        <bgColor rgb="FF333333"/>
      </patternFill>
    </fill>
    <fill>
      <patternFill patternType="solid">
        <fgColor rgb="FFF8B4B4"/>
        <bgColor rgb="FFFDD9A8"/>
      </patternFill>
    </fill>
    <fill>
      <patternFill patternType="solid">
        <fgColor rgb="FFFDD9A8"/>
        <bgColor rgb="FFF8B4B4"/>
      </patternFill>
    </fill>
    <fill>
      <patternFill patternType="solid">
        <fgColor rgb="FFCFE3FA"/>
        <bgColor rgb="FFD6F0DD"/>
      </patternFill>
    </fill>
    <fill>
      <patternFill patternType="solid">
        <fgColor rgb="FFD6F0DD"/>
        <bgColor rgb="FFCFE3FA"/>
      </patternFill>
    </fill>
    <fill>
      <patternFill patternType="solid">
        <fgColor rgb="FFEEF0F3"/>
        <bgColor rgb="FFF2F4F7"/>
      </patternFill>
    </fill>
    <fill>
      <patternFill patternType="solid">
        <fgColor rgb="FFFFF7E6"/>
        <bgColor rgb="FFF2F4F7"/>
      </patternFill>
    </fill>
    <fill>
      <patternFill patternType="solid">
        <fgColor rgb="FFEAF2FF"/>
        <bgColor rgb="FFEEF0F3"/>
      </patternFill>
    </fill>
    <fill>
      <patternFill patternType="solid">
        <fgColor rgb="FF41557A"/>
        <bgColor rgb="FF1F3A68"/>
      </patternFill>
    </fill>
    <fill>
      <patternFill patternType="solid">
        <fgColor rgb="FF8A5A00"/>
        <bgColor rgb="FF993300"/>
      </patternFill>
    </fill>
    <fill>
      <patternFill patternType="solid">
        <fgColor rgb="FF667085"/>
        <bgColor rgb="FF808080"/>
      </patternFill>
    </fill>
    <fill>
      <patternFill patternType="solid">
        <fgColor rgb="FFF2F4F7"/>
        <bgColor rgb="FFEEF0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68"/>
          <bgColor rgb="FF000000"/>
        </patternFill>
      </fill>
    </dxf>
    <dxf>
      <fill>
        <patternFill patternType="solid">
          <fgColor rgb="FFF8B4B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FE3FA"/>
          <bgColor rgb="FF000000"/>
        </patternFill>
      </fill>
    </dxf>
    <dxf>
      <fill>
        <patternFill patternType="solid">
          <fgColor rgb="FF41557A"/>
          <bgColor rgb="FF000000"/>
        </patternFill>
      </fill>
    </dxf>
    <dxf>
      <fill>
        <patternFill patternType="solid">
          <fgColor rgb="FFFDD9A8"/>
          <bgColor rgb="FF000000"/>
        </patternFill>
      </fill>
    </dxf>
    <dxf>
      <fill>
        <patternFill patternType="solid">
          <fgColor rgb="FFD6F0DD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667085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98A2B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8B4B4"/>
        </patternFill>
      </fill>
    </dxf>
    <dxf>
      <font>
        <name val="Arial"/>
        <charset val="1"/>
        <family val="0"/>
        <color rgb="FF98A2B3"/>
        <sz val="9"/>
      </font>
      <fill>
        <patternFill>
          <bgColor rgb="FFEEF0F3"/>
        </patternFill>
      </fill>
    </dxf>
    <dxf>
      <fill>
        <patternFill>
          <bgColor rgb="FFFDD9A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EEF0F3"/>
      <rgbColor rgb="FF808080"/>
      <rgbColor rgb="FF9999FF"/>
      <rgbColor rgb="FF993366"/>
      <rgbColor rgb="FFFFF7E6"/>
      <rgbColor rgb="FFEAF2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3FA"/>
      <rgbColor rgb="FFD6F0DD"/>
      <rgbColor rgb="FFF2F4F7"/>
      <rgbColor rgb="FF99CCFF"/>
      <rgbColor rgb="FFF8B4B4"/>
      <rgbColor rgb="FFCC99FF"/>
      <rgbColor rgb="FFFDD9A8"/>
      <rgbColor rgb="FF3366FF"/>
      <rgbColor rgb="FF33CCCC"/>
      <rgbColor rgb="FF99CC00"/>
      <rgbColor rgb="FFFFCC00"/>
      <rgbColor rgb="FFFF9900"/>
      <rgbColor rgb="FFFF6600"/>
      <rgbColor rgb="FF667085"/>
      <rgbColor rgb="FF98A2B3"/>
      <rgbColor rgb="FF1F3A68"/>
      <rgbColor rgb="FF339966"/>
      <rgbColor rgb="FF003300"/>
      <rgbColor rgb="FF333300"/>
      <rgbColor rgb="FF993300"/>
      <rgbColor rgb="FF993366"/>
      <rgbColor rgb="FF4155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21.6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1.5" hidden="false" customHeight="true" outlineLevel="0" collapsed="false">
      <c r="A5" s="4" t="s">
        <v>7</v>
      </c>
      <c r="B5" s="4" t="s">
        <v>8</v>
      </c>
      <c r="C5" s="4" t="n">
        <f aca="false">COUNTIF(①车次对账!K2:K102,"一致*")</f>
        <v>99</v>
      </c>
      <c r="D5" s="4" t="n">
        <f aca="false">COUNTA(①车次对账!K2:K102)-C5</f>
        <v>2</v>
      </c>
      <c r="E5" s="5" t="s">
        <v>9</v>
      </c>
    </row>
    <row r="6" customFormat="false" ht="31.5" hidden="false" customHeight="true" outlineLevel="0" collapsed="false">
      <c r="A6" s="4" t="s">
        <v>10</v>
      </c>
      <c r="B6" s="4" t="s">
        <v>11</v>
      </c>
      <c r="C6" s="4" t="n">
        <f aca="false">COUNTIF(②调货人供货厂!J2:J102,"一致")</f>
        <v>93</v>
      </c>
      <c r="D6" s="4" t="n">
        <f aca="false">COUNTA(②调货人供货厂!J2:J102)-C6</f>
        <v>8</v>
      </c>
      <c r="E6" s="4" t="s">
        <v>12</v>
      </c>
    </row>
    <row r="7" customFormat="false" ht="31.5" hidden="false" customHeight="true" outlineLevel="0" collapsed="false">
      <c r="A7" s="4" t="s">
        <v>13</v>
      </c>
      <c r="B7" s="4" t="s">
        <v>11</v>
      </c>
      <c r="C7" s="4" t="n">
        <f aca="false">COUNTIF(③票源!H2:H102,"一致")</f>
        <v>100</v>
      </c>
      <c r="D7" s="4" t="n">
        <f aca="false">COUNTA(③票源!H2:H102)-C7</f>
        <v>1</v>
      </c>
      <c r="E7" s="4" t="s">
        <v>14</v>
      </c>
    </row>
    <row r="8" customFormat="false" ht="31.5" hidden="false" customHeight="true" outlineLevel="0" collapsed="false">
      <c r="A8" s="4" t="s">
        <v>15</v>
      </c>
      <c r="B8" s="4" t="s">
        <v>11</v>
      </c>
      <c r="C8" s="4" t="n">
        <f aca="false">COUNTIF(④计算路径!H2:H102,"一致")</f>
        <v>101</v>
      </c>
      <c r="D8" s="4" t="n">
        <f aca="false">COUNTA(④计算路径!H2:H102)-C8</f>
        <v>0</v>
      </c>
      <c r="E8" s="4" t="s">
        <v>16</v>
      </c>
    </row>
    <row r="9" customFormat="false" ht="31.5" hidden="false" customHeight="true" outlineLevel="0" collapsed="false">
      <c r="A9" s="4" t="s">
        <v>17</v>
      </c>
      <c r="B9" s="4" t="s">
        <v>18</v>
      </c>
      <c r="C9" s="4" t="n">
        <f aca="false">COUNTIF(⑤计算过程对比!AI3:AI102,"&lt;=1")-COUNTIF(⑤计算过程对比!AI3:AI102,"&lt;-1")</f>
        <v>100</v>
      </c>
      <c r="D9" s="4" t="n">
        <f aca="false">COUNTIF(⑤计算过程对比!AI3:AI102,"&gt;1")+COUNTIF(⑤计算过程对比!AI3:AI102,"&lt;-1")</f>
        <v>0</v>
      </c>
      <c r="E9" s="4" t="s">
        <v>19</v>
      </c>
    </row>
    <row r="11" customFormat="false" ht="15" hidden="false" customHeight="false" outlineLevel="0" collapsed="false">
      <c r="A11" s="6" t="s">
        <v>20</v>
      </c>
    </row>
    <row r="12" customFormat="false" ht="21.75" hidden="false" customHeight="true" outlineLevel="0" collapsed="false">
      <c r="A12" s="3" t="s">
        <v>21</v>
      </c>
      <c r="B12" s="3" t="s">
        <v>22</v>
      </c>
      <c r="C12" s="3"/>
      <c r="D12" s="3"/>
      <c r="E12" s="3" t="s">
        <v>23</v>
      </c>
    </row>
    <row r="13" customFormat="false" ht="15" hidden="false" customHeight="false" outlineLevel="0" collapsed="false">
      <c r="A13" s="7" t="s">
        <v>24</v>
      </c>
      <c r="B13" s="8" t="n">
        <f aca="false">SUM(⑥路径统计!F13)</f>
        <v>183767.04992</v>
      </c>
      <c r="C13" s="7"/>
      <c r="D13" s="7"/>
      <c r="E13" s="7" t="s">
        <v>25</v>
      </c>
    </row>
    <row r="14" customFormat="false" ht="15" hidden="false" customHeight="false" outlineLevel="0" collapsed="false">
      <c r="A14" s="7" t="s">
        <v>26</v>
      </c>
      <c r="B14" s="8" t="n">
        <f aca="false">SUM(⑥路径统计!G13)</f>
        <v>182881.4946</v>
      </c>
      <c r="C14" s="7"/>
      <c r="D14" s="7"/>
      <c r="E14" s="7" t="s">
        <v>27</v>
      </c>
    </row>
    <row r="15" customFormat="false" ht="15" hidden="false" customHeight="false" outlineLevel="0" collapsed="false">
      <c r="A15" s="9" t="s">
        <v>28</v>
      </c>
      <c r="B15" s="10" t="n">
        <f aca="false">B14-B13</f>
        <v>-885.555319999898</v>
      </c>
      <c r="C15" s="9"/>
      <c r="D15" s="9"/>
      <c r="E15" s="9"/>
    </row>
    <row r="16" customFormat="false" ht="15" hidden="false" customHeight="false" outlineLevel="0" collapsed="false">
      <c r="A16" s="7" t="s">
        <v>29</v>
      </c>
      <c r="B16" s="8" t="n">
        <v>-840.5876</v>
      </c>
      <c r="C16" s="7"/>
      <c r="D16" s="7"/>
      <c r="E16" s="7" t="s">
        <v>30</v>
      </c>
    </row>
    <row r="17" customFormat="false" ht="15" hidden="false" customHeight="false" outlineLevel="0" collapsed="false">
      <c r="A17" s="7" t="s">
        <v>31</v>
      </c>
      <c r="B17" s="8" t="n">
        <f aca="false">B15-B16</f>
        <v>-44.9677199998977</v>
      </c>
      <c r="C17" s="7"/>
      <c r="D17" s="7"/>
      <c r="E17" s="11" t="s">
        <v>32</v>
      </c>
    </row>
    <row r="20" customFormat="false" ht="15" hidden="false" customHeight="false" outlineLevel="0" collapsed="false">
      <c r="A20" s="6" t="s">
        <v>33</v>
      </c>
    </row>
    <row r="21" customFormat="false" ht="15" hidden="false" customHeight="false" outlineLevel="0" collapsed="false">
      <c r="A21" s="12"/>
      <c r="B21" s="13" t="s">
        <v>34</v>
      </c>
      <c r="C21" s="13"/>
      <c r="D21" s="13"/>
      <c r="E21" s="13"/>
    </row>
    <row r="22" customFormat="false" ht="15" hidden="false" customHeight="false" outlineLevel="0" collapsed="false">
      <c r="A22" s="14"/>
      <c r="B22" s="13" t="s">
        <v>35</v>
      </c>
      <c r="C22" s="13"/>
      <c r="D22" s="13"/>
      <c r="E22" s="13"/>
    </row>
    <row r="23" customFormat="false" ht="15" hidden="false" customHeight="false" outlineLevel="0" collapsed="false">
      <c r="A23" s="15"/>
      <c r="B23" s="13" t="s">
        <v>36</v>
      </c>
      <c r="C23" s="13"/>
      <c r="D23" s="13"/>
      <c r="E23" s="13"/>
    </row>
    <row r="24" customFormat="false" ht="15" hidden="false" customHeight="false" outlineLevel="0" collapsed="false">
      <c r="A24" s="16"/>
      <c r="B24" s="13" t="s">
        <v>37</v>
      </c>
      <c r="C24" s="13"/>
      <c r="D24" s="13"/>
      <c r="E24" s="13"/>
    </row>
    <row r="25" customFormat="false" ht="15" hidden="false" customHeight="false" outlineLevel="0" collapsed="false">
      <c r="A25" s="17"/>
      <c r="B25" s="13" t="s">
        <v>38</v>
      </c>
      <c r="C25" s="13"/>
      <c r="D25" s="13"/>
      <c r="E25" s="13"/>
    </row>
    <row r="26" customFormat="false" ht="15" hidden="false" customHeight="false" outlineLevel="0" collapsed="false">
      <c r="A26" s="18"/>
      <c r="B26" s="13" t="s">
        <v>39</v>
      </c>
      <c r="C26" s="13"/>
      <c r="D26" s="13"/>
      <c r="E26" s="13"/>
    </row>
    <row r="27" customFormat="false" ht="15" hidden="false" customHeight="false" outlineLevel="0" collapsed="false">
      <c r="A27" s="19"/>
      <c r="B27" s="13" t="s">
        <v>40</v>
      </c>
      <c r="C27" s="13"/>
      <c r="D27" s="13"/>
      <c r="E27" s="13"/>
    </row>
    <row r="29" customFormat="false" ht="15" hidden="false" customHeight="false" outlineLevel="0" collapsed="false">
      <c r="A29" s="6" t="s">
        <v>41</v>
      </c>
    </row>
    <row r="30" customFormat="false" ht="15" hidden="false" customHeight="false" outlineLevel="0" collapsed="false">
      <c r="A30" s="13" t="s">
        <v>42</v>
      </c>
      <c r="B30" s="13"/>
      <c r="C30" s="13"/>
      <c r="D30" s="13"/>
      <c r="E30" s="13"/>
    </row>
    <row r="31" customFormat="false" ht="15" hidden="false" customHeight="false" outlineLevel="0" collapsed="false">
      <c r="A31" s="13" t="s">
        <v>43</v>
      </c>
      <c r="B31" s="13"/>
      <c r="C31" s="13"/>
      <c r="D31" s="13"/>
      <c r="E31" s="13"/>
    </row>
    <row r="32" customFormat="false" ht="15" hidden="false" customHeight="false" outlineLevel="0" collapsed="false">
      <c r="A32" s="13" t="s">
        <v>44</v>
      </c>
      <c r="B32" s="13"/>
      <c r="C32" s="13"/>
      <c r="D32" s="13"/>
      <c r="E32" s="13"/>
    </row>
  </sheetData>
  <mergeCells count="11">
    <mergeCell ref="A2:F2"/>
    <mergeCell ref="B21:E21"/>
    <mergeCell ref="B22:E22"/>
    <mergeCell ref="B23:E23"/>
    <mergeCell ref="B24:E24"/>
    <mergeCell ref="B25:E25"/>
    <mergeCell ref="B26:E26"/>
    <mergeCell ref="B27:E27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20" t="s">
        <v>11</v>
      </c>
      <c r="G1" s="20" t="s">
        <v>50</v>
      </c>
      <c r="H1" s="20" t="s">
        <v>51</v>
      </c>
      <c r="I1" s="20" t="s">
        <v>52</v>
      </c>
      <c r="J1" s="20" t="s">
        <v>53</v>
      </c>
      <c r="K1" s="3" t="s">
        <v>54</v>
      </c>
      <c r="L1" s="3" t="s">
        <v>23</v>
      </c>
    </row>
    <row r="2" customFormat="false" ht="15" hidden="false" customHeight="false" outlineLevel="0" collapsed="false">
      <c r="A2" s="21" t="s">
        <v>55</v>
      </c>
      <c r="B2" s="21" t="n">
        <v>2</v>
      </c>
      <c r="C2" s="22" t="s">
        <v>56</v>
      </c>
      <c r="D2" s="23" t="n">
        <v>73.58</v>
      </c>
      <c r="E2" s="24" t="n">
        <v>168498.2</v>
      </c>
      <c r="F2" s="22" t="s">
        <v>57</v>
      </c>
      <c r="G2" s="21" t="s">
        <v>58</v>
      </c>
      <c r="H2" s="22" t="s">
        <v>56</v>
      </c>
      <c r="I2" s="23" t="n">
        <v>73.58</v>
      </c>
      <c r="J2" s="24" t="n">
        <v>168498.2</v>
      </c>
      <c r="K2" s="25" t="s">
        <v>4</v>
      </c>
      <c r="L2" s="4"/>
    </row>
    <row r="3" customFormat="false" ht="15" hidden="false" customHeight="false" outlineLevel="0" collapsed="false">
      <c r="A3" s="21" t="s">
        <v>55</v>
      </c>
      <c r="B3" s="21" t="n">
        <v>3</v>
      </c>
      <c r="C3" s="22" t="s">
        <v>59</v>
      </c>
      <c r="D3" s="23" t="n">
        <v>34.8</v>
      </c>
      <c r="E3" s="24" t="n">
        <v>84564</v>
      </c>
      <c r="F3" s="22" t="s">
        <v>60</v>
      </c>
      <c r="G3" s="21" t="s">
        <v>61</v>
      </c>
      <c r="H3" s="22" t="s">
        <v>59</v>
      </c>
      <c r="I3" s="23" t="n">
        <v>34.8</v>
      </c>
      <c r="J3" s="24" t="n">
        <v>84564</v>
      </c>
      <c r="K3" s="25" t="s">
        <v>4</v>
      </c>
      <c r="L3" s="4"/>
    </row>
    <row r="4" customFormat="false" ht="15" hidden="false" customHeight="false" outlineLevel="0" collapsed="false">
      <c r="A4" s="21" t="s">
        <v>55</v>
      </c>
      <c r="B4" s="21" t="n">
        <v>4</v>
      </c>
      <c r="C4" s="22" t="s">
        <v>62</v>
      </c>
      <c r="D4" s="23" t="n">
        <v>81.16</v>
      </c>
      <c r="E4" s="24" t="n">
        <v>201276.8</v>
      </c>
      <c r="F4" s="22" t="s">
        <v>63</v>
      </c>
      <c r="G4" s="21" t="s">
        <v>58</v>
      </c>
      <c r="H4" s="22" t="s">
        <v>62</v>
      </c>
      <c r="I4" s="23" t="n">
        <v>81.16</v>
      </c>
      <c r="J4" s="24" t="n">
        <v>201276.8</v>
      </c>
      <c r="K4" s="25" t="s">
        <v>4</v>
      </c>
      <c r="L4" s="4"/>
    </row>
    <row r="5" customFormat="false" ht="15" hidden="false" customHeight="false" outlineLevel="0" collapsed="false">
      <c r="A5" s="21" t="s">
        <v>55</v>
      </c>
      <c r="B5" s="21" t="n">
        <v>5</v>
      </c>
      <c r="C5" s="22" t="s">
        <v>62</v>
      </c>
      <c r="D5" s="23" t="n">
        <v>36.36</v>
      </c>
      <c r="E5" s="24" t="n">
        <v>83264.4</v>
      </c>
      <c r="F5" s="22" t="s">
        <v>64</v>
      </c>
      <c r="G5" s="21" t="s">
        <v>65</v>
      </c>
      <c r="H5" s="22" t="s">
        <v>62</v>
      </c>
      <c r="I5" s="23" t="n">
        <v>36.36</v>
      </c>
      <c r="J5" s="24" t="n">
        <v>83264.4</v>
      </c>
      <c r="K5" s="25" t="s">
        <v>4</v>
      </c>
      <c r="L5" s="4"/>
    </row>
    <row r="6" customFormat="false" ht="15" hidden="false" customHeight="false" outlineLevel="0" collapsed="false">
      <c r="A6" s="21" t="s">
        <v>55</v>
      </c>
      <c r="B6" s="21" t="n">
        <v>6</v>
      </c>
      <c r="C6" s="22" t="s">
        <v>62</v>
      </c>
      <c r="D6" s="23" t="n">
        <v>32.94</v>
      </c>
      <c r="E6" s="24" t="n">
        <v>75432.6</v>
      </c>
      <c r="F6" s="22" t="s">
        <v>66</v>
      </c>
      <c r="G6" s="21" t="s">
        <v>67</v>
      </c>
      <c r="H6" s="22" t="s">
        <v>62</v>
      </c>
      <c r="I6" s="23" t="n">
        <v>32.94</v>
      </c>
      <c r="J6" s="24" t="n">
        <v>75432.6</v>
      </c>
      <c r="K6" s="25" t="s">
        <v>4</v>
      </c>
      <c r="L6" s="4"/>
    </row>
    <row r="7" customFormat="false" ht="15" hidden="false" customHeight="false" outlineLevel="0" collapsed="false">
      <c r="A7" s="21" t="s">
        <v>55</v>
      </c>
      <c r="B7" s="21" t="n">
        <v>7</v>
      </c>
      <c r="C7" s="22" t="s">
        <v>62</v>
      </c>
      <c r="D7" s="23" t="n">
        <v>24.41</v>
      </c>
      <c r="E7" s="24" t="n">
        <v>59023.38</v>
      </c>
      <c r="F7" s="22" t="s">
        <v>68</v>
      </c>
      <c r="G7" s="21" t="s">
        <v>69</v>
      </c>
      <c r="H7" s="22" t="s">
        <v>62</v>
      </c>
      <c r="I7" s="23" t="n">
        <v>24.41</v>
      </c>
      <c r="J7" s="24" t="n">
        <v>59023.38</v>
      </c>
      <c r="K7" s="25" t="s">
        <v>4</v>
      </c>
      <c r="L7" s="4"/>
    </row>
    <row r="8" customFormat="false" ht="15" hidden="false" customHeight="false" outlineLevel="0" collapsed="false">
      <c r="A8" s="21" t="s">
        <v>55</v>
      </c>
      <c r="B8" s="21" t="n">
        <v>8</v>
      </c>
      <c r="C8" s="22" t="s">
        <v>70</v>
      </c>
      <c r="D8" s="23" t="n">
        <v>69.5</v>
      </c>
      <c r="E8" s="24" t="n">
        <v>159155</v>
      </c>
      <c r="F8" s="22" t="s">
        <v>71</v>
      </c>
      <c r="G8" s="21" t="s">
        <v>58</v>
      </c>
      <c r="H8" s="22" t="s">
        <v>70</v>
      </c>
      <c r="I8" s="23" t="n">
        <v>69.5</v>
      </c>
      <c r="J8" s="24" t="n">
        <v>159155</v>
      </c>
      <c r="K8" s="25" t="s">
        <v>4</v>
      </c>
      <c r="L8" s="4"/>
    </row>
    <row r="9" customFormat="false" ht="15" hidden="false" customHeight="false" outlineLevel="0" collapsed="false">
      <c r="A9" s="21" t="s">
        <v>55</v>
      </c>
      <c r="B9" s="21" t="n">
        <v>9</v>
      </c>
      <c r="C9" s="22" t="s">
        <v>70</v>
      </c>
      <c r="D9" s="23" t="n">
        <v>34.24</v>
      </c>
      <c r="E9" s="24" t="n">
        <v>78409.6</v>
      </c>
      <c r="F9" s="22" t="s">
        <v>72</v>
      </c>
      <c r="G9" s="21" t="s">
        <v>73</v>
      </c>
      <c r="H9" s="22" t="s">
        <v>70</v>
      </c>
      <c r="I9" s="23" t="n">
        <v>34.24</v>
      </c>
      <c r="J9" s="24" t="n">
        <v>78409.6</v>
      </c>
      <c r="K9" s="25" t="s">
        <v>4</v>
      </c>
      <c r="L9" s="4"/>
    </row>
    <row r="10" customFormat="false" ht="15" hidden="false" customHeight="false" outlineLevel="0" collapsed="false">
      <c r="A10" s="21" t="s">
        <v>55</v>
      </c>
      <c r="B10" s="21" t="n">
        <v>10</v>
      </c>
      <c r="C10" s="22" t="s">
        <v>74</v>
      </c>
      <c r="D10" s="23" t="n">
        <v>81</v>
      </c>
      <c r="E10" s="24" t="n">
        <v>184032</v>
      </c>
      <c r="F10" s="22" t="s">
        <v>75</v>
      </c>
      <c r="G10" s="21" t="s">
        <v>76</v>
      </c>
      <c r="H10" s="22" t="s">
        <v>74</v>
      </c>
      <c r="I10" s="23" t="n">
        <v>81</v>
      </c>
      <c r="J10" s="24" t="n">
        <v>184032</v>
      </c>
      <c r="K10" s="25" t="s">
        <v>4</v>
      </c>
      <c r="L10" s="4"/>
    </row>
    <row r="11" customFormat="false" ht="15" hidden="false" customHeight="false" outlineLevel="0" collapsed="false">
      <c r="A11" s="21" t="s">
        <v>55</v>
      </c>
      <c r="B11" s="21" t="n">
        <v>11</v>
      </c>
      <c r="C11" s="26" t="s">
        <v>77</v>
      </c>
      <c r="D11" s="23" t="n">
        <v>560.39</v>
      </c>
      <c r="E11" s="24" t="n">
        <v>1344115.89</v>
      </c>
      <c r="F11" s="22" t="s">
        <v>78</v>
      </c>
      <c r="G11" s="21" t="s">
        <v>79</v>
      </c>
      <c r="H11" s="26" t="s">
        <v>80</v>
      </c>
      <c r="I11" s="23" t="n">
        <v>560.39</v>
      </c>
      <c r="J11" s="24" t="n">
        <v>1344115.89</v>
      </c>
      <c r="K11" s="27" t="s">
        <v>81</v>
      </c>
      <c r="L11" s="4" t="s">
        <v>82</v>
      </c>
    </row>
    <row r="12" customFormat="false" ht="15" hidden="false" customHeight="false" outlineLevel="0" collapsed="false">
      <c r="A12" s="21" t="s">
        <v>55</v>
      </c>
      <c r="B12" s="21" t="n">
        <v>12</v>
      </c>
      <c r="C12" s="22" t="s">
        <v>80</v>
      </c>
      <c r="D12" s="23" t="n">
        <v>40.27</v>
      </c>
      <c r="E12" s="24" t="n">
        <v>93426.4</v>
      </c>
      <c r="F12" s="22" t="s">
        <v>83</v>
      </c>
      <c r="G12" s="21" t="s">
        <v>84</v>
      </c>
      <c r="H12" s="22" t="s">
        <v>80</v>
      </c>
      <c r="I12" s="23" t="n">
        <v>40.27</v>
      </c>
      <c r="J12" s="24" t="n">
        <v>93426.4</v>
      </c>
      <c r="K12" s="25" t="s">
        <v>4</v>
      </c>
      <c r="L12" s="4"/>
    </row>
    <row r="13" customFormat="false" ht="15" hidden="false" customHeight="false" outlineLevel="0" collapsed="false">
      <c r="A13" s="21" t="s">
        <v>55</v>
      </c>
      <c r="B13" s="21" t="n">
        <v>13</v>
      </c>
      <c r="C13" s="22" t="s">
        <v>80</v>
      </c>
      <c r="D13" s="23" t="n">
        <v>34.3</v>
      </c>
      <c r="E13" s="24" t="n">
        <v>84206.5</v>
      </c>
      <c r="F13" s="22" t="s">
        <v>85</v>
      </c>
      <c r="G13" s="21" t="s">
        <v>61</v>
      </c>
      <c r="H13" s="22" t="s">
        <v>80</v>
      </c>
      <c r="I13" s="23" t="n">
        <v>34.3</v>
      </c>
      <c r="J13" s="24" t="n">
        <v>84206.5</v>
      </c>
      <c r="K13" s="25" t="s">
        <v>4</v>
      </c>
      <c r="L13" s="4"/>
    </row>
    <row r="14" customFormat="false" ht="15" hidden="false" customHeight="false" outlineLevel="0" collapsed="false">
      <c r="A14" s="21" t="s">
        <v>55</v>
      </c>
      <c r="B14" s="21" t="n">
        <v>14</v>
      </c>
      <c r="C14" s="22" t="s">
        <v>80</v>
      </c>
      <c r="D14" s="23" t="n">
        <v>32.05</v>
      </c>
      <c r="E14" s="24" t="n">
        <v>78682.75</v>
      </c>
      <c r="F14" s="22" t="s">
        <v>86</v>
      </c>
      <c r="G14" s="21" t="s">
        <v>87</v>
      </c>
      <c r="H14" s="22" t="s">
        <v>80</v>
      </c>
      <c r="I14" s="23" t="n">
        <v>32.05</v>
      </c>
      <c r="J14" s="24" t="n">
        <v>78682.75</v>
      </c>
      <c r="K14" s="25" t="s">
        <v>4</v>
      </c>
      <c r="L14" s="4"/>
    </row>
    <row r="15" customFormat="false" ht="15" hidden="false" customHeight="false" outlineLevel="0" collapsed="false">
      <c r="A15" s="21" t="s">
        <v>55</v>
      </c>
      <c r="B15" s="21" t="n">
        <v>15</v>
      </c>
      <c r="C15" s="22" t="s">
        <v>80</v>
      </c>
      <c r="D15" s="23" t="n">
        <v>28.47</v>
      </c>
      <c r="E15" s="24" t="n">
        <v>68569.64</v>
      </c>
      <c r="F15" s="22" t="s">
        <v>88</v>
      </c>
      <c r="G15" s="21" t="s">
        <v>89</v>
      </c>
      <c r="H15" s="22" t="s">
        <v>80</v>
      </c>
      <c r="I15" s="23" t="n">
        <v>28.47</v>
      </c>
      <c r="J15" s="24" t="n">
        <v>68569.64</v>
      </c>
      <c r="K15" s="25" t="s">
        <v>4</v>
      </c>
      <c r="L15" s="4"/>
    </row>
    <row r="16" customFormat="false" ht="15" hidden="false" customHeight="false" outlineLevel="0" collapsed="false">
      <c r="A16" s="21" t="s">
        <v>55</v>
      </c>
      <c r="B16" s="21" t="n">
        <v>16</v>
      </c>
      <c r="C16" s="22" t="s">
        <v>80</v>
      </c>
      <c r="D16" s="23" t="n">
        <v>48.38</v>
      </c>
      <c r="E16" s="24" t="n">
        <v>116112</v>
      </c>
      <c r="F16" s="22" t="s">
        <v>90</v>
      </c>
      <c r="G16" s="21" t="s">
        <v>91</v>
      </c>
      <c r="H16" s="22" t="s">
        <v>80</v>
      </c>
      <c r="I16" s="23" t="n">
        <v>48.38</v>
      </c>
      <c r="J16" s="24" t="n">
        <v>116112</v>
      </c>
      <c r="K16" s="25" t="s">
        <v>4</v>
      </c>
      <c r="L16" s="4"/>
    </row>
    <row r="17" customFormat="false" ht="15" hidden="false" customHeight="false" outlineLevel="0" collapsed="false">
      <c r="A17" s="21" t="s">
        <v>55</v>
      </c>
      <c r="B17" s="21" t="n">
        <v>17</v>
      </c>
      <c r="C17" s="22" t="s">
        <v>92</v>
      </c>
      <c r="D17" s="23" t="n">
        <v>81.9</v>
      </c>
      <c r="E17" s="24" t="n">
        <v>191646</v>
      </c>
      <c r="F17" s="22" t="s">
        <v>93</v>
      </c>
      <c r="G17" s="21" t="s">
        <v>94</v>
      </c>
      <c r="H17" s="22" t="s">
        <v>92</v>
      </c>
      <c r="I17" s="23" t="n">
        <v>81.9</v>
      </c>
      <c r="J17" s="24" t="n">
        <v>191646</v>
      </c>
      <c r="K17" s="25" t="s">
        <v>4</v>
      </c>
      <c r="L17" s="4"/>
    </row>
    <row r="18" customFormat="false" ht="15" hidden="false" customHeight="false" outlineLevel="0" collapsed="false">
      <c r="A18" s="21" t="s">
        <v>55</v>
      </c>
      <c r="B18" s="21" t="n">
        <v>18</v>
      </c>
      <c r="C18" s="22" t="s">
        <v>92</v>
      </c>
      <c r="D18" s="23" t="n">
        <v>18.52</v>
      </c>
      <c r="E18" s="24" t="n">
        <v>44448</v>
      </c>
      <c r="F18" s="22" t="s">
        <v>95</v>
      </c>
      <c r="G18" s="21" t="s">
        <v>96</v>
      </c>
      <c r="H18" s="22" t="s">
        <v>92</v>
      </c>
      <c r="I18" s="23" t="n">
        <v>18.52</v>
      </c>
      <c r="J18" s="24" t="n">
        <v>44448</v>
      </c>
      <c r="K18" s="25" t="s">
        <v>4</v>
      </c>
      <c r="L18" s="4"/>
    </row>
    <row r="19" customFormat="false" ht="15" hidden="false" customHeight="false" outlineLevel="0" collapsed="false">
      <c r="A19" s="21" t="s">
        <v>55</v>
      </c>
      <c r="B19" s="21" t="n">
        <v>19</v>
      </c>
      <c r="C19" s="22" t="s">
        <v>92</v>
      </c>
      <c r="D19" s="23" t="n">
        <v>38.2</v>
      </c>
      <c r="E19" s="24" t="n">
        <v>88624</v>
      </c>
      <c r="F19" s="22" t="s">
        <v>97</v>
      </c>
      <c r="G19" s="21" t="s">
        <v>76</v>
      </c>
      <c r="H19" s="22" t="s">
        <v>92</v>
      </c>
      <c r="I19" s="23" t="n">
        <v>38.2</v>
      </c>
      <c r="J19" s="24" t="n">
        <v>88624</v>
      </c>
      <c r="K19" s="25" t="s">
        <v>4</v>
      </c>
      <c r="L19" s="4"/>
    </row>
    <row r="20" customFormat="false" ht="15" hidden="false" customHeight="false" outlineLevel="0" collapsed="false">
      <c r="A20" s="21" t="s">
        <v>55</v>
      </c>
      <c r="B20" s="21" t="n">
        <v>20</v>
      </c>
      <c r="C20" s="22" t="s">
        <v>92</v>
      </c>
      <c r="D20" s="23" t="n">
        <v>55.18</v>
      </c>
      <c r="E20" s="24" t="n">
        <v>130224.8</v>
      </c>
      <c r="F20" s="22" t="s">
        <v>98</v>
      </c>
      <c r="G20" s="21" t="s">
        <v>61</v>
      </c>
      <c r="H20" s="22" t="s">
        <v>92</v>
      </c>
      <c r="I20" s="23" t="n">
        <v>55.18</v>
      </c>
      <c r="J20" s="24" t="n">
        <v>130224.8</v>
      </c>
      <c r="K20" s="25" t="s">
        <v>4</v>
      </c>
      <c r="L20" s="4"/>
    </row>
    <row r="21" customFormat="false" ht="15" hidden="false" customHeight="false" outlineLevel="0" collapsed="false">
      <c r="A21" s="21" t="s">
        <v>55</v>
      </c>
      <c r="B21" s="21" t="n">
        <v>21</v>
      </c>
      <c r="C21" s="22" t="s">
        <v>92</v>
      </c>
      <c r="D21" s="23" t="n">
        <v>63.16</v>
      </c>
      <c r="E21" s="24" t="n">
        <v>153352.48</v>
      </c>
      <c r="F21" s="22" t="s">
        <v>99</v>
      </c>
      <c r="G21" s="21" t="s">
        <v>58</v>
      </c>
      <c r="H21" s="22" t="s">
        <v>92</v>
      </c>
      <c r="I21" s="23" t="n">
        <v>63.16</v>
      </c>
      <c r="J21" s="24" t="n">
        <v>153352.48</v>
      </c>
      <c r="K21" s="25" t="s">
        <v>4</v>
      </c>
      <c r="L21" s="4"/>
    </row>
    <row r="22" customFormat="false" ht="15" hidden="false" customHeight="false" outlineLevel="0" collapsed="false">
      <c r="A22" s="21" t="s">
        <v>55</v>
      </c>
      <c r="B22" s="21" t="n">
        <v>22</v>
      </c>
      <c r="C22" s="22" t="s">
        <v>92</v>
      </c>
      <c r="D22" s="23" t="n">
        <v>27.22</v>
      </c>
      <c r="E22" s="24" t="n">
        <v>66416.8</v>
      </c>
      <c r="F22" s="22" t="s">
        <v>100</v>
      </c>
      <c r="G22" s="21" t="s">
        <v>69</v>
      </c>
      <c r="H22" s="22" t="s">
        <v>92</v>
      </c>
      <c r="I22" s="23" t="n">
        <v>27.22</v>
      </c>
      <c r="J22" s="24" t="n">
        <v>66416.8</v>
      </c>
      <c r="K22" s="25" t="s">
        <v>4</v>
      </c>
      <c r="L22" s="4"/>
    </row>
    <row r="23" customFormat="false" ht="15" hidden="false" customHeight="false" outlineLevel="0" collapsed="false">
      <c r="A23" s="21" t="s">
        <v>55</v>
      </c>
      <c r="B23" s="21" t="n">
        <v>23</v>
      </c>
      <c r="C23" s="22" t="s">
        <v>92</v>
      </c>
      <c r="D23" s="23" t="n">
        <v>34.22</v>
      </c>
      <c r="E23" s="24" t="n">
        <v>83496.8</v>
      </c>
      <c r="F23" s="22" t="s">
        <v>101</v>
      </c>
      <c r="G23" s="21" t="s">
        <v>87</v>
      </c>
      <c r="H23" s="22" t="s">
        <v>92</v>
      </c>
      <c r="I23" s="23" t="n">
        <v>34.22</v>
      </c>
      <c r="J23" s="24" t="n">
        <v>83496.8</v>
      </c>
      <c r="K23" s="25" t="s">
        <v>4</v>
      </c>
      <c r="L23" s="4"/>
    </row>
    <row r="24" customFormat="false" ht="15" hidden="false" customHeight="false" outlineLevel="0" collapsed="false">
      <c r="A24" s="21" t="s">
        <v>55</v>
      </c>
      <c r="B24" s="21" t="n">
        <v>24</v>
      </c>
      <c r="C24" s="22" t="s">
        <v>92</v>
      </c>
      <c r="D24" s="23" t="n">
        <v>67.8</v>
      </c>
      <c r="E24" s="24" t="n">
        <v>151872</v>
      </c>
      <c r="F24" s="22" t="s">
        <v>102</v>
      </c>
      <c r="G24" s="21" t="s">
        <v>76</v>
      </c>
      <c r="H24" s="22" t="s">
        <v>92</v>
      </c>
      <c r="I24" s="23" t="n">
        <v>67.8</v>
      </c>
      <c r="J24" s="24" t="n">
        <v>151872</v>
      </c>
      <c r="K24" s="25" t="s">
        <v>4</v>
      </c>
      <c r="L24" s="4"/>
    </row>
    <row r="25" customFormat="false" ht="15" hidden="false" customHeight="false" outlineLevel="0" collapsed="false">
      <c r="A25" s="21" t="s">
        <v>55</v>
      </c>
      <c r="B25" s="21" t="n">
        <v>25</v>
      </c>
      <c r="C25" s="22" t="s">
        <v>92</v>
      </c>
      <c r="D25" s="23" t="n">
        <v>32.52</v>
      </c>
      <c r="E25" s="24" t="n">
        <v>78048</v>
      </c>
      <c r="F25" s="22" t="s">
        <v>103</v>
      </c>
      <c r="G25" s="21" t="s">
        <v>104</v>
      </c>
      <c r="H25" s="22" t="s">
        <v>92</v>
      </c>
      <c r="I25" s="23" t="n">
        <v>32.52</v>
      </c>
      <c r="J25" s="24" t="n">
        <v>78048</v>
      </c>
      <c r="K25" s="25" t="s">
        <v>4</v>
      </c>
      <c r="L25" s="4"/>
    </row>
    <row r="26" customFormat="false" ht="15" hidden="false" customHeight="false" outlineLevel="0" collapsed="false">
      <c r="A26" s="21" t="s">
        <v>55</v>
      </c>
      <c r="B26" s="21" t="n">
        <v>26</v>
      </c>
      <c r="C26" s="22" t="s">
        <v>92</v>
      </c>
      <c r="D26" s="23" t="n">
        <v>29</v>
      </c>
      <c r="E26" s="24" t="n">
        <v>71369</v>
      </c>
      <c r="F26" s="22" t="s">
        <v>105</v>
      </c>
      <c r="G26" s="21" t="s">
        <v>106</v>
      </c>
      <c r="H26" s="22" t="s">
        <v>92</v>
      </c>
      <c r="I26" s="23" t="n">
        <v>29</v>
      </c>
      <c r="J26" s="24" t="n">
        <v>71369</v>
      </c>
      <c r="K26" s="25" t="s">
        <v>4</v>
      </c>
      <c r="L26" s="4"/>
    </row>
    <row r="27" customFormat="false" ht="15" hidden="false" customHeight="false" outlineLevel="0" collapsed="false">
      <c r="A27" s="21" t="s">
        <v>55</v>
      </c>
      <c r="B27" s="21" t="n">
        <v>27</v>
      </c>
      <c r="C27" s="22" t="s">
        <v>107</v>
      </c>
      <c r="D27" s="23" t="n">
        <v>81.36</v>
      </c>
      <c r="E27" s="24" t="n">
        <v>204213.6</v>
      </c>
      <c r="F27" s="22" t="s">
        <v>108</v>
      </c>
      <c r="G27" s="21" t="s">
        <v>58</v>
      </c>
      <c r="H27" s="22" t="s">
        <v>107</v>
      </c>
      <c r="I27" s="23" t="n">
        <v>81.36</v>
      </c>
      <c r="J27" s="24" t="n">
        <v>204213.6</v>
      </c>
      <c r="K27" s="25" t="s">
        <v>4</v>
      </c>
      <c r="L27" s="4"/>
    </row>
    <row r="28" customFormat="false" ht="15" hidden="false" customHeight="false" outlineLevel="0" collapsed="false">
      <c r="A28" s="21" t="s">
        <v>55</v>
      </c>
      <c r="B28" s="21" t="n">
        <v>28</v>
      </c>
      <c r="C28" s="22" t="s">
        <v>107</v>
      </c>
      <c r="D28" s="23" t="n">
        <v>48.75</v>
      </c>
      <c r="E28" s="24" t="n">
        <v>117000</v>
      </c>
      <c r="F28" s="22" t="s">
        <v>109</v>
      </c>
      <c r="G28" s="21" t="s">
        <v>91</v>
      </c>
      <c r="H28" s="22" t="s">
        <v>107</v>
      </c>
      <c r="I28" s="23" t="n">
        <v>48.75</v>
      </c>
      <c r="J28" s="24" t="n">
        <v>117000</v>
      </c>
      <c r="K28" s="25" t="s">
        <v>4</v>
      </c>
      <c r="L28" s="4"/>
    </row>
    <row r="29" customFormat="false" ht="29.85" hidden="false" customHeight="false" outlineLevel="0" collapsed="false">
      <c r="A29" s="21" t="s">
        <v>55</v>
      </c>
      <c r="B29" s="21" t="n">
        <v>29</v>
      </c>
      <c r="C29" s="22" t="s">
        <v>107</v>
      </c>
      <c r="D29" s="23" t="n">
        <v>99.68</v>
      </c>
      <c r="E29" s="24" t="n">
        <v>248796.8</v>
      </c>
      <c r="F29" s="28" t="s">
        <v>110</v>
      </c>
      <c r="G29" s="29" t="s">
        <v>111</v>
      </c>
      <c r="H29" s="22" t="s">
        <v>107</v>
      </c>
      <c r="I29" s="30" t="n">
        <v>99.68</v>
      </c>
      <c r="J29" s="31" t="n">
        <v>248796.8</v>
      </c>
      <c r="K29" s="29" t="s">
        <v>112</v>
      </c>
      <c r="L29" s="4" t="s">
        <v>113</v>
      </c>
    </row>
    <row r="30" customFormat="false" ht="15" hidden="false" customHeight="false" outlineLevel="0" collapsed="false">
      <c r="A30" s="21" t="s">
        <v>55</v>
      </c>
      <c r="B30" s="21" t="n">
        <v>30</v>
      </c>
      <c r="C30" s="22" t="s">
        <v>107</v>
      </c>
      <c r="D30" s="23" t="n">
        <v>66.06</v>
      </c>
      <c r="E30" s="24" t="n">
        <v>147974.4</v>
      </c>
      <c r="F30" s="22" t="s">
        <v>114</v>
      </c>
      <c r="G30" s="21" t="s">
        <v>58</v>
      </c>
      <c r="H30" s="22" t="s">
        <v>107</v>
      </c>
      <c r="I30" s="23" t="n">
        <v>66.06</v>
      </c>
      <c r="J30" s="24" t="n">
        <v>147974.4</v>
      </c>
      <c r="K30" s="25" t="s">
        <v>4</v>
      </c>
      <c r="L30" s="4"/>
    </row>
    <row r="31" customFormat="false" ht="15" hidden="false" customHeight="false" outlineLevel="0" collapsed="false">
      <c r="A31" s="21" t="s">
        <v>55</v>
      </c>
      <c r="B31" s="21" t="n">
        <v>31</v>
      </c>
      <c r="C31" s="22" t="s">
        <v>115</v>
      </c>
      <c r="D31" s="23" t="n">
        <v>67.96</v>
      </c>
      <c r="E31" s="24" t="n">
        <v>152230.4</v>
      </c>
      <c r="F31" s="22" t="s">
        <v>116</v>
      </c>
      <c r="G31" s="21" t="s">
        <v>58</v>
      </c>
      <c r="H31" s="22" t="s">
        <v>115</v>
      </c>
      <c r="I31" s="23" t="n">
        <v>67.96</v>
      </c>
      <c r="J31" s="24" t="n">
        <v>152230.4</v>
      </c>
      <c r="K31" s="25" t="s">
        <v>4</v>
      </c>
      <c r="L31" s="4"/>
    </row>
    <row r="32" customFormat="false" ht="15" hidden="false" customHeight="false" outlineLevel="0" collapsed="false">
      <c r="A32" s="21" t="s">
        <v>55</v>
      </c>
      <c r="B32" s="21" t="n">
        <v>32</v>
      </c>
      <c r="C32" s="22" t="s">
        <v>115</v>
      </c>
      <c r="D32" s="23" t="n">
        <v>46.28</v>
      </c>
      <c r="E32" s="24" t="n">
        <v>107924.96</v>
      </c>
      <c r="F32" s="22" t="s">
        <v>117</v>
      </c>
      <c r="G32" s="21" t="s">
        <v>106</v>
      </c>
      <c r="H32" s="22" t="s">
        <v>115</v>
      </c>
      <c r="I32" s="23" t="n">
        <v>46.28</v>
      </c>
      <c r="J32" s="24" t="n">
        <v>107924.96</v>
      </c>
      <c r="K32" s="25" t="s">
        <v>4</v>
      </c>
      <c r="L32" s="4"/>
    </row>
    <row r="33" customFormat="false" ht="15" hidden="false" customHeight="false" outlineLevel="0" collapsed="false">
      <c r="A33" s="21" t="s">
        <v>55</v>
      </c>
      <c r="B33" s="21" t="n">
        <v>33</v>
      </c>
      <c r="C33" s="22" t="s">
        <v>115</v>
      </c>
      <c r="D33" s="23" t="n">
        <v>83.78</v>
      </c>
      <c r="E33" s="24" t="n">
        <v>211125.6</v>
      </c>
      <c r="F33" s="22" t="s">
        <v>118</v>
      </c>
      <c r="G33" s="21" t="s">
        <v>58</v>
      </c>
      <c r="H33" s="22" t="s">
        <v>115</v>
      </c>
      <c r="I33" s="23" t="n">
        <v>83.78</v>
      </c>
      <c r="J33" s="24" t="n">
        <v>211125.6</v>
      </c>
      <c r="K33" s="25" t="s">
        <v>4</v>
      </c>
      <c r="L33" s="4"/>
    </row>
    <row r="34" customFormat="false" ht="15" hidden="false" customHeight="false" outlineLevel="0" collapsed="false">
      <c r="A34" s="21" t="s">
        <v>55</v>
      </c>
      <c r="B34" s="21" t="n">
        <v>34</v>
      </c>
      <c r="C34" s="22" t="s">
        <v>115</v>
      </c>
      <c r="D34" s="23" t="n">
        <v>43.34</v>
      </c>
      <c r="E34" s="24" t="n">
        <v>101068.88</v>
      </c>
      <c r="F34" s="22" t="s">
        <v>119</v>
      </c>
      <c r="G34" s="21" t="s">
        <v>120</v>
      </c>
      <c r="H34" s="22" t="s">
        <v>115</v>
      </c>
      <c r="I34" s="23" t="n">
        <v>43.34</v>
      </c>
      <c r="J34" s="24" t="n">
        <v>101068.88</v>
      </c>
      <c r="K34" s="25" t="s">
        <v>4</v>
      </c>
      <c r="L34" s="4"/>
    </row>
    <row r="35" customFormat="false" ht="15" hidden="false" customHeight="false" outlineLevel="0" collapsed="false">
      <c r="A35" s="21" t="s">
        <v>55</v>
      </c>
      <c r="B35" s="21" t="n">
        <v>35</v>
      </c>
      <c r="C35" s="22" t="s">
        <v>115</v>
      </c>
      <c r="D35" s="23" t="n">
        <v>78.64</v>
      </c>
      <c r="E35" s="24" t="n">
        <v>181501.12</v>
      </c>
      <c r="F35" s="22" t="s">
        <v>121</v>
      </c>
      <c r="G35" s="21" t="s">
        <v>122</v>
      </c>
      <c r="H35" s="22" t="s">
        <v>115</v>
      </c>
      <c r="I35" s="23" t="n">
        <v>78.64</v>
      </c>
      <c r="J35" s="24" t="n">
        <v>181501.12</v>
      </c>
      <c r="K35" s="25" t="s">
        <v>4</v>
      </c>
      <c r="L35" s="4"/>
    </row>
    <row r="36" customFormat="false" ht="15" hidden="false" customHeight="false" outlineLevel="0" collapsed="false">
      <c r="A36" s="21" t="s">
        <v>55</v>
      </c>
      <c r="B36" s="21" t="n">
        <v>36</v>
      </c>
      <c r="C36" s="22" t="s">
        <v>115</v>
      </c>
      <c r="D36" s="23" t="n">
        <v>83.26</v>
      </c>
      <c r="E36" s="24" t="n">
        <v>192164.08</v>
      </c>
      <c r="F36" s="22" t="s">
        <v>123</v>
      </c>
      <c r="G36" s="21" t="s">
        <v>94</v>
      </c>
      <c r="H36" s="22" t="s">
        <v>115</v>
      </c>
      <c r="I36" s="23" t="n">
        <v>83.26</v>
      </c>
      <c r="J36" s="24" t="n">
        <v>192164.08</v>
      </c>
      <c r="K36" s="25" t="s">
        <v>4</v>
      </c>
      <c r="L36" s="4"/>
    </row>
    <row r="37" customFormat="false" ht="15" hidden="false" customHeight="false" outlineLevel="0" collapsed="false">
      <c r="A37" s="21" t="s">
        <v>55</v>
      </c>
      <c r="B37" s="21" t="n">
        <v>37</v>
      </c>
      <c r="C37" s="22" t="s">
        <v>115</v>
      </c>
      <c r="D37" s="23" t="n">
        <v>81.92</v>
      </c>
      <c r="E37" s="24" t="n">
        <v>205619.2</v>
      </c>
      <c r="F37" s="22" t="s">
        <v>124</v>
      </c>
      <c r="G37" s="21" t="s">
        <v>76</v>
      </c>
      <c r="H37" s="22" t="s">
        <v>115</v>
      </c>
      <c r="I37" s="23" t="n">
        <v>81.92</v>
      </c>
      <c r="J37" s="24" t="n">
        <v>205619.2</v>
      </c>
      <c r="K37" s="25" t="s">
        <v>4</v>
      </c>
      <c r="L37" s="4"/>
    </row>
    <row r="38" customFormat="false" ht="15" hidden="false" customHeight="false" outlineLevel="0" collapsed="false">
      <c r="A38" s="21" t="s">
        <v>55</v>
      </c>
      <c r="B38" s="21" t="n">
        <v>38</v>
      </c>
      <c r="C38" s="22" t="s">
        <v>125</v>
      </c>
      <c r="D38" s="23" t="n">
        <v>25.12</v>
      </c>
      <c r="E38" s="24" t="n">
        <v>60288</v>
      </c>
      <c r="F38" s="22" t="s">
        <v>126</v>
      </c>
      <c r="G38" s="21" t="s">
        <v>61</v>
      </c>
      <c r="H38" s="22" t="s">
        <v>125</v>
      </c>
      <c r="I38" s="23" t="n">
        <v>25.12</v>
      </c>
      <c r="J38" s="24" t="n">
        <v>60288</v>
      </c>
      <c r="K38" s="25" t="s">
        <v>4</v>
      </c>
      <c r="L38" s="4"/>
    </row>
    <row r="39" customFormat="false" ht="15" hidden="false" customHeight="false" outlineLevel="0" collapsed="false">
      <c r="A39" s="21" t="s">
        <v>55</v>
      </c>
      <c r="B39" s="21" t="n">
        <v>39</v>
      </c>
      <c r="C39" s="22" t="s">
        <v>125</v>
      </c>
      <c r="D39" s="23" t="n">
        <v>29.08</v>
      </c>
      <c r="E39" s="24" t="n">
        <v>71216.92</v>
      </c>
      <c r="F39" s="22" t="s">
        <v>127</v>
      </c>
      <c r="G39" s="21" t="s">
        <v>106</v>
      </c>
      <c r="H39" s="22" t="s">
        <v>125</v>
      </c>
      <c r="I39" s="23" t="n">
        <v>29.08</v>
      </c>
      <c r="J39" s="24" t="n">
        <v>71216.92</v>
      </c>
      <c r="K39" s="25" t="s">
        <v>4</v>
      </c>
      <c r="L39" s="4"/>
    </row>
    <row r="40" customFormat="false" ht="15" hidden="false" customHeight="false" outlineLevel="0" collapsed="false">
      <c r="A40" s="21" t="s">
        <v>55</v>
      </c>
      <c r="B40" s="21" t="n">
        <v>40</v>
      </c>
      <c r="C40" s="22" t="s">
        <v>125</v>
      </c>
      <c r="D40" s="23" t="n">
        <v>56.78</v>
      </c>
      <c r="E40" s="24" t="n">
        <v>137407.6</v>
      </c>
      <c r="F40" s="22" t="s">
        <v>128</v>
      </c>
      <c r="G40" s="21" t="s">
        <v>61</v>
      </c>
      <c r="H40" s="22" t="s">
        <v>125</v>
      </c>
      <c r="I40" s="23" t="n">
        <v>56.78</v>
      </c>
      <c r="J40" s="24" t="n">
        <v>137407.6</v>
      </c>
      <c r="K40" s="25" t="s">
        <v>4</v>
      </c>
      <c r="L40" s="4"/>
    </row>
    <row r="41" customFormat="false" ht="15" hidden="false" customHeight="false" outlineLevel="0" collapsed="false">
      <c r="A41" s="21" t="s">
        <v>55</v>
      </c>
      <c r="B41" s="21" t="n">
        <v>41</v>
      </c>
      <c r="C41" s="22" t="s">
        <v>125</v>
      </c>
      <c r="D41" s="23" t="n">
        <v>80.96</v>
      </c>
      <c r="E41" s="24" t="n">
        <v>203209.6</v>
      </c>
      <c r="F41" s="22" t="s">
        <v>129</v>
      </c>
      <c r="G41" s="21" t="s">
        <v>58</v>
      </c>
      <c r="H41" s="22" t="s">
        <v>125</v>
      </c>
      <c r="I41" s="23" t="n">
        <v>80.96</v>
      </c>
      <c r="J41" s="24" t="n">
        <v>203209.6</v>
      </c>
      <c r="K41" s="25" t="s">
        <v>4</v>
      </c>
      <c r="L41" s="4"/>
    </row>
    <row r="42" customFormat="false" ht="15" hidden="false" customHeight="false" outlineLevel="0" collapsed="false">
      <c r="A42" s="21" t="s">
        <v>55</v>
      </c>
      <c r="B42" s="21" t="n">
        <v>42</v>
      </c>
      <c r="C42" s="22" t="s">
        <v>125</v>
      </c>
      <c r="D42" s="23" t="n">
        <v>69.66</v>
      </c>
      <c r="E42" s="24" t="n">
        <v>156038.4</v>
      </c>
      <c r="F42" s="22" t="s">
        <v>130</v>
      </c>
      <c r="G42" s="21" t="s">
        <v>58</v>
      </c>
      <c r="H42" s="22" t="s">
        <v>125</v>
      </c>
      <c r="I42" s="23" t="n">
        <v>69.66</v>
      </c>
      <c r="J42" s="24" t="n">
        <v>156038.4</v>
      </c>
      <c r="K42" s="25" t="s">
        <v>4</v>
      </c>
      <c r="L42" s="4"/>
    </row>
    <row r="43" customFormat="false" ht="15" hidden="false" customHeight="false" outlineLevel="0" collapsed="false">
      <c r="A43" s="21" t="s">
        <v>55</v>
      </c>
      <c r="B43" s="21" t="n">
        <v>43</v>
      </c>
      <c r="C43" s="22" t="s">
        <v>131</v>
      </c>
      <c r="D43" s="23" t="n">
        <v>49.1</v>
      </c>
      <c r="E43" s="24" t="n">
        <v>117840</v>
      </c>
      <c r="F43" s="22" t="s">
        <v>132</v>
      </c>
      <c r="G43" s="21" t="s">
        <v>91</v>
      </c>
      <c r="H43" s="22" t="s">
        <v>131</v>
      </c>
      <c r="I43" s="23" t="n">
        <v>49.1</v>
      </c>
      <c r="J43" s="24" t="n">
        <v>117840</v>
      </c>
      <c r="K43" s="25" t="s">
        <v>4</v>
      </c>
      <c r="L43" s="4"/>
    </row>
    <row r="44" customFormat="false" ht="15" hidden="false" customHeight="false" outlineLevel="0" collapsed="false">
      <c r="A44" s="21" t="s">
        <v>55</v>
      </c>
      <c r="B44" s="21" t="n">
        <v>44</v>
      </c>
      <c r="C44" s="22" t="s">
        <v>131</v>
      </c>
      <c r="D44" s="23" t="n">
        <v>25.96</v>
      </c>
      <c r="E44" s="24" t="n">
        <v>61265.6</v>
      </c>
      <c r="F44" s="22" t="s">
        <v>133</v>
      </c>
      <c r="G44" s="21" t="s">
        <v>61</v>
      </c>
      <c r="H44" s="22" t="s">
        <v>131</v>
      </c>
      <c r="I44" s="23" t="n">
        <v>25.96</v>
      </c>
      <c r="J44" s="24" t="n">
        <v>61265.6</v>
      </c>
      <c r="K44" s="25" t="s">
        <v>4</v>
      </c>
      <c r="L44" s="4"/>
    </row>
    <row r="45" customFormat="false" ht="15" hidden="false" customHeight="false" outlineLevel="0" collapsed="false">
      <c r="A45" s="21" t="s">
        <v>55</v>
      </c>
      <c r="B45" s="21" t="n">
        <v>45</v>
      </c>
      <c r="C45" s="22" t="s">
        <v>131</v>
      </c>
      <c r="D45" s="23" t="n">
        <v>47.51</v>
      </c>
      <c r="E45" s="24" t="n">
        <v>110793.32</v>
      </c>
      <c r="F45" s="22" t="s">
        <v>134</v>
      </c>
      <c r="G45" s="21" t="s">
        <v>96</v>
      </c>
      <c r="H45" s="22" t="s">
        <v>131</v>
      </c>
      <c r="I45" s="23" t="n">
        <v>47.51</v>
      </c>
      <c r="J45" s="24" t="n">
        <v>110793.32</v>
      </c>
      <c r="K45" s="25" t="s">
        <v>4</v>
      </c>
      <c r="L45" s="4"/>
    </row>
    <row r="46" customFormat="false" ht="15" hidden="false" customHeight="false" outlineLevel="0" collapsed="false">
      <c r="A46" s="21" t="s">
        <v>55</v>
      </c>
      <c r="B46" s="21" t="n">
        <v>46</v>
      </c>
      <c r="C46" s="22" t="s">
        <v>131</v>
      </c>
      <c r="D46" s="23" t="n">
        <v>70.76</v>
      </c>
      <c r="E46" s="24" t="n">
        <v>158502.4</v>
      </c>
      <c r="F46" s="22" t="s">
        <v>135</v>
      </c>
      <c r="G46" s="21" t="s">
        <v>58</v>
      </c>
      <c r="H46" s="22" t="s">
        <v>131</v>
      </c>
      <c r="I46" s="23" t="n">
        <v>70.76</v>
      </c>
      <c r="J46" s="24" t="n">
        <v>158502.4</v>
      </c>
      <c r="K46" s="25" t="s">
        <v>4</v>
      </c>
      <c r="L46" s="4"/>
    </row>
    <row r="47" customFormat="false" ht="15" hidden="false" customHeight="false" outlineLevel="0" collapsed="false">
      <c r="A47" s="21" t="s">
        <v>55</v>
      </c>
      <c r="B47" s="21" t="n">
        <v>47</v>
      </c>
      <c r="C47" s="26" t="s">
        <v>136</v>
      </c>
      <c r="D47" s="23" t="n">
        <v>719.14</v>
      </c>
      <c r="E47" s="24" t="n">
        <v>1823625.4</v>
      </c>
      <c r="F47" s="22" t="s">
        <v>137</v>
      </c>
      <c r="G47" s="21" t="s">
        <v>138</v>
      </c>
      <c r="H47" s="26" t="s">
        <v>139</v>
      </c>
      <c r="I47" s="23" t="n">
        <v>719.14</v>
      </c>
      <c r="J47" s="24" t="n">
        <v>1823625.4</v>
      </c>
      <c r="K47" s="27" t="s">
        <v>81</v>
      </c>
      <c r="L47" s="4" t="s">
        <v>82</v>
      </c>
    </row>
    <row r="48" customFormat="false" ht="15" hidden="false" customHeight="false" outlineLevel="0" collapsed="false">
      <c r="A48" s="21" t="s">
        <v>55</v>
      </c>
      <c r="B48" s="21" t="n">
        <v>48</v>
      </c>
      <c r="C48" s="26" t="s">
        <v>140</v>
      </c>
      <c r="D48" s="23" t="n">
        <v>613.8</v>
      </c>
      <c r="E48" s="24" t="n">
        <v>1467823.1</v>
      </c>
      <c r="F48" s="22" t="s">
        <v>141</v>
      </c>
      <c r="G48" s="21" t="s">
        <v>142</v>
      </c>
      <c r="H48" s="26" t="s">
        <v>143</v>
      </c>
      <c r="I48" s="23" t="n">
        <v>613.8</v>
      </c>
      <c r="J48" s="24" t="n">
        <v>1467823.1</v>
      </c>
      <c r="K48" s="27" t="s">
        <v>81</v>
      </c>
      <c r="L48" s="4" t="s">
        <v>82</v>
      </c>
    </row>
    <row r="49" customFormat="false" ht="15" hidden="false" customHeight="false" outlineLevel="0" collapsed="false">
      <c r="A49" s="21" t="s">
        <v>55</v>
      </c>
      <c r="B49" s="21" t="n">
        <v>49</v>
      </c>
      <c r="C49" s="22" t="s">
        <v>144</v>
      </c>
      <c r="D49" s="23" t="n">
        <v>83.74</v>
      </c>
      <c r="E49" s="24" t="n">
        <v>202650.8</v>
      </c>
      <c r="F49" s="22" t="s">
        <v>145</v>
      </c>
      <c r="G49" s="21" t="s">
        <v>58</v>
      </c>
      <c r="H49" s="22" t="s">
        <v>144</v>
      </c>
      <c r="I49" s="23" t="n">
        <v>83.74</v>
      </c>
      <c r="J49" s="24" t="n">
        <v>202650.8</v>
      </c>
      <c r="K49" s="25" t="s">
        <v>4</v>
      </c>
      <c r="L49" s="4"/>
    </row>
    <row r="50" customFormat="false" ht="15" hidden="false" customHeight="false" outlineLevel="0" collapsed="false">
      <c r="A50" s="21" t="s">
        <v>55</v>
      </c>
      <c r="B50" s="21" t="n">
        <v>50</v>
      </c>
      <c r="C50" s="22" t="s">
        <v>144</v>
      </c>
      <c r="D50" s="23" t="n">
        <v>34.02</v>
      </c>
      <c r="E50" s="24" t="n">
        <v>79266.6</v>
      </c>
      <c r="F50" s="22" t="s">
        <v>146</v>
      </c>
      <c r="G50" s="21" t="s">
        <v>147</v>
      </c>
      <c r="H50" s="22" t="s">
        <v>144</v>
      </c>
      <c r="I50" s="23" t="n">
        <v>34.02</v>
      </c>
      <c r="J50" s="24" t="n">
        <v>79266.6</v>
      </c>
      <c r="K50" s="25" t="s">
        <v>4</v>
      </c>
      <c r="L50" s="4"/>
    </row>
    <row r="51" customFormat="false" ht="15" hidden="false" customHeight="false" outlineLevel="0" collapsed="false">
      <c r="A51" s="21" t="s">
        <v>55</v>
      </c>
      <c r="B51" s="21" t="n">
        <v>51</v>
      </c>
      <c r="C51" s="22" t="s">
        <v>148</v>
      </c>
      <c r="D51" s="23" t="n">
        <v>33.86</v>
      </c>
      <c r="E51" s="24" t="n">
        <v>78793.8</v>
      </c>
      <c r="F51" s="22" t="s">
        <v>149</v>
      </c>
      <c r="G51" s="21" t="s">
        <v>150</v>
      </c>
      <c r="H51" s="22" t="s">
        <v>148</v>
      </c>
      <c r="I51" s="23" t="n">
        <v>33.86</v>
      </c>
      <c r="J51" s="24" t="n">
        <v>78793.8</v>
      </c>
      <c r="K51" s="25" t="s">
        <v>4</v>
      </c>
      <c r="L51" s="4"/>
    </row>
    <row r="52" customFormat="false" ht="15" hidden="false" customHeight="false" outlineLevel="0" collapsed="false">
      <c r="A52" s="21" t="s">
        <v>55</v>
      </c>
      <c r="B52" s="21" t="n">
        <v>52</v>
      </c>
      <c r="C52" s="22" t="s">
        <v>148</v>
      </c>
      <c r="D52" s="23" t="n">
        <v>33.96</v>
      </c>
      <c r="E52" s="24" t="n">
        <v>78619.28</v>
      </c>
      <c r="F52" s="22" t="s">
        <v>151</v>
      </c>
      <c r="G52" s="21" t="s">
        <v>152</v>
      </c>
      <c r="H52" s="22" t="s">
        <v>148</v>
      </c>
      <c r="I52" s="23" t="n">
        <v>33.96</v>
      </c>
      <c r="J52" s="24" t="n">
        <v>78619.28</v>
      </c>
      <c r="K52" s="25" t="s">
        <v>4</v>
      </c>
      <c r="L52" s="4"/>
    </row>
    <row r="53" customFormat="false" ht="15" hidden="false" customHeight="false" outlineLevel="0" collapsed="false">
      <c r="A53" s="21" t="s">
        <v>153</v>
      </c>
      <c r="B53" s="21" t="n">
        <v>2</v>
      </c>
      <c r="C53" s="22" t="s">
        <v>154</v>
      </c>
      <c r="D53" s="23" t="n">
        <v>78.04</v>
      </c>
      <c r="E53" s="24" t="n">
        <v>200062.8</v>
      </c>
      <c r="F53" s="22" t="s">
        <v>155</v>
      </c>
      <c r="G53" s="21" t="s">
        <v>76</v>
      </c>
      <c r="H53" s="22" t="s">
        <v>154</v>
      </c>
      <c r="I53" s="23" t="n">
        <v>78.04</v>
      </c>
      <c r="J53" s="24" t="n">
        <v>200062.8</v>
      </c>
      <c r="K53" s="25" t="s">
        <v>4</v>
      </c>
      <c r="L53" s="4"/>
    </row>
    <row r="54" customFormat="false" ht="15" hidden="false" customHeight="false" outlineLevel="0" collapsed="false">
      <c r="A54" s="21" t="s">
        <v>153</v>
      </c>
      <c r="B54" s="21" t="n">
        <v>3</v>
      </c>
      <c r="C54" s="22" t="s">
        <v>156</v>
      </c>
      <c r="D54" s="23" t="n">
        <v>71.5</v>
      </c>
      <c r="E54" s="24" t="n">
        <v>169455</v>
      </c>
      <c r="F54" s="22" t="s">
        <v>157</v>
      </c>
      <c r="G54" s="21" t="s">
        <v>58</v>
      </c>
      <c r="H54" s="22" t="s">
        <v>156</v>
      </c>
      <c r="I54" s="23" t="n">
        <v>71.5</v>
      </c>
      <c r="J54" s="24" t="n">
        <v>169455</v>
      </c>
      <c r="K54" s="25" t="s">
        <v>4</v>
      </c>
      <c r="L54" s="4"/>
    </row>
    <row r="55" customFormat="false" ht="15" hidden="false" customHeight="false" outlineLevel="0" collapsed="false">
      <c r="A55" s="21" t="s">
        <v>158</v>
      </c>
      <c r="B55" s="21" t="n">
        <v>2</v>
      </c>
      <c r="C55" s="22" t="s">
        <v>80</v>
      </c>
      <c r="D55" s="23" t="n">
        <v>66.22</v>
      </c>
      <c r="E55" s="24" t="n">
        <v>148332.8</v>
      </c>
      <c r="F55" s="22" t="s">
        <v>159</v>
      </c>
      <c r="G55" s="21" t="s">
        <v>58</v>
      </c>
      <c r="H55" s="22" t="s">
        <v>80</v>
      </c>
      <c r="I55" s="23" t="n">
        <v>66.22</v>
      </c>
      <c r="J55" s="24" t="n">
        <v>148332.8</v>
      </c>
      <c r="K55" s="25" t="s">
        <v>4</v>
      </c>
      <c r="L55" s="4"/>
    </row>
    <row r="56" customFormat="false" ht="15" hidden="false" customHeight="false" outlineLevel="0" collapsed="false">
      <c r="A56" s="21" t="s">
        <v>158</v>
      </c>
      <c r="B56" s="21" t="n">
        <v>3</v>
      </c>
      <c r="C56" s="22" t="s">
        <v>154</v>
      </c>
      <c r="D56" s="23" t="n">
        <v>65.44</v>
      </c>
      <c r="E56" s="24" t="n">
        <v>147240</v>
      </c>
      <c r="F56" s="22" t="s">
        <v>160</v>
      </c>
      <c r="G56" s="21" t="s">
        <v>76</v>
      </c>
      <c r="H56" s="22" t="s">
        <v>154</v>
      </c>
      <c r="I56" s="23" t="n">
        <v>65.44</v>
      </c>
      <c r="J56" s="24" t="n">
        <v>147240</v>
      </c>
      <c r="K56" s="25" t="s">
        <v>4</v>
      </c>
      <c r="L56" s="4"/>
    </row>
    <row r="57" customFormat="false" ht="15" hidden="false" customHeight="false" outlineLevel="0" collapsed="false">
      <c r="A57" s="21" t="s">
        <v>158</v>
      </c>
      <c r="B57" s="21" t="n">
        <v>4</v>
      </c>
      <c r="C57" s="22" t="s">
        <v>161</v>
      </c>
      <c r="D57" s="23" t="n">
        <v>60.9</v>
      </c>
      <c r="E57" s="24" t="n">
        <v>137025</v>
      </c>
      <c r="F57" s="22" t="s">
        <v>162</v>
      </c>
      <c r="G57" s="21" t="s">
        <v>58</v>
      </c>
      <c r="H57" s="22" t="s">
        <v>161</v>
      </c>
      <c r="I57" s="23" t="n">
        <v>60.9</v>
      </c>
      <c r="J57" s="24" t="n">
        <v>137025</v>
      </c>
      <c r="K57" s="25" t="s">
        <v>4</v>
      </c>
      <c r="L57" s="4"/>
    </row>
    <row r="58" customFormat="false" ht="15" hidden="false" customHeight="false" outlineLevel="0" collapsed="false">
      <c r="A58" s="21" t="s">
        <v>158</v>
      </c>
      <c r="B58" s="21" t="n">
        <v>5</v>
      </c>
      <c r="C58" s="22" t="s">
        <v>156</v>
      </c>
      <c r="D58" s="23" t="n">
        <v>31.38</v>
      </c>
      <c r="E58" s="24" t="n">
        <v>70605</v>
      </c>
      <c r="F58" s="22" t="s">
        <v>163</v>
      </c>
      <c r="G58" s="21" t="s">
        <v>122</v>
      </c>
      <c r="H58" s="22" t="s">
        <v>156</v>
      </c>
      <c r="I58" s="23" t="n">
        <v>31.38</v>
      </c>
      <c r="J58" s="24" t="n">
        <v>70605</v>
      </c>
      <c r="K58" s="25" t="s">
        <v>4</v>
      </c>
      <c r="L58" s="4"/>
    </row>
    <row r="59" customFormat="false" ht="15" hidden="false" customHeight="false" outlineLevel="0" collapsed="false">
      <c r="A59" s="21" t="s">
        <v>158</v>
      </c>
      <c r="B59" s="21" t="n">
        <v>6</v>
      </c>
      <c r="C59" s="22" t="s">
        <v>156</v>
      </c>
      <c r="D59" s="23" t="n">
        <v>31.46</v>
      </c>
      <c r="E59" s="24" t="n">
        <v>70785</v>
      </c>
      <c r="F59" s="22" t="s">
        <v>164</v>
      </c>
      <c r="G59" s="21" t="s">
        <v>76</v>
      </c>
      <c r="H59" s="22" t="s">
        <v>156</v>
      </c>
      <c r="I59" s="23" t="n">
        <v>31.46</v>
      </c>
      <c r="J59" s="24" t="n">
        <v>70785</v>
      </c>
      <c r="K59" s="25" t="s">
        <v>4</v>
      </c>
      <c r="L59" s="4"/>
    </row>
    <row r="60" customFormat="false" ht="15" hidden="false" customHeight="false" outlineLevel="0" collapsed="false">
      <c r="A60" s="21" t="s">
        <v>158</v>
      </c>
      <c r="B60" s="21" t="n">
        <v>7</v>
      </c>
      <c r="C60" s="22" t="s">
        <v>165</v>
      </c>
      <c r="D60" s="23" t="n">
        <v>28.84</v>
      </c>
      <c r="E60" s="24" t="n">
        <v>66389.68</v>
      </c>
      <c r="F60" s="22" t="s">
        <v>166</v>
      </c>
      <c r="G60" s="21" t="s">
        <v>58</v>
      </c>
      <c r="H60" s="22" t="s">
        <v>165</v>
      </c>
      <c r="I60" s="23" t="n">
        <v>28.84</v>
      </c>
      <c r="J60" s="24" t="n">
        <v>66389.68</v>
      </c>
      <c r="K60" s="25" t="s">
        <v>4</v>
      </c>
      <c r="L60" s="4"/>
    </row>
    <row r="61" customFormat="false" ht="15" hidden="false" customHeight="false" outlineLevel="0" collapsed="false">
      <c r="A61" s="21" t="s">
        <v>158</v>
      </c>
      <c r="B61" s="21" t="n">
        <v>8</v>
      </c>
      <c r="C61" s="22" t="s">
        <v>144</v>
      </c>
      <c r="D61" s="23" t="n">
        <v>30.72</v>
      </c>
      <c r="E61" s="24" t="n">
        <v>70717.44</v>
      </c>
      <c r="F61" s="22" t="s">
        <v>167</v>
      </c>
      <c r="G61" s="21" t="s">
        <v>76</v>
      </c>
      <c r="H61" s="22" t="s">
        <v>144</v>
      </c>
      <c r="I61" s="23" t="n">
        <v>30.72</v>
      </c>
      <c r="J61" s="24" t="n">
        <v>70717.44</v>
      </c>
      <c r="K61" s="25" t="s">
        <v>4</v>
      </c>
      <c r="L61" s="4"/>
    </row>
    <row r="62" customFormat="false" ht="15" hidden="false" customHeight="false" outlineLevel="0" collapsed="false">
      <c r="A62" s="21" t="s">
        <v>158</v>
      </c>
      <c r="B62" s="21" t="n">
        <v>9</v>
      </c>
      <c r="C62" s="22" t="s">
        <v>144</v>
      </c>
      <c r="D62" s="23" t="n">
        <v>31.32</v>
      </c>
      <c r="E62" s="24" t="n">
        <v>72098.64</v>
      </c>
      <c r="F62" s="22" t="s">
        <v>168</v>
      </c>
      <c r="G62" s="21" t="s">
        <v>58</v>
      </c>
      <c r="H62" s="22" t="s">
        <v>144</v>
      </c>
      <c r="I62" s="23" t="n">
        <v>31.32</v>
      </c>
      <c r="J62" s="24" t="n">
        <v>72098.64</v>
      </c>
      <c r="K62" s="25" t="s">
        <v>4</v>
      </c>
      <c r="L62" s="4"/>
    </row>
    <row r="63" customFormat="false" ht="15" hidden="false" customHeight="false" outlineLevel="0" collapsed="false">
      <c r="A63" s="21" t="s">
        <v>158</v>
      </c>
      <c r="B63" s="21" t="n">
        <v>10</v>
      </c>
      <c r="C63" s="22" t="s">
        <v>169</v>
      </c>
      <c r="D63" s="23" t="n">
        <v>32.12</v>
      </c>
      <c r="E63" s="24" t="n">
        <v>73940.24</v>
      </c>
      <c r="F63" s="22" t="s">
        <v>170</v>
      </c>
      <c r="G63" s="21" t="s">
        <v>58</v>
      </c>
      <c r="H63" s="22" t="s">
        <v>169</v>
      </c>
      <c r="I63" s="23" t="n">
        <v>32.12</v>
      </c>
      <c r="J63" s="24" t="n">
        <v>73940.24</v>
      </c>
      <c r="K63" s="25" t="s">
        <v>4</v>
      </c>
      <c r="L63" s="4"/>
    </row>
    <row r="64" customFormat="false" ht="15" hidden="false" customHeight="false" outlineLevel="0" collapsed="false">
      <c r="A64" s="21" t="s">
        <v>158</v>
      </c>
      <c r="B64" s="21" t="n">
        <v>11</v>
      </c>
      <c r="C64" s="22" t="s">
        <v>169</v>
      </c>
      <c r="D64" s="23" t="n">
        <v>32.72</v>
      </c>
      <c r="E64" s="24" t="n">
        <v>75321.44</v>
      </c>
      <c r="F64" s="22" t="s">
        <v>171</v>
      </c>
      <c r="G64" s="21" t="s">
        <v>76</v>
      </c>
      <c r="H64" s="22" t="s">
        <v>169</v>
      </c>
      <c r="I64" s="23" t="n">
        <v>32.72</v>
      </c>
      <c r="J64" s="24" t="n">
        <v>75321.44</v>
      </c>
      <c r="K64" s="25" t="s">
        <v>4</v>
      </c>
      <c r="L64" s="4"/>
    </row>
    <row r="65" customFormat="false" ht="15" hidden="false" customHeight="false" outlineLevel="0" collapsed="false">
      <c r="A65" s="21" t="s">
        <v>172</v>
      </c>
      <c r="B65" s="21" t="n">
        <v>2</v>
      </c>
      <c r="C65" s="22" t="s">
        <v>173</v>
      </c>
      <c r="D65" s="23" t="n">
        <v>82.26</v>
      </c>
      <c r="E65" s="24" t="n">
        <v>208117.8</v>
      </c>
      <c r="F65" s="22" t="s">
        <v>174</v>
      </c>
      <c r="G65" s="21" t="s">
        <v>76</v>
      </c>
      <c r="H65" s="22" t="s">
        <v>173</v>
      </c>
      <c r="I65" s="23" t="n">
        <v>82.26</v>
      </c>
      <c r="J65" s="24" t="n">
        <v>208117.8</v>
      </c>
      <c r="K65" s="25" t="s">
        <v>4</v>
      </c>
      <c r="L65" s="4"/>
    </row>
    <row r="66" customFormat="false" ht="15" hidden="false" customHeight="false" outlineLevel="0" collapsed="false">
      <c r="A66" s="21" t="s">
        <v>172</v>
      </c>
      <c r="B66" s="21" t="n">
        <v>3</v>
      </c>
      <c r="C66" s="22" t="s">
        <v>175</v>
      </c>
      <c r="D66" s="23" t="n">
        <v>82.2</v>
      </c>
      <c r="E66" s="24" t="n">
        <v>207966</v>
      </c>
      <c r="F66" s="22" t="s">
        <v>176</v>
      </c>
      <c r="G66" s="21" t="s">
        <v>58</v>
      </c>
      <c r="H66" s="22" t="s">
        <v>175</v>
      </c>
      <c r="I66" s="23" t="n">
        <v>82.2</v>
      </c>
      <c r="J66" s="24" t="n">
        <v>207966</v>
      </c>
      <c r="K66" s="25" t="s">
        <v>4</v>
      </c>
      <c r="L66" s="4"/>
    </row>
    <row r="67" customFormat="false" ht="15" hidden="false" customHeight="false" outlineLevel="0" collapsed="false">
      <c r="A67" s="21" t="s">
        <v>172</v>
      </c>
      <c r="B67" s="21" t="n">
        <v>4</v>
      </c>
      <c r="C67" s="26" t="s">
        <v>175</v>
      </c>
      <c r="D67" s="23" t="n">
        <v>79.76</v>
      </c>
      <c r="E67" s="24" t="n">
        <v>181852.8</v>
      </c>
      <c r="F67" s="22" t="s">
        <v>177</v>
      </c>
      <c r="G67" s="21" t="s">
        <v>122</v>
      </c>
      <c r="H67" s="26" t="s">
        <v>154</v>
      </c>
      <c r="I67" s="23" t="n">
        <v>79.76</v>
      </c>
      <c r="J67" s="24" t="n">
        <v>181852.8</v>
      </c>
      <c r="K67" s="27" t="s">
        <v>81</v>
      </c>
      <c r="L67" s="4" t="s">
        <v>178</v>
      </c>
    </row>
    <row r="68" customFormat="false" ht="15" hidden="false" customHeight="false" outlineLevel="0" collapsed="false">
      <c r="A68" s="21" t="s">
        <v>172</v>
      </c>
      <c r="B68" s="21" t="n">
        <v>5</v>
      </c>
      <c r="C68" s="22" t="s">
        <v>161</v>
      </c>
      <c r="D68" s="23" t="n">
        <v>75.88</v>
      </c>
      <c r="E68" s="24" t="n">
        <v>191976.4</v>
      </c>
      <c r="F68" s="22" t="s">
        <v>179</v>
      </c>
      <c r="G68" s="21" t="s">
        <v>122</v>
      </c>
      <c r="H68" s="22" t="s">
        <v>161</v>
      </c>
      <c r="I68" s="23" t="n">
        <v>75.88</v>
      </c>
      <c r="J68" s="24" t="n">
        <v>191976.4</v>
      </c>
      <c r="K68" s="25" t="s">
        <v>4</v>
      </c>
      <c r="L68" s="4"/>
    </row>
    <row r="69" customFormat="false" ht="15" hidden="false" customHeight="false" outlineLevel="0" collapsed="false">
      <c r="A69" s="21" t="s">
        <v>172</v>
      </c>
      <c r="B69" s="21" t="n">
        <v>6</v>
      </c>
      <c r="C69" s="22" t="s">
        <v>165</v>
      </c>
      <c r="D69" s="23" t="n">
        <v>29.79</v>
      </c>
      <c r="E69" s="24" t="n">
        <v>68576.58</v>
      </c>
      <c r="F69" s="22" t="s">
        <v>180</v>
      </c>
      <c r="G69" s="21" t="s">
        <v>76</v>
      </c>
      <c r="H69" s="22" t="s">
        <v>165</v>
      </c>
      <c r="I69" s="23" t="n">
        <v>29.79</v>
      </c>
      <c r="J69" s="24" t="n">
        <v>68576.58</v>
      </c>
      <c r="K69" s="25" t="s">
        <v>4</v>
      </c>
      <c r="L69" s="4"/>
    </row>
    <row r="70" customFormat="false" ht="15" hidden="false" customHeight="false" outlineLevel="0" collapsed="false">
      <c r="A70" s="21" t="s">
        <v>172</v>
      </c>
      <c r="B70" s="21" t="n">
        <v>7</v>
      </c>
      <c r="C70" s="22" t="s">
        <v>165</v>
      </c>
      <c r="D70" s="23" t="n">
        <v>81.46</v>
      </c>
      <c r="E70" s="24" t="n">
        <v>206093.8</v>
      </c>
      <c r="F70" s="22" t="s">
        <v>181</v>
      </c>
      <c r="G70" s="21" t="s">
        <v>76</v>
      </c>
      <c r="H70" s="22" t="s">
        <v>165</v>
      </c>
      <c r="I70" s="23" t="n">
        <v>81.46</v>
      </c>
      <c r="J70" s="24" t="n">
        <v>206093.8</v>
      </c>
      <c r="K70" s="25" t="s">
        <v>4</v>
      </c>
      <c r="L70" s="4"/>
    </row>
    <row r="71" customFormat="false" ht="15" hidden="false" customHeight="false" outlineLevel="0" collapsed="false">
      <c r="A71" s="21" t="s">
        <v>182</v>
      </c>
      <c r="B71" s="21" t="n">
        <v>2</v>
      </c>
      <c r="C71" s="22" t="s">
        <v>148</v>
      </c>
      <c r="D71" s="23" t="n">
        <v>30.06</v>
      </c>
      <c r="E71" s="24" t="n">
        <v>75450.6</v>
      </c>
      <c r="F71" s="22" t="s">
        <v>183</v>
      </c>
      <c r="G71" s="21" t="s">
        <v>184</v>
      </c>
      <c r="H71" s="22" t="s">
        <v>148</v>
      </c>
      <c r="I71" s="23" t="n">
        <v>30.06</v>
      </c>
      <c r="J71" s="24" t="n">
        <v>75450.6</v>
      </c>
      <c r="K71" s="25" t="s">
        <v>4</v>
      </c>
      <c r="L71" s="4"/>
    </row>
    <row r="72" customFormat="false" ht="15" hidden="false" customHeight="false" outlineLevel="0" collapsed="false">
      <c r="A72" s="21" t="s">
        <v>182</v>
      </c>
      <c r="B72" s="21" t="n">
        <v>3</v>
      </c>
      <c r="C72" s="22" t="s">
        <v>169</v>
      </c>
      <c r="D72" s="23" t="n">
        <v>57.86</v>
      </c>
      <c r="E72" s="24" t="n">
        <v>147543</v>
      </c>
      <c r="F72" s="22" t="s">
        <v>185</v>
      </c>
      <c r="G72" s="21" t="s">
        <v>186</v>
      </c>
      <c r="H72" s="22" t="s">
        <v>169</v>
      </c>
      <c r="I72" s="23" t="n">
        <v>57.86</v>
      </c>
      <c r="J72" s="24" t="n">
        <v>147543</v>
      </c>
      <c r="K72" s="25" t="s">
        <v>4</v>
      </c>
      <c r="L72" s="4"/>
    </row>
    <row r="73" customFormat="false" ht="15" hidden="false" customHeight="false" outlineLevel="0" collapsed="false">
      <c r="A73" s="21" t="s">
        <v>182</v>
      </c>
      <c r="B73" s="21" t="n">
        <v>4</v>
      </c>
      <c r="C73" s="22" t="s">
        <v>169</v>
      </c>
      <c r="D73" s="23" t="n">
        <v>42.94</v>
      </c>
      <c r="E73" s="24" t="n">
        <v>109497</v>
      </c>
      <c r="F73" s="22" t="s">
        <v>187</v>
      </c>
      <c r="G73" s="21" t="s">
        <v>106</v>
      </c>
      <c r="H73" s="22" t="s">
        <v>169</v>
      </c>
      <c r="I73" s="23" t="n">
        <v>42.94</v>
      </c>
      <c r="J73" s="24" t="n">
        <v>109497</v>
      </c>
      <c r="K73" s="25" t="s">
        <v>4</v>
      </c>
      <c r="L73" s="4"/>
    </row>
    <row r="74" customFormat="false" ht="15" hidden="false" customHeight="false" outlineLevel="0" collapsed="false">
      <c r="A74" s="21" t="s">
        <v>182</v>
      </c>
      <c r="B74" s="21" t="n">
        <v>5</v>
      </c>
      <c r="C74" s="22" t="s">
        <v>169</v>
      </c>
      <c r="D74" s="23" t="n">
        <v>75.44</v>
      </c>
      <c r="E74" s="24" t="n">
        <v>196898.4</v>
      </c>
      <c r="F74" s="22" t="s">
        <v>188</v>
      </c>
      <c r="G74" s="21" t="s">
        <v>58</v>
      </c>
      <c r="H74" s="22" t="s">
        <v>169</v>
      </c>
      <c r="I74" s="23" t="n">
        <v>75.44</v>
      </c>
      <c r="J74" s="24" t="n">
        <v>196898.4</v>
      </c>
      <c r="K74" s="25" t="s">
        <v>4</v>
      </c>
      <c r="L74" s="4"/>
    </row>
    <row r="75" customFormat="false" ht="15" hidden="false" customHeight="false" outlineLevel="0" collapsed="false">
      <c r="A75" s="21" t="s">
        <v>189</v>
      </c>
      <c r="B75" s="21" t="n">
        <v>2</v>
      </c>
      <c r="C75" s="22" t="s">
        <v>115</v>
      </c>
      <c r="D75" s="23" t="n">
        <v>32.42</v>
      </c>
      <c r="E75" s="24" t="n">
        <v>77808</v>
      </c>
      <c r="F75" s="22" t="s">
        <v>190</v>
      </c>
      <c r="G75" s="21" t="s">
        <v>191</v>
      </c>
      <c r="H75" s="22" t="s">
        <v>115</v>
      </c>
      <c r="I75" s="23" t="n">
        <v>32.42</v>
      </c>
      <c r="J75" s="24" t="n">
        <v>77808</v>
      </c>
      <c r="K75" s="25" t="s">
        <v>4</v>
      </c>
      <c r="L75" s="4"/>
    </row>
    <row r="76" customFormat="false" ht="15" hidden="false" customHeight="false" outlineLevel="0" collapsed="false">
      <c r="A76" s="21" t="s">
        <v>189</v>
      </c>
      <c r="B76" s="21" t="n">
        <v>3</v>
      </c>
      <c r="C76" s="22" t="s">
        <v>192</v>
      </c>
      <c r="D76" s="23" t="n">
        <v>35.72</v>
      </c>
      <c r="E76" s="24" t="n">
        <v>86442.4</v>
      </c>
      <c r="F76" s="22" t="s">
        <v>193</v>
      </c>
      <c r="G76" s="21" t="s">
        <v>194</v>
      </c>
      <c r="H76" s="22" t="s">
        <v>192</v>
      </c>
      <c r="I76" s="23" t="n">
        <v>35.72</v>
      </c>
      <c r="J76" s="24" t="n">
        <v>86442.4</v>
      </c>
      <c r="K76" s="25" t="s">
        <v>4</v>
      </c>
      <c r="L76" s="4"/>
    </row>
    <row r="77" customFormat="false" ht="15" hidden="false" customHeight="false" outlineLevel="0" collapsed="false">
      <c r="A77" s="21" t="s">
        <v>189</v>
      </c>
      <c r="B77" s="21" t="n">
        <v>4</v>
      </c>
      <c r="C77" s="22" t="s">
        <v>195</v>
      </c>
      <c r="D77" s="23" t="n">
        <v>38.07</v>
      </c>
      <c r="E77" s="24" t="n">
        <v>91748.7</v>
      </c>
      <c r="F77" s="22" t="s">
        <v>196</v>
      </c>
      <c r="G77" s="21" t="s">
        <v>197</v>
      </c>
      <c r="H77" s="22" t="s">
        <v>195</v>
      </c>
      <c r="I77" s="23" t="n">
        <v>38.07</v>
      </c>
      <c r="J77" s="24" t="n">
        <v>91748.7</v>
      </c>
      <c r="K77" s="25" t="s">
        <v>4</v>
      </c>
      <c r="L77" s="4"/>
    </row>
    <row r="78" customFormat="false" ht="15" hidden="false" customHeight="false" outlineLevel="0" collapsed="false">
      <c r="A78" s="21" t="s">
        <v>189</v>
      </c>
      <c r="B78" s="21" t="n">
        <v>5</v>
      </c>
      <c r="C78" s="22" t="s">
        <v>195</v>
      </c>
      <c r="D78" s="23" t="n">
        <v>35.28</v>
      </c>
      <c r="E78" s="24" t="n">
        <v>68714.8</v>
      </c>
      <c r="F78" s="22" t="s">
        <v>198</v>
      </c>
      <c r="G78" s="21" t="s">
        <v>199</v>
      </c>
      <c r="H78" s="22" t="s">
        <v>195</v>
      </c>
      <c r="I78" s="23" t="n">
        <v>35.28</v>
      </c>
      <c r="J78" s="24" t="n">
        <v>68714.8</v>
      </c>
      <c r="K78" s="25" t="s">
        <v>4</v>
      </c>
      <c r="L78" s="4"/>
    </row>
    <row r="79" customFormat="false" ht="15" hidden="false" customHeight="false" outlineLevel="0" collapsed="false">
      <c r="A79" s="21" t="s">
        <v>200</v>
      </c>
      <c r="B79" s="21" t="n">
        <v>2</v>
      </c>
      <c r="C79" s="22" t="s">
        <v>70</v>
      </c>
      <c r="D79" s="23" t="n">
        <v>39.16</v>
      </c>
      <c r="E79" s="24" t="n">
        <v>91242.8</v>
      </c>
      <c r="F79" s="22" t="s">
        <v>201</v>
      </c>
      <c r="G79" s="21" t="s">
        <v>202</v>
      </c>
      <c r="H79" s="22" t="s">
        <v>70</v>
      </c>
      <c r="I79" s="23" t="n">
        <v>39.16</v>
      </c>
      <c r="J79" s="24" t="n">
        <v>91242.8</v>
      </c>
      <c r="K79" s="25" t="s">
        <v>4</v>
      </c>
      <c r="L79" s="4"/>
    </row>
    <row r="80" customFormat="false" ht="15" hidden="false" customHeight="false" outlineLevel="0" collapsed="false">
      <c r="A80" s="21" t="s">
        <v>200</v>
      </c>
      <c r="B80" s="21" t="n">
        <v>3</v>
      </c>
      <c r="C80" s="22" t="s">
        <v>80</v>
      </c>
      <c r="D80" s="23" t="n">
        <v>38.78</v>
      </c>
      <c r="E80" s="24" t="n">
        <v>89969.6</v>
      </c>
      <c r="F80" s="22" t="s">
        <v>203</v>
      </c>
      <c r="G80" s="21" t="s">
        <v>204</v>
      </c>
      <c r="H80" s="22" t="s">
        <v>80</v>
      </c>
      <c r="I80" s="23" t="n">
        <v>38.78</v>
      </c>
      <c r="J80" s="24" t="n">
        <v>89969.6</v>
      </c>
      <c r="K80" s="25" t="s">
        <v>4</v>
      </c>
      <c r="L80" s="4"/>
    </row>
    <row r="81" customFormat="false" ht="15" hidden="false" customHeight="false" outlineLevel="0" collapsed="false">
      <c r="A81" s="21" t="s">
        <v>200</v>
      </c>
      <c r="B81" s="21" t="n">
        <v>4</v>
      </c>
      <c r="C81" s="22" t="s">
        <v>107</v>
      </c>
      <c r="D81" s="23" t="n">
        <v>39.96</v>
      </c>
      <c r="E81" s="24" t="n">
        <v>93186.72</v>
      </c>
      <c r="F81" s="22" t="s">
        <v>205</v>
      </c>
      <c r="G81" s="21" t="s">
        <v>206</v>
      </c>
      <c r="H81" s="22" t="s">
        <v>107</v>
      </c>
      <c r="I81" s="23" t="n">
        <v>39.96</v>
      </c>
      <c r="J81" s="24" t="n">
        <v>93186.72</v>
      </c>
      <c r="K81" s="25" t="s">
        <v>4</v>
      </c>
      <c r="L81" s="4"/>
    </row>
    <row r="82" customFormat="false" ht="15" hidden="false" customHeight="false" outlineLevel="0" collapsed="false">
      <c r="A82" s="21" t="s">
        <v>200</v>
      </c>
      <c r="B82" s="21" t="n">
        <v>5</v>
      </c>
      <c r="C82" s="22" t="s">
        <v>154</v>
      </c>
      <c r="D82" s="23" t="n">
        <v>39.17</v>
      </c>
      <c r="E82" s="24" t="n">
        <v>94008</v>
      </c>
      <c r="F82" s="22" t="s">
        <v>207</v>
      </c>
      <c r="G82" s="21" t="s">
        <v>208</v>
      </c>
      <c r="H82" s="22" t="s">
        <v>154</v>
      </c>
      <c r="I82" s="23" t="n">
        <v>39.17</v>
      </c>
      <c r="J82" s="24" t="n">
        <v>94008</v>
      </c>
      <c r="K82" s="25" t="s">
        <v>4</v>
      </c>
      <c r="L82" s="4"/>
    </row>
    <row r="83" customFormat="false" ht="15" hidden="false" customHeight="false" outlineLevel="0" collapsed="false">
      <c r="A83" s="21" t="s">
        <v>200</v>
      </c>
      <c r="B83" s="21" t="n">
        <v>6</v>
      </c>
      <c r="C83" s="22" t="s">
        <v>156</v>
      </c>
      <c r="D83" s="23" t="n">
        <v>34.42</v>
      </c>
      <c r="E83" s="24" t="n">
        <v>82263.8</v>
      </c>
      <c r="F83" s="22" t="s">
        <v>209</v>
      </c>
      <c r="G83" s="21" t="s">
        <v>210</v>
      </c>
      <c r="H83" s="22" t="s">
        <v>156</v>
      </c>
      <c r="I83" s="23" t="n">
        <v>34.42</v>
      </c>
      <c r="J83" s="24" t="n">
        <v>82263.8</v>
      </c>
      <c r="K83" s="25" t="s">
        <v>4</v>
      </c>
      <c r="L83" s="4"/>
    </row>
    <row r="84" customFormat="false" ht="15" hidden="false" customHeight="false" outlineLevel="0" collapsed="false">
      <c r="A84" s="21" t="s">
        <v>200</v>
      </c>
      <c r="B84" s="21" t="n">
        <v>7</v>
      </c>
      <c r="C84" s="22" t="s">
        <v>211</v>
      </c>
      <c r="D84" s="23" t="n">
        <v>41.42</v>
      </c>
      <c r="E84" s="24" t="n">
        <v>96094.4</v>
      </c>
      <c r="F84" s="22" t="s">
        <v>212</v>
      </c>
      <c r="G84" s="21" t="s">
        <v>213</v>
      </c>
      <c r="H84" s="22" t="s">
        <v>211</v>
      </c>
      <c r="I84" s="23" t="n">
        <v>41.42</v>
      </c>
      <c r="J84" s="24" t="n">
        <v>96094.4</v>
      </c>
      <c r="K84" s="25" t="s">
        <v>4</v>
      </c>
      <c r="L84" s="4"/>
    </row>
    <row r="85" customFormat="false" ht="15" hidden="false" customHeight="false" outlineLevel="0" collapsed="false">
      <c r="A85" s="21" t="s">
        <v>214</v>
      </c>
      <c r="B85" s="21" t="n">
        <v>2</v>
      </c>
      <c r="C85" s="22" t="s">
        <v>92</v>
      </c>
      <c r="D85" s="23" t="n">
        <v>34.49</v>
      </c>
      <c r="E85" s="24" t="n">
        <v>80430.68</v>
      </c>
      <c r="F85" s="22" t="s">
        <v>215</v>
      </c>
      <c r="G85" s="21" t="s">
        <v>216</v>
      </c>
      <c r="H85" s="22" t="s">
        <v>92</v>
      </c>
      <c r="I85" s="23" t="n">
        <v>34.49</v>
      </c>
      <c r="J85" s="24" t="n">
        <v>80430.68</v>
      </c>
      <c r="K85" s="25" t="s">
        <v>4</v>
      </c>
      <c r="L85" s="4"/>
    </row>
    <row r="86" customFormat="false" ht="15" hidden="false" customHeight="false" outlineLevel="0" collapsed="false">
      <c r="A86" s="21" t="s">
        <v>214</v>
      </c>
      <c r="B86" s="21" t="n">
        <v>3</v>
      </c>
      <c r="C86" s="22" t="s">
        <v>161</v>
      </c>
      <c r="D86" s="23" t="n">
        <v>44.52</v>
      </c>
      <c r="E86" s="24" t="n">
        <v>103286.4</v>
      </c>
      <c r="F86" s="22" t="s">
        <v>217</v>
      </c>
      <c r="G86" s="21" t="s">
        <v>218</v>
      </c>
      <c r="H86" s="22" t="s">
        <v>161</v>
      </c>
      <c r="I86" s="23" t="n">
        <v>44.52</v>
      </c>
      <c r="J86" s="24" t="n">
        <v>103286.4</v>
      </c>
      <c r="K86" s="25" t="s">
        <v>4</v>
      </c>
      <c r="L86" s="4"/>
    </row>
    <row r="87" customFormat="false" ht="15" hidden="false" customHeight="false" outlineLevel="0" collapsed="false">
      <c r="A87" s="21" t="s">
        <v>214</v>
      </c>
      <c r="B87" s="21" t="n">
        <v>4</v>
      </c>
      <c r="C87" s="22" t="s">
        <v>156</v>
      </c>
      <c r="D87" s="23" t="n">
        <v>33.02</v>
      </c>
      <c r="E87" s="24" t="n">
        <v>76606.4</v>
      </c>
      <c r="F87" s="22" t="s">
        <v>219</v>
      </c>
      <c r="G87" s="21" t="s">
        <v>220</v>
      </c>
      <c r="H87" s="22" t="s">
        <v>156</v>
      </c>
      <c r="I87" s="23" t="n">
        <v>33.02</v>
      </c>
      <c r="J87" s="24" t="n">
        <v>76606.4</v>
      </c>
      <c r="K87" s="25" t="s">
        <v>4</v>
      </c>
      <c r="L87" s="4"/>
    </row>
    <row r="88" customFormat="false" ht="15" hidden="false" customHeight="false" outlineLevel="0" collapsed="false">
      <c r="A88" s="21" t="s">
        <v>221</v>
      </c>
      <c r="B88" s="21" t="n">
        <v>2</v>
      </c>
      <c r="C88" s="22" t="s">
        <v>222</v>
      </c>
      <c r="D88" s="23" t="n">
        <v>56.14</v>
      </c>
      <c r="E88" s="24" t="n">
        <v>132939.52</v>
      </c>
      <c r="F88" s="22" t="s">
        <v>223</v>
      </c>
      <c r="G88" s="21" t="s">
        <v>224</v>
      </c>
      <c r="H88" s="22" t="s">
        <v>222</v>
      </c>
      <c r="I88" s="23" t="n">
        <v>56.14</v>
      </c>
      <c r="J88" s="24" t="n">
        <v>132939.52</v>
      </c>
      <c r="K88" s="25" t="s">
        <v>4</v>
      </c>
      <c r="L88" s="4"/>
    </row>
    <row r="89" customFormat="false" ht="15" hidden="false" customHeight="false" outlineLevel="0" collapsed="false">
      <c r="A89" s="21" t="s">
        <v>221</v>
      </c>
      <c r="B89" s="21" t="n">
        <v>3</v>
      </c>
      <c r="C89" s="22" t="s">
        <v>161</v>
      </c>
      <c r="D89" s="23" t="n">
        <v>78.36</v>
      </c>
      <c r="E89" s="24" t="n">
        <v>198250.8</v>
      </c>
      <c r="F89" s="22" t="s">
        <v>225</v>
      </c>
      <c r="G89" s="21" t="s">
        <v>226</v>
      </c>
      <c r="H89" s="22" t="s">
        <v>161</v>
      </c>
      <c r="I89" s="23" t="n">
        <v>78.36</v>
      </c>
      <c r="J89" s="24" t="n">
        <v>198250.8</v>
      </c>
      <c r="K89" s="25" t="s">
        <v>4</v>
      </c>
      <c r="L89" s="4"/>
    </row>
    <row r="90" customFormat="false" ht="15" hidden="false" customHeight="false" outlineLevel="0" collapsed="false">
      <c r="A90" s="21" t="s">
        <v>221</v>
      </c>
      <c r="B90" s="21" t="n">
        <v>4</v>
      </c>
      <c r="C90" s="22" t="s">
        <v>156</v>
      </c>
      <c r="D90" s="23" t="n">
        <v>79.58</v>
      </c>
      <c r="E90" s="24" t="n">
        <v>199745.8</v>
      </c>
      <c r="F90" s="22" t="s">
        <v>227</v>
      </c>
      <c r="G90" s="21" t="s">
        <v>226</v>
      </c>
      <c r="H90" s="22" t="s">
        <v>156</v>
      </c>
      <c r="I90" s="23" t="n">
        <v>79.58</v>
      </c>
      <c r="J90" s="24" t="n">
        <v>199745.8</v>
      </c>
      <c r="K90" s="25" t="s">
        <v>4</v>
      </c>
      <c r="L90" s="4"/>
    </row>
    <row r="91" customFormat="false" ht="15" hidden="false" customHeight="false" outlineLevel="0" collapsed="false">
      <c r="A91" s="21" t="s">
        <v>221</v>
      </c>
      <c r="B91" s="21" t="n">
        <v>5</v>
      </c>
      <c r="C91" s="22" t="s">
        <v>156</v>
      </c>
      <c r="D91" s="23" t="n">
        <v>47.98</v>
      </c>
      <c r="E91" s="24" t="n">
        <v>123308.6</v>
      </c>
      <c r="F91" s="22" t="s">
        <v>228</v>
      </c>
      <c r="G91" s="21" t="s">
        <v>229</v>
      </c>
      <c r="H91" s="22" t="s">
        <v>156</v>
      </c>
      <c r="I91" s="23" t="n">
        <v>47.98</v>
      </c>
      <c r="J91" s="24" t="n">
        <v>123308.6</v>
      </c>
      <c r="K91" s="25" t="s">
        <v>4</v>
      </c>
      <c r="L91" s="4"/>
    </row>
    <row r="92" customFormat="false" ht="15" hidden="false" customHeight="false" outlineLevel="0" collapsed="false">
      <c r="A92" s="21" t="s">
        <v>221</v>
      </c>
      <c r="B92" s="21" t="n">
        <v>6</v>
      </c>
      <c r="C92" s="22" t="s">
        <v>211</v>
      </c>
      <c r="D92" s="23" t="n">
        <v>50.72</v>
      </c>
      <c r="E92" s="24" t="n">
        <v>128017.28</v>
      </c>
      <c r="F92" s="22" t="s">
        <v>230</v>
      </c>
      <c r="G92" s="21" t="s">
        <v>231</v>
      </c>
      <c r="H92" s="22" t="s">
        <v>211</v>
      </c>
      <c r="I92" s="23" t="n">
        <v>50.72</v>
      </c>
      <c r="J92" s="24" t="n">
        <v>128017.28</v>
      </c>
      <c r="K92" s="25" t="s">
        <v>4</v>
      </c>
      <c r="L92" s="4"/>
    </row>
    <row r="93" customFormat="false" ht="15" hidden="false" customHeight="false" outlineLevel="0" collapsed="false">
      <c r="A93" s="21" t="s">
        <v>221</v>
      </c>
      <c r="B93" s="21" t="n">
        <v>7</v>
      </c>
      <c r="C93" s="22" t="s">
        <v>165</v>
      </c>
      <c r="D93" s="23" t="n">
        <v>73.54</v>
      </c>
      <c r="E93" s="24" t="n">
        <v>186056.2</v>
      </c>
      <c r="F93" s="22" t="s">
        <v>232</v>
      </c>
      <c r="G93" s="21" t="s">
        <v>226</v>
      </c>
      <c r="H93" s="22" t="s">
        <v>165</v>
      </c>
      <c r="I93" s="23" t="n">
        <v>73.54</v>
      </c>
      <c r="J93" s="24" t="n">
        <v>186056.2</v>
      </c>
      <c r="K93" s="25" t="s">
        <v>4</v>
      </c>
      <c r="L93" s="4"/>
    </row>
    <row r="94" customFormat="false" ht="15" hidden="false" customHeight="false" outlineLevel="0" collapsed="false">
      <c r="A94" s="21" t="s">
        <v>221</v>
      </c>
      <c r="B94" s="21" t="n">
        <v>8</v>
      </c>
      <c r="C94" s="22" t="s">
        <v>165</v>
      </c>
      <c r="D94" s="23" t="n">
        <v>52</v>
      </c>
      <c r="E94" s="24" t="n">
        <v>126308</v>
      </c>
      <c r="F94" s="22" t="s">
        <v>233</v>
      </c>
      <c r="G94" s="21" t="s">
        <v>234</v>
      </c>
      <c r="H94" s="22" t="s">
        <v>165</v>
      </c>
      <c r="I94" s="23" t="n">
        <v>52</v>
      </c>
      <c r="J94" s="24" t="n">
        <v>126308</v>
      </c>
      <c r="K94" s="25" t="s">
        <v>4</v>
      </c>
      <c r="L94" s="4"/>
    </row>
    <row r="95" customFormat="false" ht="15" hidden="false" customHeight="false" outlineLevel="0" collapsed="false">
      <c r="A95" s="21" t="s">
        <v>221</v>
      </c>
      <c r="B95" s="21" t="n">
        <v>9</v>
      </c>
      <c r="C95" s="22" t="s">
        <v>148</v>
      </c>
      <c r="D95" s="23" t="n">
        <v>30.22</v>
      </c>
      <c r="E95" s="24" t="n">
        <v>75852.2</v>
      </c>
      <c r="F95" s="22" t="s">
        <v>235</v>
      </c>
      <c r="G95" s="21" t="s">
        <v>236</v>
      </c>
      <c r="H95" s="22" t="s">
        <v>148</v>
      </c>
      <c r="I95" s="23" t="n">
        <v>30.22</v>
      </c>
      <c r="J95" s="24" t="n">
        <v>75852.2</v>
      </c>
      <c r="K95" s="25" t="s">
        <v>4</v>
      </c>
      <c r="L95" s="4"/>
    </row>
    <row r="96" customFormat="false" ht="15" hidden="false" customHeight="false" outlineLevel="0" collapsed="false">
      <c r="A96" s="32" t="s">
        <v>221</v>
      </c>
      <c r="B96" s="32" t="n">
        <v>10</v>
      </c>
      <c r="C96" s="33" t="s">
        <v>237</v>
      </c>
      <c r="D96" s="34" t="n">
        <v>27.98</v>
      </c>
      <c r="E96" s="35" t="n">
        <v>70229.8</v>
      </c>
      <c r="F96" s="32"/>
      <c r="G96" s="32"/>
      <c r="H96" s="32"/>
      <c r="I96" s="34"/>
      <c r="J96" s="35"/>
      <c r="K96" s="32" t="s">
        <v>238</v>
      </c>
      <c r="L96" s="5" t="s">
        <v>239</v>
      </c>
    </row>
    <row r="97" customFormat="false" ht="15" hidden="false" customHeight="false" outlineLevel="0" collapsed="false">
      <c r="A97" s="21" t="s">
        <v>240</v>
      </c>
      <c r="B97" s="21" t="n">
        <v>2</v>
      </c>
      <c r="C97" s="26" t="s">
        <v>192</v>
      </c>
      <c r="D97" s="23" t="n">
        <v>481.77</v>
      </c>
      <c r="E97" s="24" t="n">
        <v>1181813.6</v>
      </c>
      <c r="F97" s="22" t="s">
        <v>241</v>
      </c>
      <c r="G97" s="21" t="s">
        <v>242</v>
      </c>
      <c r="H97" s="26" t="s">
        <v>131</v>
      </c>
      <c r="I97" s="23" t="n">
        <v>481.77</v>
      </c>
      <c r="J97" s="24" t="n">
        <v>1181813.6</v>
      </c>
      <c r="K97" s="27" t="s">
        <v>81</v>
      </c>
      <c r="L97" s="4" t="s">
        <v>243</v>
      </c>
    </row>
    <row r="98" customFormat="false" ht="15" hidden="false" customHeight="false" outlineLevel="0" collapsed="false">
      <c r="A98" s="21" t="s">
        <v>240</v>
      </c>
      <c r="B98" s="21" t="n">
        <v>3</v>
      </c>
      <c r="C98" s="26" t="s">
        <v>139</v>
      </c>
      <c r="D98" s="23" t="n">
        <v>560.21</v>
      </c>
      <c r="E98" s="24" t="n">
        <v>1381864.15</v>
      </c>
      <c r="F98" s="22" t="s">
        <v>244</v>
      </c>
      <c r="G98" s="21" t="s">
        <v>245</v>
      </c>
      <c r="H98" s="26" t="s">
        <v>192</v>
      </c>
      <c r="I98" s="23" t="n">
        <v>560.21</v>
      </c>
      <c r="J98" s="24" t="n">
        <v>1381864.15</v>
      </c>
      <c r="K98" s="27" t="s">
        <v>81</v>
      </c>
      <c r="L98" s="4" t="s">
        <v>243</v>
      </c>
    </row>
    <row r="99" customFormat="false" ht="15" hidden="false" customHeight="false" outlineLevel="0" collapsed="false">
      <c r="A99" s="21" t="s">
        <v>240</v>
      </c>
      <c r="B99" s="21" t="n">
        <v>4</v>
      </c>
      <c r="C99" s="26" t="s">
        <v>211</v>
      </c>
      <c r="D99" s="23" t="n">
        <v>589.24</v>
      </c>
      <c r="E99" s="24" t="n">
        <v>1444596.08</v>
      </c>
      <c r="F99" s="22" t="s">
        <v>246</v>
      </c>
      <c r="G99" s="21" t="s">
        <v>247</v>
      </c>
      <c r="H99" s="26" t="s">
        <v>156</v>
      </c>
      <c r="I99" s="23" t="n">
        <v>589.24</v>
      </c>
      <c r="J99" s="24" t="n">
        <v>1444596.08</v>
      </c>
      <c r="K99" s="27" t="s">
        <v>81</v>
      </c>
      <c r="L99" s="4" t="s">
        <v>178</v>
      </c>
    </row>
    <row r="100" customFormat="false" ht="15" hidden="false" customHeight="false" outlineLevel="0" collapsed="false">
      <c r="A100" s="21" t="s">
        <v>240</v>
      </c>
      <c r="B100" s="21" t="n">
        <v>5</v>
      </c>
      <c r="C100" s="26" t="s">
        <v>148</v>
      </c>
      <c r="D100" s="23" t="n">
        <v>646.85</v>
      </c>
      <c r="E100" s="24" t="n">
        <v>1563945.84</v>
      </c>
      <c r="F100" s="22" t="s">
        <v>248</v>
      </c>
      <c r="G100" s="21" t="s">
        <v>249</v>
      </c>
      <c r="H100" s="26" t="s">
        <v>144</v>
      </c>
      <c r="I100" s="23" t="n">
        <v>646.85</v>
      </c>
      <c r="J100" s="24" t="n">
        <v>1563945.84</v>
      </c>
      <c r="K100" s="27" t="s">
        <v>81</v>
      </c>
      <c r="L100" s="4" t="s">
        <v>82</v>
      </c>
    </row>
    <row r="101" customFormat="false" ht="15" hidden="false" customHeight="false" outlineLevel="0" collapsed="false">
      <c r="A101" s="21" t="s">
        <v>250</v>
      </c>
      <c r="B101" s="21" t="n">
        <v>2</v>
      </c>
      <c r="C101" s="26" t="s">
        <v>107</v>
      </c>
      <c r="D101" s="23" t="n">
        <v>518.48</v>
      </c>
      <c r="E101" s="24" t="n">
        <v>1271258.96</v>
      </c>
      <c r="F101" s="22" t="s">
        <v>251</v>
      </c>
      <c r="G101" s="21" t="s">
        <v>252</v>
      </c>
      <c r="H101" s="26" t="s">
        <v>80</v>
      </c>
      <c r="I101" s="23" t="n">
        <v>518.48</v>
      </c>
      <c r="J101" s="24" t="n">
        <v>1271258.96</v>
      </c>
      <c r="K101" s="27" t="s">
        <v>81</v>
      </c>
      <c r="L101" s="4" t="s">
        <v>243</v>
      </c>
    </row>
    <row r="102" customFormat="false" ht="15" hidden="false" customHeight="false" outlineLevel="0" collapsed="false">
      <c r="A102" s="21" t="s">
        <v>253</v>
      </c>
      <c r="B102" s="21" t="n">
        <v>2</v>
      </c>
      <c r="C102" s="22" t="s">
        <v>195</v>
      </c>
      <c r="D102" s="23" t="n">
        <v>39.12</v>
      </c>
      <c r="E102" s="24" t="n">
        <v>89584.8</v>
      </c>
      <c r="F102" s="22" t="s">
        <v>254</v>
      </c>
      <c r="G102" s="21" t="s">
        <v>255</v>
      </c>
      <c r="H102" s="22" t="s">
        <v>195</v>
      </c>
      <c r="I102" s="23" t="n">
        <v>39.12</v>
      </c>
      <c r="J102" s="24" t="n">
        <v>89584.8</v>
      </c>
      <c r="K102" s="25" t="s">
        <v>4</v>
      </c>
      <c r="L102" s="4"/>
    </row>
  </sheetData>
  <autoFilter ref="A1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2"/>
    <col collapsed="false" customWidth="true" hidden="false" outlineLevel="0" max="11" min="11" style="0" width="44"/>
    <col collapsed="false" customWidth="true" hidden="false" outlineLevel="0" max="12" min="12" style="0" width="40"/>
  </cols>
  <sheetData>
    <row r="1" customFormat="false" ht="31.5" hidden="false" customHeight="true" outlineLevel="0" collapsed="false">
      <c r="A1" s="3" t="s">
        <v>45</v>
      </c>
      <c r="B1" s="3" t="s">
        <v>46</v>
      </c>
      <c r="C1" s="3" t="s">
        <v>47</v>
      </c>
      <c r="D1" s="3" t="s">
        <v>50</v>
      </c>
      <c r="E1" s="3" t="s">
        <v>11</v>
      </c>
      <c r="F1" s="3" t="s">
        <v>256</v>
      </c>
      <c r="G1" s="3" t="s">
        <v>257</v>
      </c>
      <c r="H1" s="20" t="s">
        <v>258</v>
      </c>
      <c r="I1" s="20" t="s">
        <v>259</v>
      </c>
      <c r="J1" s="3" t="s">
        <v>260</v>
      </c>
      <c r="K1" s="3" t="s">
        <v>23</v>
      </c>
      <c r="L1" s="3" t="s">
        <v>261</v>
      </c>
    </row>
    <row r="2" customFormat="false" ht="15" hidden="false" customHeight="false" outlineLevel="0" collapsed="false">
      <c r="A2" s="21" t="s">
        <v>55</v>
      </c>
      <c r="B2" s="21" t="n">
        <v>2</v>
      </c>
      <c r="C2" s="22" t="s">
        <v>56</v>
      </c>
      <c r="D2" s="21" t="s">
        <v>58</v>
      </c>
      <c r="E2" s="22" t="s">
        <v>57</v>
      </c>
      <c r="F2" s="21" t="s">
        <v>55</v>
      </c>
      <c r="G2" s="22" t="s">
        <v>262</v>
      </c>
      <c r="H2" s="21" t="s">
        <v>55</v>
      </c>
      <c r="I2" s="21" t="s">
        <v>55</v>
      </c>
      <c r="J2" s="25" t="s">
        <v>4</v>
      </c>
      <c r="K2" s="4"/>
      <c r="L2" s="4"/>
    </row>
    <row r="3" customFormat="false" ht="15" hidden="false" customHeight="false" outlineLevel="0" collapsed="false">
      <c r="A3" s="21" t="s">
        <v>55</v>
      </c>
      <c r="B3" s="21" t="n">
        <v>3</v>
      </c>
      <c r="C3" s="22" t="s">
        <v>59</v>
      </c>
      <c r="D3" s="21" t="s">
        <v>61</v>
      </c>
      <c r="E3" s="22" t="s">
        <v>60</v>
      </c>
      <c r="F3" s="21" t="s">
        <v>55</v>
      </c>
      <c r="G3" s="22" t="s">
        <v>262</v>
      </c>
      <c r="H3" s="21" t="s">
        <v>55</v>
      </c>
      <c r="I3" s="21" t="s">
        <v>55</v>
      </c>
      <c r="J3" s="25" t="s">
        <v>4</v>
      </c>
      <c r="K3" s="4"/>
      <c r="L3" s="4"/>
    </row>
    <row r="4" customFormat="false" ht="15" hidden="false" customHeight="false" outlineLevel="0" collapsed="false">
      <c r="A4" s="21" t="s">
        <v>55</v>
      </c>
      <c r="B4" s="21" t="n">
        <v>4</v>
      </c>
      <c r="C4" s="22" t="s">
        <v>62</v>
      </c>
      <c r="D4" s="21" t="s">
        <v>58</v>
      </c>
      <c r="E4" s="22" t="s">
        <v>63</v>
      </c>
      <c r="F4" s="21" t="s">
        <v>55</v>
      </c>
      <c r="G4" s="22" t="s">
        <v>262</v>
      </c>
      <c r="H4" s="21" t="s">
        <v>55</v>
      </c>
      <c r="I4" s="21" t="s">
        <v>55</v>
      </c>
      <c r="J4" s="25" t="s">
        <v>4</v>
      </c>
      <c r="K4" s="4"/>
      <c r="L4" s="4"/>
    </row>
    <row r="5" customFormat="false" ht="15" hidden="false" customHeight="false" outlineLevel="0" collapsed="false">
      <c r="A5" s="21" t="s">
        <v>55</v>
      </c>
      <c r="B5" s="21" t="n">
        <v>5</v>
      </c>
      <c r="C5" s="22" t="s">
        <v>62</v>
      </c>
      <c r="D5" s="21" t="s">
        <v>65</v>
      </c>
      <c r="E5" s="22" t="s">
        <v>64</v>
      </c>
      <c r="F5" s="21" t="s">
        <v>55</v>
      </c>
      <c r="G5" s="22" t="s">
        <v>262</v>
      </c>
      <c r="H5" s="21" t="s">
        <v>55</v>
      </c>
      <c r="I5" s="21" t="s">
        <v>263</v>
      </c>
      <c r="J5" s="25" t="s">
        <v>4</v>
      </c>
      <c r="K5" s="4"/>
      <c r="L5" s="36" t="s">
        <v>264</v>
      </c>
    </row>
    <row r="6" customFormat="false" ht="15" hidden="false" customHeight="false" outlineLevel="0" collapsed="false">
      <c r="A6" s="21" t="s">
        <v>55</v>
      </c>
      <c r="B6" s="21" t="n">
        <v>6</v>
      </c>
      <c r="C6" s="22" t="s">
        <v>62</v>
      </c>
      <c r="D6" s="21" t="s">
        <v>67</v>
      </c>
      <c r="E6" s="22" t="s">
        <v>66</v>
      </c>
      <c r="F6" s="21" t="s">
        <v>55</v>
      </c>
      <c r="G6" s="22" t="s">
        <v>262</v>
      </c>
      <c r="H6" s="21" t="s">
        <v>55</v>
      </c>
      <c r="I6" s="21" t="s">
        <v>263</v>
      </c>
      <c r="J6" s="25" t="s">
        <v>4</v>
      </c>
      <c r="K6" s="4"/>
      <c r="L6" s="36" t="s">
        <v>264</v>
      </c>
    </row>
    <row r="7" customFormat="false" ht="15" hidden="false" customHeight="false" outlineLevel="0" collapsed="false">
      <c r="A7" s="21" t="s">
        <v>55</v>
      </c>
      <c r="B7" s="21" t="n">
        <v>7</v>
      </c>
      <c r="C7" s="22" t="s">
        <v>62</v>
      </c>
      <c r="D7" s="21" t="s">
        <v>69</v>
      </c>
      <c r="E7" s="22" t="s">
        <v>68</v>
      </c>
      <c r="F7" s="21" t="s">
        <v>55</v>
      </c>
      <c r="G7" s="22" t="s">
        <v>262</v>
      </c>
      <c r="H7" s="21" t="s">
        <v>55</v>
      </c>
      <c r="I7" s="21" t="s">
        <v>55</v>
      </c>
      <c r="J7" s="25" t="s">
        <v>4</v>
      </c>
      <c r="K7" s="4"/>
      <c r="L7" s="4"/>
    </row>
    <row r="8" customFormat="false" ht="15" hidden="false" customHeight="false" outlineLevel="0" collapsed="false">
      <c r="A8" s="21" t="s">
        <v>55</v>
      </c>
      <c r="B8" s="21" t="n">
        <v>8</v>
      </c>
      <c r="C8" s="22" t="s">
        <v>70</v>
      </c>
      <c r="D8" s="21" t="s">
        <v>58</v>
      </c>
      <c r="E8" s="22" t="s">
        <v>71</v>
      </c>
      <c r="F8" s="21" t="s">
        <v>55</v>
      </c>
      <c r="G8" s="22" t="s">
        <v>262</v>
      </c>
      <c r="H8" s="21" t="s">
        <v>55</v>
      </c>
      <c r="I8" s="21" t="s">
        <v>55</v>
      </c>
      <c r="J8" s="25" t="s">
        <v>4</v>
      </c>
      <c r="K8" s="4"/>
      <c r="L8" s="4"/>
    </row>
    <row r="9" customFormat="false" ht="15" hidden="false" customHeight="false" outlineLevel="0" collapsed="false">
      <c r="A9" s="21" t="s">
        <v>55</v>
      </c>
      <c r="B9" s="21" t="n">
        <v>9</v>
      </c>
      <c r="C9" s="22" t="s">
        <v>70</v>
      </c>
      <c r="D9" s="21" t="s">
        <v>73</v>
      </c>
      <c r="E9" s="22" t="s">
        <v>72</v>
      </c>
      <c r="F9" s="21" t="s">
        <v>55</v>
      </c>
      <c r="G9" s="22" t="s">
        <v>262</v>
      </c>
      <c r="H9" s="21" t="s">
        <v>55</v>
      </c>
      <c r="I9" s="21" t="s">
        <v>263</v>
      </c>
      <c r="J9" s="25" t="s">
        <v>4</v>
      </c>
      <c r="K9" s="4"/>
      <c r="L9" s="36" t="s">
        <v>264</v>
      </c>
    </row>
    <row r="10" customFormat="false" ht="15" hidden="false" customHeight="false" outlineLevel="0" collapsed="false">
      <c r="A10" s="21" t="s">
        <v>55</v>
      </c>
      <c r="B10" s="21" t="n">
        <v>10</v>
      </c>
      <c r="C10" s="22" t="s">
        <v>74</v>
      </c>
      <c r="D10" s="21" t="s">
        <v>76</v>
      </c>
      <c r="E10" s="22" t="s">
        <v>75</v>
      </c>
      <c r="F10" s="21" t="s">
        <v>55</v>
      </c>
      <c r="G10" s="22" t="s">
        <v>262</v>
      </c>
      <c r="H10" s="21" t="s">
        <v>55</v>
      </c>
      <c r="I10" s="21" t="s">
        <v>55</v>
      </c>
      <c r="J10" s="25" t="s">
        <v>4</v>
      </c>
      <c r="K10" s="4"/>
      <c r="L10" s="4"/>
    </row>
    <row r="11" customFormat="false" ht="15" hidden="false" customHeight="false" outlineLevel="0" collapsed="false">
      <c r="A11" s="21" t="s">
        <v>55</v>
      </c>
      <c r="B11" s="21" t="n">
        <v>11</v>
      </c>
      <c r="C11" s="22" t="s">
        <v>77</v>
      </c>
      <c r="D11" s="21" t="s">
        <v>79</v>
      </c>
      <c r="E11" s="22" t="s">
        <v>78</v>
      </c>
      <c r="F11" s="21" t="s">
        <v>55</v>
      </c>
      <c r="G11" s="22" t="s">
        <v>262</v>
      </c>
      <c r="H11" s="21" t="s">
        <v>55</v>
      </c>
      <c r="I11" s="21" t="s">
        <v>263</v>
      </c>
      <c r="J11" s="25" t="s">
        <v>4</v>
      </c>
      <c r="K11" s="4"/>
      <c r="L11" s="36" t="s">
        <v>264</v>
      </c>
    </row>
    <row r="12" customFormat="false" ht="15" hidden="false" customHeight="false" outlineLevel="0" collapsed="false">
      <c r="A12" s="21" t="s">
        <v>55</v>
      </c>
      <c r="B12" s="21" t="n">
        <v>12</v>
      </c>
      <c r="C12" s="22" t="s">
        <v>80</v>
      </c>
      <c r="D12" s="21" t="s">
        <v>84</v>
      </c>
      <c r="E12" s="22" t="s">
        <v>83</v>
      </c>
      <c r="F12" s="21" t="s">
        <v>55</v>
      </c>
      <c r="G12" s="22" t="s">
        <v>262</v>
      </c>
      <c r="H12" s="21" t="s">
        <v>55</v>
      </c>
      <c r="I12" s="21" t="s">
        <v>55</v>
      </c>
      <c r="J12" s="25" t="s">
        <v>4</v>
      </c>
      <c r="K12" s="4"/>
      <c r="L12" s="4"/>
    </row>
    <row r="13" customFormat="false" ht="15" hidden="false" customHeight="false" outlineLevel="0" collapsed="false">
      <c r="A13" s="21" t="s">
        <v>55</v>
      </c>
      <c r="B13" s="21" t="n">
        <v>13</v>
      </c>
      <c r="C13" s="22" t="s">
        <v>80</v>
      </c>
      <c r="D13" s="21" t="s">
        <v>61</v>
      </c>
      <c r="E13" s="22" t="s">
        <v>85</v>
      </c>
      <c r="F13" s="21" t="s">
        <v>55</v>
      </c>
      <c r="G13" s="22" t="s">
        <v>262</v>
      </c>
      <c r="H13" s="21" t="s">
        <v>55</v>
      </c>
      <c r="I13" s="21" t="s">
        <v>55</v>
      </c>
      <c r="J13" s="25" t="s">
        <v>4</v>
      </c>
      <c r="K13" s="4"/>
      <c r="L13" s="4"/>
    </row>
    <row r="14" customFormat="false" ht="15" hidden="false" customHeight="false" outlineLevel="0" collapsed="false">
      <c r="A14" s="21" t="s">
        <v>55</v>
      </c>
      <c r="B14" s="21" t="n">
        <v>14</v>
      </c>
      <c r="C14" s="22" t="s">
        <v>80</v>
      </c>
      <c r="D14" s="21" t="s">
        <v>87</v>
      </c>
      <c r="E14" s="22" t="s">
        <v>86</v>
      </c>
      <c r="F14" s="21" t="s">
        <v>55</v>
      </c>
      <c r="G14" s="22" t="s">
        <v>262</v>
      </c>
      <c r="H14" s="21" t="s">
        <v>55</v>
      </c>
      <c r="I14" s="21" t="s">
        <v>55</v>
      </c>
      <c r="J14" s="25" t="s">
        <v>4</v>
      </c>
      <c r="K14" s="4"/>
      <c r="L14" s="4"/>
    </row>
    <row r="15" customFormat="false" ht="15" hidden="false" customHeight="false" outlineLevel="0" collapsed="false">
      <c r="A15" s="21" t="s">
        <v>55</v>
      </c>
      <c r="B15" s="21" t="n">
        <v>15</v>
      </c>
      <c r="C15" s="22" t="s">
        <v>80</v>
      </c>
      <c r="D15" s="21" t="s">
        <v>89</v>
      </c>
      <c r="E15" s="22" t="s">
        <v>88</v>
      </c>
      <c r="F15" s="21" t="s">
        <v>55</v>
      </c>
      <c r="G15" s="22" t="s">
        <v>262</v>
      </c>
      <c r="H15" s="21" t="s">
        <v>55</v>
      </c>
      <c r="I15" s="21" t="s">
        <v>55</v>
      </c>
      <c r="J15" s="25" t="s">
        <v>4</v>
      </c>
      <c r="K15" s="4"/>
      <c r="L15" s="4"/>
    </row>
    <row r="16" customFormat="false" ht="15" hidden="false" customHeight="false" outlineLevel="0" collapsed="false">
      <c r="A16" s="21" t="s">
        <v>55</v>
      </c>
      <c r="B16" s="21" t="n">
        <v>16</v>
      </c>
      <c r="C16" s="22" t="s">
        <v>80</v>
      </c>
      <c r="D16" s="21" t="s">
        <v>91</v>
      </c>
      <c r="E16" s="22" t="s">
        <v>90</v>
      </c>
      <c r="F16" s="21" t="s">
        <v>55</v>
      </c>
      <c r="G16" s="22" t="s">
        <v>262</v>
      </c>
      <c r="H16" s="21" t="s">
        <v>55</v>
      </c>
      <c r="I16" s="21" t="s">
        <v>55</v>
      </c>
      <c r="J16" s="25" t="s">
        <v>4</v>
      </c>
      <c r="K16" s="4"/>
      <c r="L16" s="4"/>
    </row>
    <row r="17" customFormat="false" ht="15" hidden="false" customHeight="false" outlineLevel="0" collapsed="false">
      <c r="A17" s="21" t="s">
        <v>55</v>
      </c>
      <c r="B17" s="21" t="n">
        <v>17</v>
      </c>
      <c r="C17" s="22" t="s">
        <v>92</v>
      </c>
      <c r="D17" s="21" t="s">
        <v>94</v>
      </c>
      <c r="E17" s="22" t="s">
        <v>93</v>
      </c>
      <c r="F17" s="21" t="s">
        <v>55</v>
      </c>
      <c r="G17" s="22" t="s">
        <v>262</v>
      </c>
      <c r="H17" s="21" t="s">
        <v>55</v>
      </c>
      <c r="I17" s="21" t="s">
        <v>55</v>
      </c>
      <c r="J17" s="25" t="s">
        <v>4</v>
      </c>
      <c r="K17" s="4"/>
      <c r="L17" s="4"/>
    </row>
    <row r="18" customFormat="false" ht="15" hidden="false" customHeight="false" outlineLevel="0" collapsed="false">
      <c r="A18" s="21" t="s">
        <v>55</v>
      </c>
      <c r="B18" s="21" t="n">
        <v>18</v>
      </c>
      <c r="C18" s="22" t="s">
        <v>92</v>
      </c>
      <c r="D18" s="21" t="s">
        <v>96</v>
      </c>
      <c r="E18" s="22" t="s">
        <v>95</v>
      </c>
      <c r="F18" s="21" t="s">
        <v>55</v>
      </c>
      <c r="G18" s="22" t="s">
        <v>262</v>
      </c>
      <c r="H18" s="21" t="s">
        <v>55</v>
      </c>
      <c r="I18" s="21" t="s">
        <v>55</v>
      </c>
      <c r="J18" s="25" t="s">
        <v>4</v>
      </c>
      <c r="K18" s="4"/>
      <c r="L18" s="4"/>
    </row>
    <row r="19" customFormat="false" ht="15" hidden="false" customHeight="false" outlineLevel="0" collapsed="false">
      <c r="A19" s="21" t="s">
        <v>55</v>
      </c>
      <c r="B19" s="21" t="n">
        <v>19</v>
      </c>
      <c r="C19" s="22" t="s">
        <v>92</v>
      </c>
      <c r="D19" s="21" t="s">
        <v>76</v>
      </c>
      <c r="E19" s="22" t="s">
        <v>97</v>
      </c>
      <c r="F19" s="21" t="s">
        <v>55</v>
      </c>
      <c r="G19" s="22" t="s">
        <v>262</v>
      </c>
      <c r="H19" s="21" t="s">
        <v>55</v>
      </c>
      <c r="I19" s="21" t="s">
        <v>55</v>
      </c>
      <c r="J19" s="25" t="s">
        <v>4</v>
      </c>
      <c r="K19" s="4"/>
      <c r="L19" s="4"/>
    </row>
    <row r="20" customFormat="false" ht="15" hidden="false" customHeight="false" outlineLevel="0" collapsed="false">
      <c r="A20" s="21" t="s">
        <v>55</v>
      </c>
      <c r="B20" s="21" t="n">
        <v>20</v>
      </c>
      <c r="C20" s="22" t="s">
        <v>92</v>
      </c>
      <c r="D20" s="21" t="s">
        <v>61</v>
      </c>
      <c r="E20" s="22" t="s">
        <v>98</v>
      </c>
      <c r="F20" s="21" t="s">
        <v>55</v>
      </c>
      <c r="G20" s="22" t="s">
        <v>262</v>
      </c>
      <c r="H20" s="21" t="s">
        <v>55</v>
      </c>
      <c r="I20" s="21" t="s">
        <v>55</v>
      </c>
      <c r="J20" s="25" t="s">
        <v>4</v>
      </c>
      <c r="K20" s="4"/>
      <c r="L20" s="4"/>
    </row>
    <row r="21" customFormat="false" ht="15" hidden="false" customHeight="false" outlineLevel="0" collapsed="false">
      <c r="A21" s="21" t="s">
        <v>55</v>
      </c>
      <c r="B21" s="21" t="n">
        <v>21</v>
      </c>
      <c r="C21" s="22" t="s">
        <v>92</v>
      </c>
      <c r="D21" s="21" t="s">
        <v>58</v>
      </c>
      <c r="E21" s="22" t="s">
        <v>99</v>
      </c>
      <c r="F21" s="21" t="s">
        <v>55</v>
      </c>
      <c r="G21" s="22" t="s">
        <v>262</v>
      </c>
      <c r="H21" s="21" t="s">
        <v>55</v>
      </c>
      <c r="I21" s="21" t="s">
        <v>55</v>
      </c>
      <c r="J21" s="25" t="s">
        <v>4</v>
      </c>
      <c r="K21" s="4"/>
      <c r="L21" s="4"/>
    </row>
    <row r="22" customFormat="false" ht="15" hidden="false" customHeight="false" outlineLevel="0" collapsed="false">
      <c r="A22" s="21" t="s">
        <v>55</v>
      </c>
      <c r="B22" s="21" t="n">
        <v>22</v>
      </c>
      <c r="C22" s="22" t="s">
        <v>92</v>
      </c>
      <c r="D22" s="21" t="s">
        <v>69</v>
      </c>
      <c r="E22" s="22" t="s">
        <v>100</v>
      </c>
      <c r="F22" s="21" t="s">
        <v>55</v>
      </c>
      <c r="G22" s="22" t="s">
        <v>262</v>
      </c>
      <c r="H22" s="21" t="s">
        <v>55</v>
      </c>
      <c r="I22" s="21" t="s">
        <v>55</v>
      </c>
      <c r="J22" s="25" t="s">
        <v>4</v>
      </c>
      <c r="K22" s="4"/>
      <c r="L22" s="4"/>
    </row>
    <row r="23" customFormat="false" ht="15" hidden="false" customHeight="false" outlineLevel="0" collapsed="false">
      <c r="A23" s="21" t="s">
        <v>55</v>
      </c>
      <c r="B23" s="21" t="n">
        <v>23</v>
      </c>
      <c r="C23" s="22" t="s">
        <v>92</v>
      </c>
      <c r="D23" s="21" t="s">
        <v>87</v>
      </c>
      <c r="E23" s="22" t="s">
        <v>101</v>
      </c>
      <c r="F23" s="21" t="s">
        <v>55</v>
      </c>
      <c r="G23" s="22" t="s">
        <v>262</v>
      </c>
      <c r="H23" s="21" t="s">
        <v>55</v>
      </c>
      <c r="I23" s="21" t="s">
        <v>55</v>
      </c>
      <c r="J23" s="25" t="s">
        <v>4</v>
      </c>
      <c r="K23" s="4"/>
      <c r="L23" s="4"/>
    </row>
    <row r="24" customFormat="false" ht="15" hidden="false" customHeight="false" outlineLevel="0" collapsed="false">
      <c r="A24" s="21" t="s">
        <v>55</v>
      </c>
      <c r="B24" s="21" t="n">
        <v>24</v>
      </c>
      <c r="C24" s="22" t="s">
        <v>92</v>
      </c>
      <c r="D24" s="21" t="s">
        <v>76</v>
      </c>
      <c r="E24" s="22" t="s">
        <v>102</v>
      </c>
      <c r="F24" s="21" t="s">
        <v>55</v>
      </c>
      <c r="G24" s="22" t="s">
        <v>262</v>
      </c>
      <c r="H24" s="21" t="s">
        <v>55</v>
      </c>
      <c r="I24" s="21" t="s">
        <v>55</v>
      </c>
      <c r="J24" s="25" t="s">
        <v>4</v>
      </c>
      <c r="K24" s="4"/>
      <c r="L24" s="4"/>
    </row>
    <row r="25" customFormat="false" ht="15" hidden="false" customHeight="false" outlineLevel="0" collapsed="false">
      <c r="A25" s="21" t="s">
        <v>55</v>
      </c>
      <c r="B25" s="21" t="n">
        <v>25</v>
      </c>
      <c r="C25" s="22" t="s">
        <v>92</v>
      </c>
      <c r="D25" s="21" t="s">
        <v>104</v>
      </c>
      <c r="E25" s="22" t="s">
        <v>103</v>
      </c>
      <c r="F25" s="21" t="s">
        <v>55</v>
      </c>
      <c r="G25" s="22" t="s">
        <v>262</v>
      </c>
      <c r="H25" s="21" t="s">
        <v>55</v>
      </c>
      <c r="I25" s="21" t="s">
        <v>55</v>
      </c>
      <c r="J25" s="25" t="s">
        <v>4</v>
      </c>
      <c r="K25" s="4"/>
      <c r="L25" s="4"/>
    </row>
    <row r="26" customFormat="false" ht="15" hidden="false" customHeight="false" outlineLevel="0" collapsed="false">
      <c r="A26" s="21" t="s">
        <v>55</v>
      </c>
      <c r="B26" s="21" t="n">
        <v>26</v>
      </c>
      <c r="C26" s="22" t="s">
        <v>92</v>
      </c>
      <c r="D26" s="21" t="s">
        <v>106</v>
      </c>
      <c r="E26" s="22" t="s">
        <v>105</v>
      </c>
      <c r="F26" s="21" t="s">
        <v>55</v>
      </c>
      <c r="G26" s="22" t="s">
        <v>262</v>
      </c>
      <c r="H26" s="21" t="s">
        <v>55</v>
      </c>
      <c r="I26" s="21" t="s">
        <v>55</v>
      </c>
      <c r="J26" s="25" t="s">
        <v>4</v>
      </c>
      <c r="K26" s="4"/>
      <c r="L26" s="4"/>
    </row>
    <row r="27" customFormat="false" ht="15" hidden="false" customHeight="false" outlineLevel="0" collapsed="false">
      <c r="A27" s="21" t="s">
        <v>55</v>
      </c>
      <c r="B27" s="21" t="n">
        <v>27</v>
      </c>
      <c r="C27" s="22" t="s">
        <v>107</v>
      </c>
      <c r="D27" s="21" t="s">
        <v>58</v>
      </c>
      <c r="E27" s="22" t="s">
        <v>108</v>
      </c>
      <c r="F27" s="21" t="s">
        <v>55</v>
      </c>
      <c r="G27" s="22" t="s">
        <v>262</v>
      </c>
      <c r="H27" s="21" t="s">
        <v>55</v>
      </c>
      <c r="I27" s="21" t="s">
        <v>55</v>
      </c>
      <c r="J27" s="25" t="s">
        <v>4</v>
      </c>
      <c r="K27" s="4"/>
      <c r="L27" s="4"/>
    </row>
    <row r="28" customFormat="false" ht="15" hidden="false" customHeight="false" outlineLevel="0" collapsed="false">
      <c r="A28" s="21" t="s">
        <v>55</v>
      </c>
      <c r="B28" s="21" t="n">
        <v>28</v>
      </c>
      <c r="C28" s="22" t="s">
        <v>107</v>
      </c>
      <c r="D28" s="21" t="s">
        <v>91</v>
      </c>
      <c r="E28" s="22" t="s">
        <v>109</v>
      </c>
      <c r="F28" s="21" t="s">
        <v>55</v>
      </c>
      <c r="G28" s="22" t="s">
        <v>262</v>
      </c>
      <c r="H28" s="21" t="s">
        <v>55</v>
      </c>
      <c r="I28" s="21" t="s">
        <v>55</v>
      </c>
      <c r="J28" s="25" t="s">
        <v>4</v>
      </c>
      <c r="K28" s="4"/>
      <c r="L28" s="4"/>
    </row>
    <row r="29" customFormat="false" ht="15" hidden="false" customHeight="false" outlineLevel="0" collapsed="false">
      <c r="A29" s="21" t="s">
        <v>55</v>
      </c>
      <c r="B29" s="21" t="n">
        <v>29</v>
      </c>
      <c r="C29" s="22" t="s">
        <v>107</v>
      </c>
      <c r="D29" s="21" t="s">
        <v>76</v>
      </c>
      <c r="E29" s="22" t="s">
        <v>265</v>
      </c>
      <c r="F29" s="21" t="s">
        <v>55</v>
      </c>
      <c r="G29" s="22" t="s">
        <v>262</v>
      </c>
      <c r="H29" s="21" t="s">
        <v>55</v>
      </c>
      <c r="I29" s="21" t="s">
        <v>55</v>
      </c>
      <c r="J29" s="25" t="s">
        <v>4</v>
      </c>
      <c r="K29" s="4" t="s">
        <v>266</v>
      </c>
      <c r="L29" s="4"/>
    </row>
    <row r="30" customFormat="false" ht="15" hidden="false" customHeight="false" outlineLevel="0" collapsed="false">
      <c r="A30" s="21" t="s">
        <v>55</v>
      </c>
      <c r="B30" s="21" t="n">
        <v>29</v>
      </c>
      <c r="C30" s="22" t="s">
        <v>107</v>
      </c>
      <c r="D30" s="21" t="s">
        <v>106</v>
      </c>
      <c r="E30" s="22" t="s">
        <v>267</v>
      </c>
      <c r="F30" s="21" t="s">
        <v>55</v>
      </c>
      <c r="G30" s="22" t="s">
        <v>262</v>
      </c>
      <c r="H30" s="21" t="s">
        <v>55</v>
      </c>
      <c r="I30" s="21" t="s">
        <v>263</v>
      </c>
      <c r="J30" s="25" t="s">
        <v>4</v>
      </c>
      <c r="K30" s="4" t="s">
        <v>266</v>
      </c>
      <c r="L30" s="36" t="s">
        <v>264</v>
      </c>
    </row>
    <row r="31" customFormat="false" ht="15" hidden="false" customHeight="false" outlineLevel="0" collapsed="false">
      <c r="A31" s="21" t="s">
        <v>55</v>
      </c>
      <c r="B31" s="21" t="n">
        <v>30</v>
      </c>
      <c r="C31" s="22" t="s">
        <v>107</v>
      </c>
      <c r="D31" s="21" t="s">
        <v>58</v>
      </c>
      <c r="E31" s="22" t="s">
        <v>114</v>
      </c>
      <c r="F31" s="21" t="s">
        <v>55</v>
      </c>
      <c r="G31" s="22" t="s">
        <v>262</v>
      </c>
      <c r="H31" s="21" t="s">
        <v>55</v>
      </c>
      <c r="I31" s="21" t="s">
        <v>55</v>
      </c>
      <c r="J31" s="25" t="s">
        <v>4</v>
      </c>
      <c r="K31" s="4"/>
      <c r="L31" s="4"/>
    </row>
    <row r="32" customFormat="false" ht="15" hidden="false" customHeight="false" outlineLevel="0" collapsed="false">
      <c r="A32" s="21" t="s">
        <v>55</v>
      </c>
      <c r="B32" s="21" t="n">
        <v>31</v>
      </c>
      <c r="C32" s="22" t="s">
        <v>115</v>
      </c>
      <c r="D32" s="21" t="s">
        <v>58</v>
      </c>
      <c r="E32" s="22" t="s">
        <v>116</v>
      </c>
      <c r="F32" s="21" t="s">
        <v>55</v>
      </c>
      <c r="G32" s="22" t="s">
        <v>262</v>
      </c>
      <c r="H32" s="21" t="s">
        <v>55</v>
      </c>
      <c r="I32" s="21" t="s">
        <v>55</v>
      </c>
      <c r="J32" s="25" t="s">
        <v>4</v>
      </c>
      <c r="K32" s="4"/>
      <c r="L32" s="4"/>
    </row>
    <row r="33" customFormat="false" ht="15" hidden="false" customHeight="false" outlineLevel="0" collapsed="false">
      <c r="A33" s="21" t="s">
        <v>55</v>
      </c>
      <c r="B33" s="21" t="n">
        <v>32</v>
      </c>
      <c r="C33" s="22" t="s">
        <v>115</v>
      </c>
      <c r="D33" s="21" t="s">
        <v>106</v>
      </c>
      <c r="E33" s="22" t="s">
        <v>117</v>
      </c>
      <c r="F33" s="21" t="s">
        <v>55</v>
      </c>
      <c r="G33" s="22" t="s">
        <v>262</v>
      </c>
      <c r="H33" s="21" t="s">
        <v>55</v>
      </c>
      <c r="I33" s="21" t="s">
        <v>263</v>
      </c>
      <c r="J33" s="25" t="s">
        <v>4</v>
      </c>
      <c r="K33" s="4"/>
      <c r="L33" s="36" t="s">
        <v>264</v>
      </c>
    </row>
    <row r="34" customFormat="false" ht="15" hidden="false" customHeight="false" outlineLevel="0" collapsed="false">
      <c r="A34" s="21" t="s">
        <v>55</v>
      </c>
      <c r="B34" s="21" t="n">
        <v>33</v>
      </c>
      <c r="C34" s="22" t="s">
        <v>115</v>
      </c>
      <c r="D34" s="21" t="s">
        <v>58</v>
      </c>
      <c r="E34" s="22" t="s">
        <v>118</v>
      </c>
      <c r="F34" s="21" t="s">
        <v>55</v>
      </c>
      <c r="G34" s="22" t="s">
        <v>262</v>
      </c>
      <c r="H34" s="21" t="s">
        <v>55</v>
      </c>
      <c r="I34" s="21" t="s">
        <v>55</v>
      </c>
      <c r="J34" s="25" t="s">
        <v>4</v>
      </c>
      <c r="K34" s="4"/>
      <c r="L34" s="4"/>
    </row>
    <row r="35" customFormat="false" ht="15" hidden="false" customHeight="false" outlineLevel="0" collapsed="false">
      <c r="A35" s="21" t="s">
        <v>55</v>
      </c>
      <c r="B35" s="21" t="n">
        <v>34</v>
      </c>
      <c r="C35" s="22" t="s">
        <v>115</v>
      </c>
      <c r="D35" s="21" t="s">
        <v>120</v>
      </c>
      <c r="E35" s="22" t="s">
        <v>119</v>
      </c>
      <c r="F35" s="21" t="s">
        <v>55</v>
      </c>
      <c r="G35" s="22" t="s">
        <v>262</v>
      </c>
      <c r="H35" s="21" t="s">
        <v>55</v>
      </c>
      <c r="I35" s="21" t="s">
        <v>55</v>
      </c>
      <c r="J35" s="25" t="s">
        <v>4</v>
      </c>
      <c r="K35" s="4"/>
      <c r="L35" s="4"/>
    </row>
    <row r="36" customFormat="false" ht="15" hidden="false" customHeight="false" outlineLevel="0" collapsed="false">
      <c r="A36" s="21" t="s">
        <v>55</v>
      </c>
      <c r="B36" s="21" t="n">
        <v>35</v>
      </c>
      <c r="C36" s="22" t="s">
        <v>115</v>
      </c>
      <c r="D36" s="21" t="s">
        <v>122</v>
      </c>
      <c r="E36" s="22" t="s">
        <v>121</v>
      </c>
      <c r="F36" s="21" t="s">
        <v>55</v>
      </c>
      <c r="G36" s="22" t="s">
        <v>262</v>
      </c>
      <c r="H36" s="21" t="s">
        <v>55</v>
      </c>
      <c r="I36" s="21" t="s">
        <v>263</v>
      </c>
      <c r="J36" s="25" t="s">
        <v>4</v>
      </c>
      <c r="K36" s="4"/>
      <c r="L36" s="36" t="s">
        <v>264</v>
      </c>
    </row>
    <row r="37" customFormat="false" ht="15" hidden="false" customHeight="false" outlineLevel="0" collapsed="false">
      <c r="A37" s="21" t="s">
        <v>55</v>
      </c>
      <c r="B37" s="21" t="n">
        <v>36</v>
      </c>
      <c r="C37" s="22" t="s">
        <v>115</v>
      </c>
      <c r="D37" s="21" t="s">
        <v>94</v>
      </c>
      <c r="E37" s="22" t="s">
        <v>123</v>
      </c>
      <c r="F37" s="21" t="s">
        <v>55</v>
      </c>
      <c r="G37" s="22" t="s">
        <v>262</v>
      </c>
      <c r="H37" s="21" t="s">
        <v>55</v>
      </c>
      <c r="I37" s="21" t="s">
        <v>263</v>
      </c>
      <c r="J37" s="25" t="s">
        <v>4</v>
      </c>
      <c r="K37" s="4"/>
      <c r="L37" s="36" t="s">
        <v>264</v>
      </c>
    </row>
    <row r="38" customFormat="false" ht="15" hidden="false" customHeight="false" outlineLevel="0" collapsed="false">
      <c r="A38" s="21" t="s">
        <v>55</v>
      </c>
      <c r="B38" s="21" t="n">
        <v>37</v>
      </c>
      <c r="C38" s="22" t="s">
        <v>115</v>
      </c>
      <c r="D38" s="21" t="s">
        <v>76</v>
      </c>
      <c r="E38" s="22" t="s">
        <v>124</v>
      </c>
      <c r="F38" s="21" t="s">
        <v>55</v>
      </c>
      <c r="G38" s="22" t="s">
        <v>262</v>
      </c>
      <c r="H38" s="21" t="s">
        <v>55</v>
      </c>
      <c r="I38" s="21" t="s">
        <v>55</v>
      </c>
      <c r="J38" s="25" t="s">
        <v>4</v>
      </c>
      <c r="K38" s="4"/>
      <c r="L38" s="4"/>
    </row>
    <row r="39" customFormat="false" ht="15" hidden="false" customHeight="false" outlineLevel="0" collapsed="false">
      <c r="A39" s="21" t="s">
        <v>55</v>
      </c>
      <c r="B39" s="21" t="n">
        <v>38</v>
      </c>
      <c r="C39" s="22" t="s">
        <v>125</v>
      </c>
      <c r="D39" s="21" t="s">
        <v>61</v>
      </c>
      <c r="E39" s="22" t="s">
        <v>126</v>
      </c>
      <c r="F39" s="21" t="s">
        <v>55</v>
      </c>
      <c r="G39" s="22" t="s">
        <v>262</v>
      </c>
      <c r="H39" s="21" t="s">
        <v>55</v>
      </c>
      <c r="I39" s="21" t="s">
        <v>55</v>
      </c>
      <c r="J39" s="25" t="s">
        <v>4</v>
      </c>
      <c r="K39" s="4"/>
      <c r="L39" s="4"/>
    </row>
    <row r="40" customFormat="false" ht="15" hidden="false" customHeight="false" outlineLevel="0" collapsed="false">
      <c r="A40" s="21" t="s">
        <v>55</v>
      </c>
      <c r="B40" s="21" t="n">
        <v>39</v>
      </c>
      <c r="C40" s="22" t="s">
        <v>125</v>
      </c>
      <c r="D40" s="21" t="s">
        <v>106</v>
      </c>
      <c r="E40" s="22" t="s">
        <v>127</v>
      </c>
      <c r="F40" s="21" t="s">
        <v>55</v>
      </c>
      <c r="G40" s="22" t="s">
        <v>262</v>
      </c>
      <c r="H40" s="21" t="s">
        <v>55</v>
      </c>
      <c r="I40" s="21" t="s">
        <v>55</v>
      </c>
      <c r="J40" s="25" t="s">
        <v>4</v>
      </c>
      <c r="K40" s="4"/>
      <c r="L40" s="4"/>
    </row>
    <row r="41" customFormat="false" ht="15" hidden="false" customHeight="false" outlineLevel="0" collapsed="false">
      <c r="A41" s="21" t="s">
        <v>55</v>
      </c>
      <c r="B41" s="21" t="n">
        <v>40</v>
      </c>
      <c r="C41" s="22" t="s">
        <v>125</v>
      </c>
      <c r="D41" s="21" t="s">
        <v>61</v>
      </c>
      <c r="E41" s="22" t="s">
        <v>128</v>
      </c>
      <c r="F41" s="21" t="s">
        <v>55</v>
      </c>
      <c r="G41" s="22" t="s">
        <v>262</v>
      </c>
      <c r="H41" s="21" t="s">
        <v>55</v>
      </c>
      <c r="I41" s="21" t="s">
        <v>55</v>
      </c>
      <c r="J41" s="25" t="s">
        <v>4</v>
      </c>
      <c r="K41" s="4"/>
      <c r="L41" s="4"/>
    </row>
    <row r="42" customFormat="false" ht="15" hidden="false" customHeight="false" outlineLevel="0" collapsed="false">
      <c r="A42" s="21" t="s">
        <v>55</v>
      </c>
      <c r="B42" s="21" t="n">
        <v>41</v>
      </c>
      <c r="C42" s="22" t="s">
        <v>125</v>
      </c>
      <c r="D42" s="21" t="s">
        <v>58</v>
      </c>
      <c r="E42" s="22" t="s">
        <v>129</v>
      </c>
      <c r="F42" s="21" t="s">
        <v>55</v>
      </c>
      <c r="G42" s="22" t="s">
        <v>262</v>
      </c>
      <c r="H42" s="21" t="s">
        <v>55</v>
      </c>
      <c r="I42" s="21" t="s">
        <v>55</v>
      </c>
      <c r="J42" s="25" t="s">
        <v>4</v>
      </c>
      <c r="K42" s="4"/>
      <c r="L42" s="4"/>
    </row>
    <row r="43" customFormat="false" ht="15" hidden="false" customHeight="false" outlineLevel="0" collapsed="false">
      <c r="A43" s="21" t="s">
        <v>55</v>
      </c>
      <c r="B43" s="21" t="n">
        <v>42</v>
      </c>
      <c r="C43" s="22" t="s">
        <v>125</v>
      </c>
      <c r="D43" s="21" t="s">
        <v>58</v>
      </c>
      <c r="E43" s="22" t="s">
        <v>130</v>
      </c>
      <c r="F43" s="21" t="s">
        <v>55</v>
      </c>
      <c r="G43" s="22" t="s">
        <v>262</v>
      </c>
      <c r="H43" s="21" t="s">
        <v>55</v>
      </c>
      <c r="I43" s="21" t="s">
        <v>55</v>
      </c>
      <c r="J43" s="25" t="s">
        <v>4</v>
      </c>
      <c r="K43" s="4"/>
      <c r="L43" s="4"/>
    </row>
    <row r="44" customFormat="false" ht="15" hidden="false" customHeight="false" outlineLevel="0" collapsed="false">
      <c r="A44" s="21" t="s">
        <v>55</v>
      </c>
      <c r="B44" s="21" t="n">
        <v>43</v>
      </c>
      <c r="C44" s="22" t="s">
        <v>131</v>
      </c>
      <c r="D44" s="21" t="s">
        <v>91</v>
      </c>
      <c r="E44" s="22" t="s">
        <v>132</v>
      </c>
      <c r="F44" s="21" t="s">
        <v>55</v>
      </c>
      <c r="G44" s="22" t="s">
        <v>262</v>
      </c>
      <c r="H44" s="21" t="s">
        <v>55</v>
      </c>
      <c r="I44" s="21" t="s">
        <v>55</v>
      </c>
      <c r="J44" s="25" t="s">
        <v>4</v>
      </c>
      <c r="K44" s="4"/>
      <c r="L44" s="4"/>
    </row>
    <row r="45" customFormat="false" ht="15" hidden="false" customHeight="false" outlineLevel="0" collapsed="false">
      <c r="A45" s="21" t="s">
        <v>55</v>
      </c>
      <c r="B45" s="21" t="n">
        <v>44</v>
      </c>
      <c r="C45" s="22" t="s">
        <v>131</v>
      </c>
      <c r="D45" s="21" t="s">
        <v>61</v>
      </c>
      <c r="E45" s="22" t="s">
        <v>133</v>
      </c>
      <c r="F45" s="21" t="s">
        <v>55</v>
      </c>
      <c r="G45" s="22" t="s">
        <v>262</v>
      </c>
      <c r="H45" s="21" t="s">
        <v>55</v>
      </c>
      <c r="I45" s="21" t="s">
        <v>55</v>
      </c>
      <c r="J45" s="25" t="s">
        <v>4</v>
      </c>
      <c r="K45" s="4"/>
      <c r="L45" s="4"/>
    </row>
    <row r="46" customFormat="false" ht="15" hidden="false" customHeight="false" outlineLevel="0" collapsed="false">
      <c r="A46" s="21" t="s">
        <v>55</v>
      </c>
      <c r="B46" s="21" t="n">
        <v>45</v>
      </c>
      <c r="C46" s="22" t="s">
        <v>131</v>
      </c>
      <c r="D46" s="21" t="s">
        <v>96</v>
      </c>
      <c r="E46" s="22" t="s">
        <v>134</v>
      </c>
      <c r="F46" s="21" t="s">
        <v>55</v>
      </c>
      <c r="G46" s="22" t="s">
        <v>262</v>
      </c>
      <c r="H46" s="21" t="s">
        <v>55</v>
      </c>
      <c r="I46" s="21" t="s">
        <v>55</v>
      </c>
      <c r="J46" s="25" t="s">
        <v>4</v>
      </c>
      <c r="K46" s="4"/>
      <c r="L46" s="4"/>
    </row>
    <row r="47" customFormat="false" ht="15" hidden="false" customHeight="false" outlineLevel="0" collapsed="false">
      <c r="A47" s="21" t="s">
        <v>55</v>
      </c>
      <c r="B47" s="21" t="n">
        <v>46</v>
      </c>
      <c r="C47" s="22" t="s">
        <v>131</v>
      </c>
      <c r="D47" s="21" t="s">
        <v>58</v>
      </c>
      <c r="E47" s="22" t="s">
        <v>135</v>
      </c>
      <c r="F47" s="21" t="s">
        <v>55</v>
      </c>
      <c r="G47" s="22" t="s">
        <v>262</v>
      </c>
      <c r="H47" s="21" t="s">
        <v>55</v>
      </c>
      <c r="I47" s="21" t="s">
        <v>55</v>
      </c>
      <c r="J47" s="25" t="s">
        <v>4</v>
      </c>
      <c r="K47" s="4"/>
      <c r="L47" s="4"/>
    </row>
    <row r="48" customFormat="false" ht="15" hidden="false" customHeight="false" outlineLevel="0" collapsed="false">
      <c r="A48" s="21" t="s">
        <v>55</v>
      </c>
      <c r="B48" s="21" t="n">
        <v>47</v>
      </c>
      <c r="C48" s="22" t="s">
        <v>136</v>
      </c>
      <c r="D48" s="21" t="s">
        <v>138</v>
      </c>
      <c r="E48" s="22" t="s">
        <v>137</v>
      </c>
      <c r="F48" s="21" t="s">
        <v>55</v>
      </c>
      <c r="G48" s="22" t="s">
        <v>262</v>
      </c>
      <c r="H48" s="21" t="s">
        <v>55</v>
      </c>
      <c r="I48" s="21" t="s">
        <v>55</v>
      </c>
      <c r="J48" s="25" t="s">
        <v>4</v>
      </c>
      <c r="K48" s="4"/>
      <c r="L48" s="4"/>
    </row>
    <row r="49" customFormat="false" ht="15" hidden="false" customHeight="false" outlineLevel="0" collapsed="false">
      <c r="A49" s="21" t="s">
        <v>55</v>
      </c>
      <c r="B49" s="21" t="n">
        <v>48</v>
      </c>
      <c r="C49" s="22" t="s">
        <v>140</v>
      </c>
      <c r="D49" s="21" t="s">
        <v>142</v>
      </c>
      <c r="E49" s="22" t="s">
        <v>141</v>
      </c>
      <c r="F49" s="21" t="s">
        <v>55</v>
      </c>
      <c r="G49" s="22" t="s">
        <v>262</v>
      </c>
      <c r="H49" s="21" t="s">
        <v>55</v>
      </c>
      <c r="I49" s="21" t="s">
        <v>55</v>
      </c>
      <c r="J49" s="25" t="s">
        <v>4</v>
      </c>
      <c r="K49" s="4"/>
      <c r="L49" s="4"/>
    </row>
    <row r="50" customFormat="false" ht="15" hidden="false" customHeight="false" outlineLevel="0" collapsed="false">
      <c r="A50" s="21" t="s">
        <v>55</v>
      </c>
      <c r="B50" s="21" t="n">
        <v>49</v>
      </c>
      <c r="C50" s="22" t="s">
        <v>144</v>
      </c>
      <c r="D50" s="21" t="s">
        <v>58</v>
      </c>
      <c r="E50" s="22" t="s">
        <v>145</v>
      </c>
      <c r="F50" s="21" t="s">
        <v>55</v>
      </c>
      <c r="G50" s="22" t="s">
        <v>262</v>
      </c>
      <c r="H50" s="21" t="s">
        <v>55</v>
      </c>
      <c r="I50" s="21" t="s">
        <v>55</v>
      </c>
      <c r="J50" s="25" t="s">
        <v>4</v>
      </c>
      <c r="K50" s="4"/>
      <c r="L50" s="36" t="s">
        <v>268</v>
      </c>
    </row>
    <row r="51" customFormat="false" ht="15" hidden="false" customHeight="false" outlineLevel="0" collapsed="false">
      <c r="A51" s="21" t="s">
        <v>55</v>
      </c>
      <c r="B51" s="21" t="n">
        <v>50</v>
      </c>
      <c r="C51" s="22" t="s">
        <v>144</v>
      </c>
      <c r="D51" s="21" t="s">
        <v>147</v>
      </c>
      <c r="E51" s="22" t="s">
        <v>146</v>
      </c>
      <c r="F51" s="21" t="s">
        <v>55</v>
      </c>
      <c r="G51" s="22" t="s">
        <v>262</v>
      </c>
      <c r="H51" s="21" t="s">
        <v>55</v>
      </c>
      <c r="I51" s="21" t="s">
        <v>269</v>
      </c>
      <c r="J51" s="25" t="s">
        <v>4</v>
      </c>
      <c r="K51" s="4"/>
      <c r="L51" s="4"/>
    </row>
    <row r="52" customFormat="false" ht="15" hidden="false" customHeight="false" outlineLevel="0" collapsed="false">
      <c r="A52" s="21" t="s">
        <v>55</v>
      </c>
      <c r="B52" s="21" t="n">
        <v>51</v>
      </c>
      <c r="C52" s="22" t="s">
        <v>148</v>
      </c>
      <c r="D52" s="21" t="s">
        <v>150</v>
      </c>
      <c r="E52" s="22" t="s">
        <v>149</v>
      </c>
      <c r="F52" s="21" t="s">
        <v>55</v>
      </c>
      <c r="G52" s="22" t="s">
        <v>262</v>
      </c>
      <c r="H52" s="21" t="s">
        <v>55</v>
      </c>
      <c r="I52" s="21" t="s">
        <v>269</v>
      </c>
      <c r="J52" s="25" t="s">
        <v>4</v>
      </c>
      <c r="K52" s="4"/>
      <c r="L52" s="4"/>
    </row>
    <row r="53" customFormat="false" ht="15" hidden="false" customHeight="false" outlineLevel="0" collapsed="false">
      <c r="A53" s="21" t="s">
        <v>55</v>
      </c>
      <c r="B53" s="21" t="n">
        <v>52</v>
      </c>
      <c r="C53" s="22" t="s">
        <v>148</v>
      </c>
      <c r="D53" s="21" t="s">
        <v>152</v>
      </c>
      <c r="E53" s="22" t="s">
        <v>151</v>
      </c>
      <c r="F53" s="21" t="s">
        <v>55</v>
      </c>
      <c r="G53" s="22" t="s">
        <v>262</v>
      </c>
      <c r="H53" s="21" t="s">
        <v>55</v>
      </c>
      <c r="I53" s="21" t="s">
        <v>269</v>
      </c>
      <c r="J53" s="25" t="s">
        <v>4</v>
      </c>
      <c r="K53" s="4"/>
      <c r="L53" s="4"/>
    </row>
    <row r="54" customFormat="false" ht="15" hidden="false" customHeight="false" outlineLevel="0" collapsed="false">
      <c r="A54" s="21" t="s">
        <v>153</v>
      </c>
      <c r="B54" s="21" t="n">
        <v>2</v>
      </c>
      <c r="C54" s="22" t="s">
        <v>154</v>
      </c>
      <c r="D54" s="21" t="s">
        <v>76</v>
      </c>
      <c r="E54" s="22" t="s">
        <v>155</v>
      </c>
      <c r="F54" s="21" t="s">
        <v>55</v>
      </c>
      <c r="G54" s="21" t="s">
        <v>270</v>
      </c>
      <c r="H54" s="21" t="s">
        <v>55</v>
      </c>
      <c r="I54" s="21" t="s">
        <v>270</v>
      </c>
      <c r="J54" s="25" t="s">
        <v>4</v>
      </c>
      <c r="K54" s="4"/>
      <c r="L54" s="4"/>
    </row>
    <row r="55" customFormat="false" ht="15" hidden="false" customHeight="false" outlineLevel="0" collapsed="false">
      <c r="A55" s="21" t="s">
        <v>153</v>
      </c>
      <c r="B55" s="21" t="n">
        <v>3</v>
      </c>
      <c r="C55" s="22" t="s">
        <v>156</v>
      </c>
      <c r="D55" s="21" t="s">
        <v>58</v>
      </c>
      <c r="E55" s="22" t="s">
        <v>157</v>
      </c>
      <c r="F55" s="21" t="s">
        <v>55</v>
      </c>
      <c r="G55" s="21" t="s">
        <v>270</v>
      </c>
      <c r="H55" s="21" t="s">
        <v>55</v>
      </c>
      <c r="I55" s="21" t="s">
        <v>270</v>
      </c>
      <c r="J55" s="25" t="s">
        <v>4</v>
      </c>
      <c r="K55" s="4"/>
      <c r="L55" s="4"/>
    </row>
    <row r="56" customFormat="false" ht="15" hidden="false" customHeight="false" outlineLevel="0" collapsed="false">
      <c r="A56" s="21" t="s">
        <v>158</v>
      </c>
      <c r="B56" s="21" t="n">
        <v>2</v>
      </c>
      <c r="C56" s="22" t="s">
        <v>80</v>
      </c>
      <c r="D56" s="21" t="s">
        <v>58</v>
      </c>
      <c r="E56" s="22" t="s">
        <v>159</v>
      </c>
      <c r="F56" s="21" t="s">
        <v>55</v>
      </c>
      <c r="G56" s="21" t="s">
        <v>271</v>
      </c>
      <c r="H56" s="21" t="s">
        <v>55</v>
      </c>
      <c r="I56" s="21" t="s">
        <v>271</v>
      </c>
      <c r="J56" s="25" t="s">
        <v>4</v>
      </c>
      <c r="K56" s="4"/>
      <c r="L56" s="4"/>
    </row>
    <row r="57" customFormat="false" ht="15" hidden="false" customHeight="false" outlineLevel="0" collapsed="false">
      <c r="A57" s="21" t="s">
        <v>158</v>
      </c>
      <c r="B57" s="21" t="n">
        <v>3</v>
      </c>
      <c r="C57" s="22" t="s">
        <v>154</v>
      </c>
      <c r="D57" s="21" t="s">
        <v>76</v>
      </c>
      <c r="E57" s="22" t="s">
        <v>160</v>
      </c>
      <c r="F57" s="21" t="s">
        <v>55</v>
      </c>
      <c r="G57" s="21" t="s">
        <v>271</v>
      </c>
      <c r="H57" s="21" t="s">
        <v>55</v>
      </c>
      <c r="I57" s="21" t="s">
        <v>271</v>
      </c>
      <c r="J57" s="25" t="s">
        <v>4</v>
      </c>
      <c r="K57" s="4"/>
      <c r="L57" s="4"/>
    </row>
    <row r="58" customFormat="false" ht="15" hidden="false" customHeight="false" outlineLevel="0" collapsed="false">
      <c r="A58" s="21" t="s">
        <v>158</v>
      </c>
      <c r="B58" s="21" t="n">
        <v>4</v>
      </c>
      <c r="C58" s="22" t="s">
        <v>161</v>
      </c>
      <c r="D58" s="21" t="s">
        <v>58</v>
      </c>
      <c r="E58" s="22" t="s">
        <v>162</v>
      </c>
      <c r="F58" s="21" t="s">
        <v>55</v>
      </c>
      <c r="G58" s="21" t="s">
        <v>271</v>
      </c>
      <c r="H58" s="21" t="s">
        <v>55</v>
      </c>
      <c r="I58" s="21" t="s">
        <v>271</v>
      </c>
      <c r="J58" s="25" t="s">
        <v>4</v>
      </c>
      <c r="K58" s="4"/>
      <c r="L58" s="36" t="s">
        <v>272</v>
      </c>
    </row>
    <row r="59" customFormat="false" ht="15" hidden="false" customHeight="false" outlineLevel="0" collapsed="false">
      <c r="A59" s="21" t="s">
        <v>158</v>
      </c>
      <c r="B59" s="21" t="n">
        <v>5</v>
      </c>
      <c r="C59" s="22" t="s">
        <v>156</v>
      </c>
      <c r="D59" s="21" t="s">
        <v>122</v>
      </c>
      <c r="E59" s="22" t="s">
        <v>163</v>
      </c>
      <c r="F59" s="21" t="s">
        <v>55</v>
      </c>
      <c r="G59" s="21" t="s">
        <v>271</v>
      </c>
      <c r="H59" s="21" t="s">
        <v>55</v>
      </c>
      <c r="I59" s="21" t="s">
        <v>271</v>
      </c>
      <c r="J59" s="25" t="s">
        <v>4</v>
      </c>
      <c r="K59" s="4"/>
      <c r="L59" s="4"/>
    </row>
    <row r="60" customFormat="false" ht="15" hidden="false" customHeight="false" outlineLevel="0" collapsed="false">
      <c r="A60" s="21" t="s">
        <v>158</v>
      </c>
      <c r="B60" s="21" t="n">
        <v>6</v>
      </c>
      <c r="C60" s="22" t="s">
        <v>156</v>
      </c>
      <c r="D60" s="21" t="s">
        <v>76</v>
      </c>
      <c r="E60" s="22" t="s">
        <v>164</v>
      </c>
      <c r="F60" s="21" t="s">
        <v>55</v>
      </c>
      <c r="G60" s="21" t="s">
        <v>271</v>
      </c>
      <c r="H60" s="21" t="s">
        <v>55</v>
      </c>
      <c r="I60" s="21" t="s">
        <v>271</v>
      </c>
      <c r="J60" s="25" t="s">
        <v>4</v>
      </c>
      <c r="K60" s="4"/>
      <c r="L60" s="4"/>
    </row>
    <row r="61" customFormat="false" ht="15" hidden="false" customHeight="false" outlineLevel="0" collapsed="false">
      <c r="A61" s="21" t="s">
        <v>158</v>
      </c>
      <c r="B61" s="21" t="n">
        <v>7</v>
      </c>
      <c r="C61" s="22" t="s">
        <v>165</v>
      </c>
      <c r="D61" s="21" t="s">
        <v>58</v>
      </c>
      <c r="E61" s="22" t="s">
        <v>166</v>
      </c>
      <c r="F61" s="21" t="s">
        <v>55</v>
      </c>
      <c r="G61" s="21" t="s">
        <v>271</v>
      </c>
      <c r="H61" s="21" t="s">
        <v>55</v>
      </c>
      <c r="I61" s="21" t="s">
        <v>271</v>
      </c>
      <c r="J61" s="25" t="s">
        <v>4</v>
      </c>
      <c r="K61" s="4"/>
      <c r="L61" s="4"/>
    </row>
    <row r="62" customFormat="false" ht="15" hidden="false" customHeight="false" outlineLevel="0" collapsed="false">
      <c r="A62" s="21" t="s">
        <v>158</v>
      </c>
      <c r="B62" s="21" t="n">
        <v>8</v>
      </c>
      <c r="C62" s="22" t="s">
        <v>144</v>
      </c>
      <c r="D62" s="21" t="s">
        <v>76</v>
      </c>
      <c r="E62" s="22" t="s">
        <v>167</v>
      </c>
      <c r="F62" s="21" t="s">
        <v>55</v>
      </c>
      <c r="G62" s="21" t="s">
        <v>271</v>
      </c>
      <c r="H62" s="21" t="s">
        <v>55</v>
      </c>
      <c r="I62" s="21" t="s">
        <v>271</v>
      </c>
      <c r="J62" s="25" t="s">
        <v>4</v>
      </c>
      <c r="K62" s="4"/>
      <c r="L62" s="4"/>
    </row>
    <row r="63" customFormat="false" ht="15" hidden="false" customHeight="false" outlineLevel="0" collapsed="false">
      <c r="A63" s="21" t="s">
        <v>158</v>
      </c>
      <c r="B63" s="21" t="n">
        <v>9</v>
      </c>
      <c r="C63" s="22" t="s">
        <v>144</v>
      </c>
      <c r="D63" s="21" t="s">
        <v>58</v>
      </c>
      <c r="E63" s="22" t="s">
        <v>168</v>
      </c>
      <c r="F63" s="21" t="s">
        <v>55</v>
      </c>
      <c r="G63" s="21" t="s">
        <v>271</v>
      </c>
      <c r="H63" s="21" t="s">
        <v>55</v>
      </c>
      <c r="I63" s="21" t="s">
        <v>271</v>
      </c>
      <c r="J63" s="25" t="s">
        <v>4</v>
      </c>
      <c r="K63" s="4"/>
      <c r="L63" s="4"/>
    </row>
    <row r="64" customFormat="false" ht="15" hidden="false" customHeight="false" outlineLevel="0" collapsed="false">
      <c r="A64" s="21" t="s">
        <v>158</v>
      </c>
      <c r="B64" s="21" t="n">
        <v>10</v>
      </c>
      <c r="C64" s="22" t="s">
        <v>169</v>
      </c>
      <c r="D64" s="21" t="s">
        <v>58</v>
      </c>
      <c r="E64" s="22" t="s">
        <v>170</v>
      </c>
      <c r="F64" s="21" t="s">
        <v>55</v>
      </c>
      <c r="G64" s="21" t="s">
        <v>271</v>
      </c>
      <c r="H64" s="21" t="s">
        <v>55</v>
      </c>
      <c r="I64" s="21" t="s">
        <v>271</v>
      </c>
      <c r="J64" s="25" t="s">
        <v>4</v>
      </c>
      <c r="K64" s="4"/>
      <c r="L64" s="4"/>
    </row>
    <row r="65" customFormat="false" ht="15" hidden="false" customHeight="false" outlineLevel="0" collapsed="false">
      <c r="A65" s="21" t="s">
        <v>158</v>
      </c>
      <c r="B65" s="21" t="n">
        <v>11</v>
      </c>
      <c r="C65" s="22" t="s">
        <v>169</v>
      </c>
      <c r="D65" s="21" t="s">
        <v>76</v>
      </c>
      <c r="E65" s="22" t="s">
        <v>171</v>
      </c>
      <c r="F65" s="21" t="s">
        <v>55</v>
      </c>
      <c r="G65" s="21" t="s">
        <v>271</v>
      </c>
      <c r="H65" s="21" t="s">
        <v>55</v>
      </c>
      <c r="I65" s="21" t="s">
        <v>271</v>
      </c>
      <c r="J65" s="25" t="s">
        <v>4</v>
      </c>
      <c r="K65" s="4"/>
      <c r="L65" s="4"/>
    </row>
    <row r="66" customFormat="false" ht="15" hidden="false" customHeight="false" outlineLevel="0" collapsed="false">
      <c r="A66" s="21" t="s">
        <v>172</v>
      </c>
      <c r="B66" s="21" t="n">
        <v>2</v>
      </c>
      <c r="C66" s="22" t="s">
        <v>173</v>
      </c>
      <c r="D66" s="21" t="s">
        <v>76</v>
      </c>
      <c r="E66" s="22" t="s">
        <v>174</v>
      </c>
      <c r="F66" s="21" t="s">
        <v>55</v>
      </c>
      <c r="G66" s="21" t="s">
        <v>273</v>
      </c>
      <c r="H66" s="21" t="s">
        <v>55</v>
      </c>
      <c r="I66" s="21" t="s">
        <v>273</v>
      </c>
      <c r="J66" s="25" t="s">
        <v>4</v>
      </c>
      <c r="K66" s="4"/>
      <c r="L66" s="36" t="s">
        <v>274</v>
      </c>
    </row>
    <row r="67" customFormat="false" ht="15" hidden="false" customHeight="false" outlineLevel="0" collapsed="false">
      <c r="A67" s="21" t="s">
        <v>172</v>
      </c>
      <c r="B67" s="21" t="n">
        <v>3</v>
      </c>
      <c r="C67" s="22" t="s">
        <v>175</v>
      </c>
      <c r="D67" s="21" t="s">
        <v>58</v>
      </c>
      <c r="E67" s="22" t="s">
        <v>176</v>
      </c>
      <c r="F67" s="21" t="s">
        <v>55</v>
      </c>
      <c r="G67" s="21" t="s">
        <v>273</v>
      </c>
      <c r="H67" s="21" t="s">
        <v>55</v>
      </c>
      <c r="I67" s="21" t="s">
        <v>273</v>
      </c>
      <c r="J67" s="25" t="s">
        <v>4</v>
      </c>
      <c r="K67" s="4"/>
      <c r="L67" s="36" t="s">
        <v>274</v>
      </c>
    </row>
    <row r="68" customFormat="false" ht="15" hidden="false" customHeight="false" outlineLevel="0" collapsed="false">
      <c r="A68" s="21" t="s">
        <v>172</v>
      </c>
      <c r="B68" s="21" t="n">
        <v>4</v>
      </c>
      <c r="C68" s="22" t="s">
        <v>175</v>
      </c>
      <c r="D68" s="21" t="s">
        <v>122</v>
      </c>
      <c r="E68" s="22" t="s">
        <v>177</v>
      </c>
      <c r="F68" s="21" t="s">
        <v>55</v>
      </c>
      <c r="G68" s="21" t="s">
        <v>273</v>
      </c>
      <c r="H68" s="21" t="s">
        <v>55</v>
      </c>
      <c r="I68" s="21" t="s">
        <v>273</v>
      </c>
      <c r="J68" s="25" t="s">
        <v>4</v>
      </c>
      <c r="K68" s="4"/>
      <c r="L68" s="4"/>
    </row>
    <row r="69" customFormat="false" ht="15" hidden="false" customHeight="false" outlineLevel="0" collapsed="false">
      <c r="A69" s="21" t="s">
        <v>172</v>
      </c>
      <c r="B69" s="21" t="n">
        <v>5</v>
      </c>
      <c r="C69" s="22" t="s">
        <v>161</v>
      </c>
      <c r="D69" s="21" t="s">
        <v>122</v>
      </c>
      <c r="E69" s="22" t="s">
        <v>179</v>
      </c>
      <c r="F69" s="21" t="s">
        <v>55</v>
      </c>
      <c r="G69" s="21" t="s">
        <v>273</v>
      </c>
      <c r="H69" s="21" t="s">
        <v>55</v>
      </c>
      <c r="I69" s="21" t="s">
        <v>273</v>
      </c>
      <c r="J69" s="25" t="s">
        <v>4</v>
      </c>
      <c r="K69" s="4"/>
      <c r="L69" s="4"/>
    </row>
    <row r="70" customFormat="false" ht="15" hidden="false" customHeight="false" outlineLevel="0" collapsed="false">
      <c r="A70" s="21" t="s">
        <v>172</v>
      </c>
      <c r="B70" s="21" t="n">
        <v>6</v>
      </c>
      <c r="C70" s="22" t="s">
        <v>165</v>
      </c>
      <c r="D70" s="21" t="s">
        <v>76</v>
      </c>
      <c r="E70" s="22" t="s">
        <v>180</v>
      </c>
      <c r="F70" s="21" t="s">
        <v>55</v>
      </c>
      <c r="G70" s="21" t="s">
        <v>273</v>
      </c>
      <c r="H70" s="21" t="s">
        <v>55</v>
      </c>
      <c r="I70" s="21" t="s">
        <v>273</v>
      </c>
      <c r="J70" s="25" t="s">
        <v>4</v>
      </c>
      <c r="K70" s="4"/>
      <c r="L70" s="36" t="s">
        <v>274</v>
      </c>
    </row>
    <row r="71" customFormat="false" ht="15" hidden="false" customHeight="false" outlineLevel="0" collapsed="false">
      <c r="A71" s="21" t="s">
        <v>172</v>
      </c>
      <c r="B71" s="21" t="n">
        <v>7</v>
      </c>
      <c r="C71" s="22" t="s">
        <v>165</v>
      </c>
      <c r="D71" s="21" t="s">
        <v>76</v>
      </c>
      <c r="E71" s="22" t="s">
        <v>181</v>
      </c>
      <c r="F71" s="21" t="s">
        <v>55</v>
      </c>
      <c r="G71" s="21" t="s">
        <v>273</v>
      </c>
      <c r="H71" s="21" t="s">
        <v>55</v>
      </c>
      <c r="I71" s="21" t="s">
        <v>273</v>
      </c>
      <c r="J71" s="25" t="s">
        <v>4</v>
      </c>
      <c r="K71" s="4"/>
      <c r="L71" s="4"/>
    </row>
    <row r="72" customFormat="false" ht="15" hidden="false" customHeight="false" outlineLevel="0" collapsed="false">
      <c r="A72" s="21" t="s">
        <v>182</v>
      </c>
      <c r="B72" s="21" t="n">
        <v>2</v>
      </c>
      <c r="C72" s="22" t="s">
        <v>148</v>
      </c>
      <c r="D72" s="21" t="s">
        <v>184</v>
      </c>
      <c r="E72" s="22" t="s">
        <v>183</v>
      </c>
      <c r="F72" s="21" t="s">
        <v>55</v>
      </c>
      <c r="G72" s="21" t="s">
        <v>275</v>
      </c>
      <c r="H72" s="21" t="s">
        <v>55</v>
      </c>
      <c r="I72" s="21" t="s">
        <v>275</v>
      </c>
      <c r="J72" s="25" t="s">
        <v>4</v>
      </c>
      <c r="K72" s="4"/>
      <c r="L72" s="4"/>
    </row>
    <row r="73" customFormat="false" ht="15" hidden="false" customHeight="false" outlineLevel="0" collapsed="false">
      <c r="A73" s="21" t="s">
        <v>182</v>
      </c>
      <c r="B73" s="21" t="n">
        <v>3</v>
      </c>
      <c r="C73" s="22" t="s">
        <v>169</v>
      </c>
      <c r="D73" s="21" t="s">
        <v>186</v>
      </c>
      <c r="E73" s="22" t="s">
        <v>185</v>
      </c>
      <c r="F73" s="21" t="s">
        <v>55</v>
      </c>
      <c r="G73" s="21" t="s">
        <v>275</v>
      </c>
      <c r="H73" s="21" t="s">
        <v>55</v>
      </c>
      <c r="I73" s="21" t="s">
        <v>275</v>
      </c>
      <c r="J73" s="25" t="s">
        <v>4</v>
      </c>
      <c r="K73" s="4"/>
      <c r="L73" s="4"/>
    </row>
    <row r="74" customFormat="false" ht="15" hidden="false" customHeight="false" outlineLevel="0" collapsed="false">
      <c r="A74" s="21" t="s">
        <v>182</v>
      </c>
      <c r="B74" s="21" t="n">
        <v>4</v>
      </c>
      <c r="C74" s="22" t="s">
        <v>169</v>
      </c>
      <c r="D74" s="21" t="s">
        <v>106</v>
      </c>
      <c r="E74" s="22" t="s">
        <v>187</v>
      </c>
      <c r="F74" s="21" t="s">
        <v>55</v>
      </c>
      <c r="G74" s="21" t="s">
        <v>275</v>
      </c>
      <c r="H74" s="21" t="s">
        <v>55</v>
      </c>
      <c r="I74" s="21" t="s">
        <v>275</v>
      </c>
      <c r="J74" s="25" t="s">
        <v>4</v>
      </c>
      <c r="K74" s="4"/>
      <c r="L74" s="4"/>
    </row>
    <row r="75" customFormat="false" ht="15" hidden="false" customHeight="false" outlineLevel="0" collapsed="false">
      <c r="A75" s="21" t="s">
        <v>182</v>
      </c>
      <c r="B75" s="21" t="n">
        <v>5</v>
      </c>
      <c r="C75" s="22" t="s">
        <v>169</v>
      </c>
      <c r="D75" s="21" t="s">
        <v>58</v>
      </c>
      <c r="E75" s="22" t="s">
        <v>188</v>
      </c>
      <c r="F75" s="21" t="s">
        <v>55</v>
      </c>
      <c r="G75" s="21" t="s">
        <v>275</v>
      </c>
      <c r="H75" s="21" t="s">
        <v>55</v>
      </c>
      <c r="I75" s="21" t="s">
        <v>275</v>
      </c>
      <c r="J75" s="25" t="s">
        <v>4</v>
      </c>
      <c r="K75" s="4"/>
      <c r="L75" s="4"/>
    </row>
    <row r="76" customFormat="false" ht="15" hidden="false" customHeight="false" outlineLevel="0" collapsed="false">
      <c r="A76" s="21" t="s">
        <v>189</v>
      </c>
      <c r="B76" s="21" t="n">
        <v>2</v>
      </c>
      <c r="C76" s="22" t="s">
        <v>115</v>
      </c>
      <c r="D76" s="21" t="s">
        <v>191</v>
      </c>
      <c r="E76" s="22" t="s">
        <v>190</v>
      </c>
      <c r="F76" s="21" t="s">
        <v>276</v>
      </c>
      <c r="G76" s="21"/>
      <c r="H76" s="21" t="s">
        <v>189</v>
      </c>
      <c r="I76" s="21" t="s">
        <v>189</v>
      </c>
      <c r="J76" s="25" t="s">
        <v>4</v>
      </c>
      <c r="K76" s="4"/>
      <c r="L76" s="4"/>
    </row>
    <row r="77" customFormat="false" ht="15" hidden="false" customHeight="false" outlineLevel="0" collapsed="false">
      <c r="A77" s="21" t="s">
        <v>189</v>
      </c>
      <c r="B77" s="21" t="n">
        <v>3</v>
      </c>
      <c r="C77" s="22" t="s">
        <v>192</v>
      </c>
      <c r="D77" s="21" t="s">
        <v>194</v>
      </c>
      <c r="E77" s="22" t="s">
        <v>193</v>
      </c>
      <c r="F77" s="21" t="s">
        <v>276</v>
      </c>
      <c r="G77" s="21"/>
      <c r="H77" s="21" t="s">
        <v>189</v>
      </c>
      <c r="I77" s="21" t="s">
        <v>189</v>
      </c>
      <c r="J77" s="25" t="s">
        <v>4</v>
      </c>
      <c r="K77" s="4"/>
      <c r="L77" s="4"/>
    </row>
    <row r="78" customFormat="false" ht="15" hidden="false" customHeight="false" outlineLevel="0" collapsed="false">
      <c r="A78" s="21" t="s">
        <v>189</v>
      </c>
      <c r="B78" s="21" t="n">
        <v>4</v>
      </c>
      <c r="C78" s="22" t="s">
        <v>195</v>
      </c>
      <c r="D78" s="21" t="s">
        <v>197</v>
      </c>
      <c r="E78" s="22" t="s">
        <v>196</v>
      </c>
      <c r="F78" s="21" t="s">
        <v>276</v>
      </c>
      <c r="G78" s="21"/>
      <c r="H78" s="21" t="s">
        <v>189</v>
      </c>
      <c r="I78" s="21" t="s">
        <v>189</v>
      </c>
      <c r="J78" s="25" t="s">
        <v>4</v>
      </c>
      <c r="K78" s="4"/>
      <c r="L78" s="4"/>
    </row>
    <row r="79" customFormat="false" ht="15" hidden="false" customHeight="false" outlineLevel="0" collapsed="false">
      <c r="A79" s="21" t="s">
        <v>189</v>
      </c>
      <c r="B79" s="21" t="n">
        <v>5</v>
      </c>
      <c r="C79" s="22" t="s">
        <v>195</v>
      </c>
      <c r="D79" s="21" t="s">
        <v>199</v>
      </c>
      <c r="E79" s="22" t="s">
        <v>198</v>
      </c>
      <c r="F79" s="21" t="s">
        <v>276</v>
      </c>
      <c r="G79" s="21"/>
      <c r="H79" s="21" t="s">
        <v>189</v>
      </c>
      <c r="I79" s="21" t="s">
        <v>189</v>
      </c>
      <c r="J79" s="25" t="s">
        <v>4</v>
      </c>
      <c r="K79" s="4"/>
      <c r="L79" s="4"/>
    </row>
    <row r="80" customFormat="false" ht="15" hidden="false" customHeight="false" outlineLevel="0" collapsed="false">
      <c r="A80" s="21" t="s">
        <v>200</v>
      </c>
      <c r="B80" s="21" t="n">
        <v>2</v>
      </c>
      <c r="C80" s="22" t="s">
        <v>70</v>
      </c>
      <c r="D80" s="21" t="s">
        <v>202</v>
      </c>
      <c r="E80" s="22" t="s">
        <v>201</v>
      </c>
      <c r="F80" s="21" t="s">
        <v>277</v>
      </c>
      <c r="G80" s="21"/>
      <c r="H80" s="21" t="s">
        <v>200</v>
      </c>
      <c r="I80" s="21" t="s">
        <v>200</v>
      </c>
      <c r="J80" s="25" t="s">
        <v>4</v>
      </c>
      <c r="K80" s="4"/>
      <c r="L80" s="4"/>
    </row>
    <row r="81" customFormat="false" ht="15" hidden="false" customHeight="false" outlineLevel="0" collapsed="false">
      <c r="A81" s="21" t="s">
        <v>200</v>
      </c>
      <c r="B81" s="21" t="n">
        <v>3</v>
      </c>
      <c r="C81" s="22" t="s">
        <v>80</v>
      </c>
      <c r="D81" s="21" t="s">
        <v>204</v>
      </c>
      <c r="E81" s="22" t="s">
        <v>203</v>
      </c>
      <c r="F81" s="21" t="s">
        <v>277</v>
      </c>
      <c r="G81" s="21"/>
      <c r="H81" s="21" t="s">
        <v>200</v>
      </c>
      <c r="I81" s="21" t="s">
        <v>263</v>
      </c>
      <c r="J81" s="25" t="s">
        <v>4</v>
      </c>
      <c r="K81" s="4"/>
      <c r="L81" s="36" t="s">
        <v>278</v>
      </c>
    </row>
    <row r="82" customFormat="false" ht="15" hidden="false" customHeight="false" outlineLevel="0" collapsed="false">
      <c r="A82" s="21" t="s">
        <v>200</v>
      </c>
      <c r="B82" s="21" t="n">
        <v>4</v>
      </c>
      <c r="C82" s="22" t="s">
        <v>107</v>
      </c>
      <c r="D82" s="21" t="s">
        <v>206</v>
      </c>
      <c r="E82" s="22" t="s">
        <v>205</v>
      </c>
      <c r="F82" s="21" t="s">
        <v>277</v>
      </c>
      <c r="G82" s="21"/>
      <c r="H82" s="21" t="s">
        <v>200</v>
      </c>
      <c r="I82" s="21" t="s">
        <v>263</v>
      </c>
      <c r="J82" s="25" t="s">
        <v>4</v>
      </c>
      <c r="K82" s="4"/>
      <c r="L82" s="36" t="s">
        <v>278</v>
      </c>
    </row>
    <row r="83" customFormat="false" ht="15" hidden="false" customHeight="false" outlineLevel="0" collapsed="false">
      <c r="A83" s="21" t="s">
        <v>200</v>
      </c>
      <c r="B83" s="21" t="n">
        <v>5</v>
      </c>
      <c r="C83" s="22" t="s">
        <v>154</v>
      </c>
      <c r="D83" s="21" t="s">
        <v>208</v>
      </c>
      <c r="E83" s="22" t="s">
        <v>207</v>
      </c>
      <c r="F83" s="21" t="s">
        <v>277</v>
      </c>
      <c r="G83" s="21"/>
      <c r="H83" s="21" t="s">
        <v>200</v>
      </c>
      <c r="I83" s="21" t="s">
        <v>200</v>
      </c>
      <c r="J83" s="25" t="s">
        <v>4</v>
      </c>
      <c r="K83" s="4"/>
      <c r="L83" s="4"/>
    </row>
    <row r="84" customFormat="false" ht="15" hidden="false" customHeight="false" outlineLevel="0" collapsed="false">
      <c r="A84" s="21" t="s">
        <v>200</v>
      </c>
      <c r="B84" s="21" t="n">
        <v>6</v>
      </c>
      <c r="C84" s="22" t="s">
        <v>156</v>
      </c>
      <c r="D84" s="21" t="s">
        <v>210</v>
      </c>
      <c r="E84" s="22" t="s">
        <v>209</v>
      </c>
      <c r="F84" s="21" t="s">
        <v>277</v>
      </c>
      <c r="G84" s="21"/>
      <c r="H84" s="21" t="s">
        <v>200</v>
      </c>
      <c r="I84" s="21" t="s">
        <v>200</v>
      </c>
      <c r="J84" s="25" t="s">
        <v>4</v>
      </c>
      <c r="K84" s="4"/>
      <c r="L84" s="36" t="s">
        <v>278</v>
      </c>
    </row>
    <row r="85" customFormat="false" ht="15" hidden="false" customHeight="false" outlineLevel="0" collapsed="false">
      <c r="A85" s="21" t="s">
        <v>200</v>
      </c>
      <c r="B85" s="21" t="n">
        <v>7</v>
      </c>
      <c r="C85" s="22" t="s">
        <v>211</v>
      </c>
      <c r="D85" s="21" t="s">
        <v>213</v>
      </c>
      <c r="E85" s="22" t="s">
        <v>212</v>
      </c>
      <c r="F85" s="21" t="s">
        <v>277</v>
      </c>
      <c r="G85" s="21"/>
      <c r="H85" s="21" t="s">
        <v>200</v>
      </c>
      <c r="I85" s="21" t="s">
        <v>200</v>
      </c>
      <c r="J85" s="25" t="s">
        <v>4</v>
      </c>
      <c r="K85" s="4"/>
      <c r="L85" s="36" t="s">
        <v>278</v>
      </c>
    </row>
    <row r="86" customFormat="false" ht="15" hidden="false" customHeight="false" outlineLevel="0" collapsed="false">
      <c r="A86" s="21" t="s">
        <v>214</v>
      </c>
      <c r="B86" s="21" t="n">
        <v>2</v>
      </c>
      <c r="C86" s="22" t="s">
        <v>92</v>
      </c>
      <c r="D86" s="21" t="s">
        <v>216</v>
      </c>
      <c r="E86" s="22" t="s">
        <v>215</v>
      </c>
      <c r="F86" s="21" t="s">
        <v>279</v>
      </c>
      <c r="G86" s="21"/>
      <c r="H86" s="21" t="s">
        <v>214</v>
      </c>
      <c r="I86" s="21" t="s">
        <v>263</v>
      </c>
      <c r="J86" s="25" t="s">
        <v>4</v>
      </c>
      <c r="K86" s="4"/>
      <c r="L86" s="36" t="s">
        <v>280</v>
      </c>
    </row>
    <row r="87" customFormat="false" ht="29.85" hidden="false" customHeight="false" outlineLevel="0" collapsed="false">
      <c r="A87" s="21" t="s">
        <v>214</v>
      </c>
      <c r="B87" s="21" t="n">
        <v>3</v>
      </c>
      <c r="C87" s="22" t="s">
        <v>161</v>
      </c>
      <c r="D87" s="21" t="s">
        <v>218</v>
      </c>
      <c r="E87" s="22" t="s">
        <v>217</v>
      </c>
      <c r="F87" s="21" t="s">
        <v>279</v>
      </c>
      <c r="G87" s="21"/>
      <c r="H87" s="21" t="s">
        <v>214</v>
      </c>
      <c r="I87" s="21" t="s">
        <v>269</v>
      </c>
      <c r="J87" s="25" t="s">
        <v>4</v>
      </c>
      <c r="K87" s="4"/>
      <c r="L87" s="36" t="s">
        <v>281</v>
      </c>
    </row>
    <row r="88" customFormat="false" ht="29.85" hidden="false" customHeight="false" outlineLevel="0" collapsed="false">
      <c r="A88" s="21" t="s">
        <v>214</v>
      </c>
      <c r="B88" s="21" t="n">
        <v>4</v>
      </c>
      <c r="C88" s="22" t="s">
        <v>156</v>
      </c>
      <c r="D88" s="21" t="s">
        <v>220</v>
      </c>
      <c r="E88" s="22" t="s">
        <v>219</v>
      </c>
      <c r="F88" s="21" t="s">
        <v>279</v>
      </c>
      <c r="G88" s="21"/>
      <c r="H88" s="21" t="s">
        <v>214</v>
      </c>
      <c r="I88" s="21" t="s">
        <v>269</v>
      </c>
      <c r="J88" s="25" t="s">
        <v>4</v>
      </c>
      <c r="K88" s="4"/>
      <c r="L88" s="36" t="s">
        <v>282</v>
      </c>
    </row>
    <row r="89" customFormat="false" ht="15" hidden="false" customHeight="false" outlineLevel="0" collapsed="false">
      <c r="A89" s="21" t="s">
        <v>221</v>
      </c>
      <c r="B89" s="21" t="n">
        <v>2</v>
      </c>
      <c r="C89" s="22" t="s">
        <v>222</v>
      </c>
      <c r="D89" s="21" t="s">
        <v>224</v>
      </c>
      <c r="E89" s="22" t="s">
        <v>223</v>
      </c>
      <c r="F89" s="27" t="s">
        <v>283</v>
      </c>
      <c r="G89" s="21"/>
      <c r="H89" s="27" t="s">
        <v>284</v>
      </c>
      <c r="I89" s="21" t="s">
        <v>284</v>
      </c>
      <c r="J89" s="27" t="s">
        <v>285</v>
      </c>
      <c r="K89" s="4" t="s">
        <v>286</v>
      </c>
      <c r="L89" s="4"/>
    </row>
    <row r="90" customFormat="false" ht="15" hidden="false" customHeight="false" outlineLevel="0" collapsed="false">
      <c r="A90" s="21" t="s">
        <v>221</v>
      </c>
      <c r="B90" s="21" t="n">
        <v>3</v>
      </c>
      <c r="C90" s="22" t="s">
        <v>161</v>
      </c>
      <c r="D90" s="21" t="s">
        <v>226</v>
      </c>
      <c r="E90" s="22" t="s">
        <v>225</v>
      </c>
      <c r="F90" s="27" t="s">
        <v>283</v>
      </c>
      <c r="G90" s="21"/>
      <c r="H90" s="27" t="s">
        <v>284</v>
      </c>
      <c r="I90" s="21" t="s">
        <v>284</v>
      </c>
      <c r="J90" s="27" t="s">
        <v>285</v>
      </c>
      <c r="K90" s="4" t="s">
        <v>286</v>
      </c>
      <c r="L90" s="4"/>
    </row>
    <row r="91" customFormat="false" ht="15" hidden="false" customHeight="false" outlineLevel="0" collapsed="false">
      <c r="A91" s="21" t="s">
        <v>221</v>
      </c>
      <c r="B91" s="21" t="n">
        <v>4</v>
      </c>
      <c r="C91" s="22" t="s">
        <v>156</v>
      </c>
      <c r="D91" s="21" t="s">
        <v>226</v>
      </c>
      <c r="E91" s="22" t="s">
        <v>227</v>
      </c>
      <c r="F91" s="27" t="s">
        <v>283</v>
      </c>
      <c r="G91" s="21"/>
      <c r="H91" s="27" t="s">
        <v>284</v>
      </c>
      <c r="I91" s="21" t="s">
        <v>284</v>
      </c>
      <c r="J91" s="27" t="s">
        <v>285</v>
      </c>
      <c r="K91" s="4" t="s">
        <v>286</v>
      </c>
      <c r="L91" s="4"/>
    </row>
    <row r="92" customFormat="false" ht="15" hidden="false" customHeight="false" outlineLevel="0" collapsed="false">
      <c r="A92" s="21" t="s">
        <v>221</v>
      </c>
      <c r="B92" s="21" t="n">
        <v>5</v>
      </c>
      <c r="C92" s="22" t="s">
        <v>156</v>
      </c>
      <c r="D92" s="21" t="s">
        <v>229</v>
      </c>
      <c r="E92" s="22" t="s">
        <v>228</v>
      </c>
      <c r="F92" s="27" t="s">
        <v>283</v>
      </c>
      <c r="G92" s="21"/>
      <c r="H92" s="27" t="s">
        <v>284</v>
      </c>
      <c r="I92" s="21" t="s">
        <v>284</v>
      </c>
      <c r="J92" s="27" t="s">
        <v>285</v>
      </c>
      <c r="K92" s="4" t="s">
        <v>286</v>
      </c>
      <c r="L92" s="4"/>
    </row>
    <row r="93" customFormat="false" ht="15" hidden="false" customHeight="false" outlineLevel="0" collapsed="false">
      <c r="A93" s="21" t="s">
        <v>221</v>
      </c>
      <c r="B93" s="21" t="n">
        <v>6</v>
      </c>
      <c r="C93" s="22" t="s">
        <v>211</v>
      </c>
      <c r="D93" s="21" t="s">
        <v>231</v>
      </c>
      <c r="E93" s="22" t="s">
        <v>230</v>
      </c>
      <c r="F93" s="27" t="s">
        <v>283</v>
      </c>
      <c r="G93" s="21"/>
      <c r="H93" s="27" t="s">
        <v>284</v>
      </c>
      <c r="I93" s="21" t="s">
        <v>284</v>
      </c>
      <c r="J93" s="27" t="s">
        <v>285</v>
      </c>
      <c r="K93" s="4" t="s">
        <v>286</v>
      </c>
      <c r="L93" s="4"/>
    </row>
    <row r="94" customFormat="false" ht="15" hidden="false" customHeight="false" outlineLevel="0" collapsed="false">
      <c r="A94" s="21" t="s">
        <v>221</v>
      </c>
      <c r="B94" s="21" t="n">
        <v>7</v>
      </c>
      <c r="C94" s="22" t="s">
        <v>165</v>
      </c>
      <c r="D94" s="21" t="s">
        <v>226</v>
      </c>
      <c r="E94" s="22" t="s">
        <v>232</v>
      </c>
      <c r="F94" s="27" t="s">
        <v>283</v>
      </c>
      <c r="G94" s="21"/>
      <c r="H94" s="27" t="s">
        <v>284</v>
      </c>
      <c r="I94" s="21" t="s">
        <v>284</v>
      </c>
      <c r="J94" s="27" t="s">
        <v>285</v>
      </c>
      <c r="K94" s="4" t="s">
        <v>286</v>
      </c>
      <c r="L94" s="4"/>
    </row>
    <row r="95" customFormat="false" ht="15" hidden="false" customHeight="false" outlineLevel="0" collapsed="false">
      <c r="A95" s="21" t="s">
        <v>221</v>
      </c>
      <c r="B95" s="21" t="n">
        <v>8</v>
      </c>
      <c r="C95" s="22" t="s">
        <v>165</v>
      </c>
      <c r="D95" s="21" t="s">
        <v>234</v>
      </c>
      <c r="E95" s="22" t="s">
        <v>233</v>
      </c>
      <c r="F95" s="27" t="s">
        <v>283</v>
      </c>
      <c r="G95" s="21"/>
      <c r="H95" s="27" t="s">
        <v>284</v>
      </c>
      <c r="I95" s="21" t="s">
        <v>284</v>
      </c>
      <c r="J95" s="27" t="s">
        <v>285</v>
      </c>
      <c r="K95" s="4" t="s">
        <v>286</v>
      </c>
      <c r="L95" s="4"/>
    </row>
    <row r="96" customFormat="false" ht="15" hidden="false" customHeight="false" outlineLevel="0" collapsed="false">
      <c r="A96" s="21" t="s">
        <v>221</v>
      </c>
      <c r="B96" s="21" t="n">
        <v>9</v>
      </c>
      <c r="C96" s="22" t="s">
        <v>148</v>
      </c>
      <c r="D96" s="21" t="s">
        <v>236</v>
      </c>
      <c r="E96" s="22" t="s">
        <v>235</v>
      </c>
      <c r="F96" s="27" t="s">
        <v>283</v>
      </c>
      <c r="G96" s="21"/>
      <c r="H96" s="27" t="s">
        <v>284</v>
      </c>
      <c r="I96" s="21" t="s">
        <v>269</v>
      </c>
      <c r="J96" s="27" t="s">
        <v>285</v>
      </c>
      <c r="K96" s="4" t="s">
        <v>286</v>
      </c>
      <c r="L96" s="4"/>
    </row>
    <row r="97" customFormat="false" ht="15" hidden="false" customHeight="false" outlineLevel="0" collapsed="false">
      <c r="A97" s="21" t="s">
        <v>240</v>
      </c>
      <c r="B97" s="21" t="n">
        <v>2</v>
      </c>
      <c r="C97" s="22" t="s">
        <v>192</v>
      </c>
      <c r="D97" s="21" t="s">
        <v>242</v>
      </c>
      <c r="E97" s="22" t="s">
        <v>241</v>
      </c>
      <c r="F97" s="21" t="s">
        <v>287</v>
      </c>
      <c r="G97" s="21"/>
      <c r="H97" s="21" t="s">
        <v>269</v>
      </c>
      <c r="I97" s="21" t="s">
        <v>240</v>
      </c>
      <c r="J97" s="25" t="s">
        <v>4</v>
      </c>
      <c r="K97" s="4"/>
      <c r="L97" s="36" t="s">
        <v>288</v>
      </c>
    </row>
    <row r="98" customFormat="false" ht="15" hidden="false" customHeight="false" outlineLevel="0" collapsed="false">
      <c r="A98" s="21" t="s">
        <v>240</v>
      </c>
      <c r="B98" s="21" t="n">
        <v>3</v>
      </c>
      <c r="C98" s="22" t="s">
        <v>139</v>
      </c>
      <c r="D98" s="21" t="s">
        <v>245</v>
      </c>
      <c r="E98" s="22" t="s">
        <v>244</v>
      </c>
      <c r="F98" s="21" t="s">
        <v>287</v>
      </c>
      <c r="G98" s="21"/>
      <c r="H98" s="21" t="s">
        <v>269</v>
      </c>
      <c r="I98" s="21" t="s">
        <v>240</v>
      </c>
      <c r="J98" s="25" t="s">
        <v>4</v>
      </c>
      <c r="K98" s="4"/>
      <c r="L98" s="36" t="s">
        <v>288</v>
      </c>
    </row>
    <row r="99" customFormat="false" ht="15" hidden="false" customHeight="false" outlineLevel="0" collapsed="false">
      <c r="A99" s="21" t="s">
        <v>240</v>
      </c>
      <c r="B99" s="21" t="n">
        <v>4</v>
      </c>
      <c r="C99" s="22" t="s">
        <v>211</v>
      </c>
      <c r="D99" s="21" t="s">
        <v>247</v>
      </c>
      <c r="E99" s="22" t="s">
        <v>246</v>
      </c>
      <c r="F99" s="21" t="s">
        <v>287</v>
      </c>
      <c r="G99" s="21"/>
      <c r="H99" s="21" t="s">
        <v>269</v>
      </c>
      <c r="I99" s="21" t="s">
        <v>240</v>
      </c>
      <c r="J99" s="25" t="s">
        <v>4</v>
      </c>
      <c r="K99" s="4"/>
      <c r="L99" s="4"/>
    </row>
    <row r="100" customFormat="false" ht="15" hidden="false" customHeight="false" outlineLevel="0" collapsed="false">
      <c r="A100" s="21" t="s">
        <v>240</v>
      </c>
      <c r="B100" s="21" t="n">
        <v>5</v>
      </c>
      <c r="C100" s="22" t="s">
        <v>148</v>
      </c>
      <c r="D100" s="21" t="s">
        <v>249</v>
      </c>
      <c r="E100" s="22" t="s">
        <v>248</v>
      </c>
      <c r="F100" s="21" t="s">
        <v>287</v>
      </c>
      <c r="G100" s="21"/>
      <c r="H100" s="21" t="s">
        <v>269</v>
      </c>
      <c r="I100" s="21" t="s">
        <v>240</v>
      </c>
      <c r="J100" s="25" t="s">
        <v>4</v>
      </c>
      <c r="K100" s="4"/>
      <c r="L100" s="4"/>
    </row>
    <row r="101" customFormat="false" ht="15" hidden="false" customHeight="false" outlineLevel="0" collapsed="false">
      <c r="A101" s="21" t="s">
        <v>250</v>
      </c>
      <c r="B101" s="21" t="n">
        <v>2</v>
      </c>
      <c r="C101" s="22" t="s">
        <v>107</v>
      </c>
      <c r="D101" s="21" t="s">
        <v>252</v>
      </c>
      <c r="E101" s="22" t="s">
        <v>251</v>
      </c>
      <c r="F101" s="21" t="s">
        <v>289</v>
      </c>
      <c r="G101" s="21"/>
      <c r="H101" s="21" t="s">
        <v>250</v>
      </c>
      <c r="I101" s="21" t="s">
        <v>263</v>
      </c>
      <c r="J101" s="25" t="s">
        <v>4</v>
      </c>
      <c r="K101" s="4"/>
      <c r="L101" s="36" t="s">
        <v>290</v>
      </c>
    </row>
    <row r="102" customFormat="false" ht="15" hidden="false" customHeight="false" outlineLevel="0" collapsed="false">
      <c r="A102" s="21" t="s">
        <v>253</v>
      </c>
      <c r="B102" s="21" t="n">
        <v>2</v>
      </c>
      <c r="C102" s="22" t="s">
        <v>195</v>
      </c>
      <c r="D102" s="21" t="s">
        <v>255</v>
      </c>
      <c r="E102" s="22" t="s">
        <v>254</v>
      </c>
      <c r="F102" s="21" t="s">
        <v>291</v>
      </c>
      <c r="G102" s="21"/>
      <c r="H102" s="21" t="s">
        <v>253</v>
      </c>
      <c r="I102" s="21" t="s">
        <v>253</v>
      </c>
      <c r="J102" s="25" t="s">
        <v>4</v>
      </c>
      <c r="K102" s="4"/>
      <c r="L102" s="4"/>
    </row>
    <row r="104" customFormat="false" ht="15" hidden="false" customHeight="false" outlineLevel="0" collapsed="false">
      <c r="A104" s="37" t="s">
        <v>292</v>
      </c>
    </row>
  </sheetData>
  <autoFilter ref="A1:L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4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3" t="s">
        <v>45</v>
      </c>
      <c r="B1" s="3" t="s">
        <v>46</v>
      </c>
      <c r="C1" s="3" t="s">
        <v>47</v>
      </c>
      <c r="D1" s="3" t="s">
        <v>50</v>
      </c>
      <c r="E1" s="3" t="s">
        <v>11</v>
      </c>
      <c r="F1" s="3" t="s">
        <v>293</v>
      </c>
      <c r="G1" s="20" t="s">
        <v>294</v>
      </c>
      <c r="H1" s="3" t="s">
        <v>260</v>
      </c>
      <c r="I1" s="3" t="s">
        <v>23</v>
      </c>
      <c r="J1" s="3" t="s">
        <v>261</v>
      </c>
    </row>
    <row r="2" customFormat="false" ht="15" hidden="false" customHeight="false" outlineLevel="0" collapsed="false">
      <c r="A2" s="21" t="s">
        <v>55</v>
      </c>
      <c r="B2" s="21" t="n">
        <v>2</v>
      </c>
      <c r="C2" s="22" t="s">
        <v>56</v>
      </c>
      <c r="D2" s="21" t="s">
        <v>58</v>
      </c>
      <c r="E2" s="22" t="s">
        <v>57</v>
      </c>
      <c r="F2" s="21" t="s">
        <v>263</v>
      </c>
      <c r="G2" s="21" t="s">
        <v>263</v>
      </c>
      <c r="H2" s="25" t="s">
        <v>4</v>
      </c>
      <c r="I2" s="4"/>
      <c r="J2" s="4"/>
    </row>
    <row r="3" customFormat="false" ht="15" hidden="false" customHeight="false" outlineLevel="0" collapsed="false">
      <c r="A3" s="21" t="s">
        <v>55</v>
      </c>
      <c r="B3" s="21" t="n">
        <v>3</v>
      </c>
      <c r="C3" s="22" t="s">
        <v>59</v>
      </c>
      <c r="D3" s="21" t="s">
        <v>61</v>
      </c>
      <c r="E3" s="22" t="s">
        <v>60</v>
      </c>
      <c r="F3" s="21" t="s">
        <v>263</v>
      </c>
      <c r="G3" s="21" t="s">
        <v>263</v>
      </c>
      <c r="H3" s="25" t="s">
        <v>4</v>
      </c>
      <c r="I3" s="4"/>
      <c r="J3" s="4"/>
    </row>
    <row r="4" customFormat="false" ht="15" hidden="false" customHeight="false" outlineLevel="0" collapsed="false">
      <c r="A4" s="21" t="s">
        <v>55</v>
      </c>
      <c r="B4" s="21" t="n">
        <v>4</v>
      </c>
      <c r="C4" s="22" t="s">
        <v>62</v>
      </c>
      <c r="D4" s="21" t="s">
        <v>58</v>
      </c>
      <c r="E4" s="22" t="s">
        <v>63</v>
      </c>
      <c r="F4" s="21" t="s">
        <v>263</v>
      </c>
      <c r="G4" s="21" t="s">
        <v>263</v>
      </c>
      <c r="H4" s="25" t="s">
        <v>4</v>
      </c>
      <c r="I4" s="4"/>
      <c r="J4" s="4"/>
    </row>
    <row r="5" customFormat="false" ht="15" hidden="false" customHeight="false" outlineLevel="0" collapsed="false">
      <c r="A5" s="21" t="s">
        <v>55</v>
      </c>
      <c r="B5" s="21" t="n">
        <v>5</v>
      </c>
      <c r="C5" s="22" t="s">
        <v>62</v>
      </c>
      <c r="D5" s="21" t="s">
        <v>65</v>
      </c>
      <c r="E5" s="22" t="s">
        <v>64</v>
      </c>
      <c r="F5" s="21" t="s">
        <v>263</v>
      </c>
      <c r="G5" s="21" t="s">
        <v>263</v>
      </c>
      <c r="H5" s="25" t="s">
        <v>4</v>
      </c>
      <c r="I5" s="4"/>
      <c r="J5" s="4"/>
    </row>
    <row r="6" customFormat="false" ht="15" hidden="false" customHeight="false" outlineLevel="0" collapsed="false">
      <c r="A6" s="21" t="s">
        <v>55</v>
      </c>
      <c r="B6" s="21" t="n">
        <v>6</v>
      </c>
      <c r="C6" s="22" t="s">
        <v>62</v>
      </c>
      <c r="D6" s="21" t="s">
        <v>67</v>
      </c>
      <c r="E6" s="22" t="s">
        <v>66</v>
      </c>
      <c r="F6" s="21" t="s">
        <v>263</v>
      </c>
      <c r="G6" s="21" t="s">
        <v>263</v>
      </c>
      <c r="H6" s="25" t="s">
        <v>4</v>
      </c>
      <c r="I6" s="4"/>
      <c r="J6" s="4"/>
    </row>
    <row r="7" customFormat="false" ht="15" hidden="false" customHeight="false" outlineLevel="0" collapsed="false">
      <c r="A7" s="21" t="s">
        <v>55</v>
      </c>
      <c r="B7" s="21" t="n">
        <v>7</v>
      </c>
      <c r="C7" s="22" t="s">
        <v>62</v>
      </c>
      <c r="D7" s="21" t="s">
        <v>69</v>
      </c>
      <c r="E7" s="22" t="s">
        <v>68</v>
      </c>
      <c r="F7" s="21" t="s">
        <v>263</v>
      </c>
      <c r="G7" s="21" t="s">
        <v>263</v>
      </c>
      <c r="H7" s="25" t="s">
        <v>4</v>
      </c>
      <c r="I7" s="4"/>
      <c r="J7" s="4"/>
    </row>
    <row r="8" customFormat="false" ht="15" hidden="false" customHeight="false" outlineLevel="0" collapsed="false">
      <c r="A8" s="21" t="s">
        <v>55</v>
      </c>
      <c r="B8" s="21" t="n">
        <v>8</v>
      </c>
      <c r="C8" s="22" t="s">
        <v>70</v>
      </c>
      <c r="D8" s="21" t="s">
        <v>58</v>
      </c>
      <c r="E8" s="22" t="s">
        <v>71</v>
      </c>
      <c r="F8" s="21" t="s">
        <v>263</v>
      </c>
      <c r="G8" s="21" t="s">
        <v>263</v>
      </c>
      <c r="H8" s="25" t="s">
        <v>4</v>
      </c>
      <c r="I8" s="4"/>
      <c r="J8" s="4"/>
    </row>
    <row r="9" customFormat="false" ht="15" hidden="false" customHeight="false" outlineLevel="0" collapsed="false">
      <c r="A9" s="21" t="s">
        <v>55</v>
      </c>
      <c r="B9" s="21" t="n">
        <v>9</v>
      </c>
      <c r="C9" s="22" t="s">
        <v>70</v>
      </c>
      <c r="D9" s="21" t="s">
        <v>73</v>
      </c>
      <c r="E9" s="22" t="s">
        <v>72</v>
      </c>
      <c r="F9" s="21" t="s">
        <v>263</v>
      </c>
      <c r="G9" s="21" t="s">
        <v>263</v>
      </c>
      <c r="H9" s="25" t="s">
        <v>4</v>
      </c>
      <c r="I9" s="4"/>
      <c r="J9" s="4"/>
    </row>
    <row r="10" customFormat="false" ht="15" hidden="false" customHeight="false" outlineLevel="0" collapsed="false">
      <c r="A10" s="21" t="s">
        <v>55</v>
      </c>
      <c r="B10" s="21" t="n">
        <v>10</v>
      </c>
      <c r="C10" s="22" t="s">
        <v>74</v>
      </c>
      <c r="D10" s="21" t="s">
        <v>76</v>
      </c>
      <c r="E10" s="22" t="s">
        <v>75</v>
      </c>
      <c r="F10" s="21" t="s">
        <v>263</v>
      </c>
      <c r="G10" s="21" t="s">
        <v>263</v>
      </c>
      <c r="H10" s="25" t="s">
        <v>4</v>
      </c>
      <c r="I10" s="4"/>
      <c r="J10" s="4"/>
    </row>
    <row r="11" customFormat="false" ht="15" hidden="false" customHeight="false" outlineLevel="0" collapsed="false">
      <c r="A11" s="21" t="s">
        <v>55</v>
      </c>
      <c r="B11" s="21" t="n">
        <v>11</v>
      </c>
      <c r="C11" s="22" t="s">
        <v>77</v>
      </c>
      <c r="D11" s="21" t="s">
        <v>79</v>
      </c>
      <c r="E11" s="22" t="s">
        <v>78</v>
      </c>
      <c r="F11" s="21" t="s">
        <v>263</v>
      </c>
      <c r="G11" s="21" t="s">
        <v>263</v>
      </c>
      <c r="H11" s="25" t="s">
        <v>4</v>
      </c>
      <c r="I11" s="4"/>
      <c r="J11" s="4"/>
    </row>
    <row r="12" customFormat="false" ht="15" hidden="false" customHeight="false" outlineLevel="0" collapsed="false">
      <c r="A12" s="21" t="s">
        <v>55</v>
      </c>
      <c r="B12" s="21" t="n">
        <v>12</v>
      </c>
      <c r="C12" s="22" t="s">
        <v>80</v>
      </c>
      <c r="D12" s="21" t="s">
        <v>84</v>
      </c>
      <c r="E12" s="22" t="s">
        <v>83</v>
      </c>
      <c r="F12" s="21" t="s">
        <v>263</v>
      </c>
      <c r="G12" s="21" t="s">
        <v>263</v>
      </c>
      <c r="H12" s="25" t="s">
        <v>4</v>
      </c>
      <c r="I12" s="4"/>
      <c r="J12" s="4"/>
    </row>
    <row r="13" customFormat="false" ht="15" hidden="false" customHeight="false" outlineLevel="0" collapsed="false">
      <c r="A13" s="21" t="s">
        <v>55</v>
      </c>
      <c r="B13" s="21" t="n">
        <v>13</v>
      </c>
      <c r="C13" s="22" t="s">
        <v>80</v>
      </c>
      <c r="D13" s="21" t="s">
        <v>61</v>
      </c>
      <c r="E13" s="22" t="s">
        <v>85</v>
      </c>
      <c r="F13" s="21" t="s">
        <v>263</v>
      </c>
      <c r="G13" s="21" t="s">
        <v>263</v>
      </c>
      <c r="H13" s="25" t="s">
        <v>4</v>
      </c>
      <c r="I13" s="4"/>
      <c r="J13" s="4"/>
    </row>
    <row r="14" customFormat="false" ht="15" hidden="false" customHeight="false" outlineLevel="0" collapsed="false">
      <c r="A14" s="21" t="s">
        <v>55</v>
      </c>
      <c r="B14" s="21" t="n">
        <v>14</v>
      </c>
      <c r="C14" s="22" t="s">
        <v>80</v>
      </c>
      <c r="D14" s="21" t="s">
        <v>87</v>
      </c>
      <c r="E14" s="22" t="s">
        <v>86</v>
      </c>
      <c r="F14" s="21" t="s">
        <v>263</v>
      </c>
      <c r="G14" s="21" t="s">
        <v>263</v>
      </c>
      <c r="H14" s="25" t="s">
        <v>4</v>
      </c>
      <c r="I14" s="4"/>
      <c r="J14" s="4"/>
    </row>
    <row r="15" customFormat="false" ht="15" hidden="false" customHeight="false" outlineLevel="0" collapsed="false">
      <c r="A15" s="21" t="s">
        <v>55</v>
      </c>
      <c r="B15" s="21" t="n">
        <v>15</v>
      </c>
      <c r="C15" s="22" t="s">
        <v>80</v>
      </c>
      <c r="D15" s="21" t="s">
        <v>89</v>
      </c>
      <c r="E15" s="22" t="s">
        <v>88</v>
      </c>
      <c r="F15" s="21" t="s">
        <v>263</v>
      </c>
      <c r="G15" s="21" t="s">
        <v>263</v>
      </c>
      <c r="H15" s="25" t="s">
        <v>4</v>
      </c>
      <c r="I15" s="4"/>
      <c r="J15" s="4"/>
    </row>
    <row r="16" customFormat="false" ht="15" hidden="false" customHeight="false" outlineLevel="0" collapsed="false">
      <c r="A16" s="21" t="s">
        <v>55</v>
      </c>
      <c r="B16" s="21" t="n">
        <v>16</v>
      </c>
      <c r="C16" s="22" t="s">
        <v>80</v>
      </c>
      <c r="D16" s="21" t="s">
        <v>91</v>
      </c>
      <c r="E16" s="22" t="s">
        <v>90</v>
      </c>
      <c r="F16" s="21" t="s">
        <v>263</v>
      </c>
      <c r="G16" s="21" t="s">
        <v>263</v>
      </c>
      <c r="H16" s="25" t="s">
        <v>4</v>
      </c>
      <c r="I16" s="4"/>
      <c r="J16" s="4"/>
    </row>
    <row r="17" customFormat="false" ht="15" hidden="false" customHeight="false" outlineLevel="0" collapsed="false">
      <c r="A17" s="21" t="s">
        <v>55</v>
      </c>
      <c r="B17" s="21" t="n">
        <v>17</v>
      </c>
      <c r="C17" s="22" t="s">
        <v>92</v>
      </c>
      <c r="D17" s="21" t="s">
        <v>94</v>
      </c>
      <c r="E17" s="22" t="s">
        <v>93</v>
      </c>
      <c r="F17" s="21" t="s">
        <v>263</v>
      </c>
      <c r="G17" s="21" t="s">
        <v>263</v>
      </c>
      <c r="H17" s="25" t="s">
        <v>4</v>
      </c>
      <c r="I17" s="4"/>
      <c r="J17" s="4"/>
    </row>
    <row r="18" customFormat="false" ht="15" hidden="false" customHeight="false" outlineLevel="0" collapsed="false">
      <c r="A18" s="21" t="s">
        <v>55</v>
      </c>
      <c r="B18" s="21" t="n">
        <v>18</v>
      </c>
      <c r="C18" s="22" t="s">
        <v>92</v>
      </c>
      <c r="D18" s="21" t="s">
        <v>96</v>
      </c>
      <c r="E18" s="22" t="s">
        <v>95</v>
      </c>
      <c r="F18" s="21" t="s">
        <v>263</v>
      </c>
      <c r="G18" s="21" t="s">
        <v>263</v>
      </c>
      <c r="H18" s="25" t="s">
        <v>4</v>
      </c>
      <c r="I18" s="4"/>
      <c r="J18" s="4"/>
    </row>
    <row r="19" customFormat="false" ht="15" hidden="false" customHeight="false" outlineLevel="0" collapsed="false">
      <c r="A19" s="21" t="s">
        <v>55</v>
      </c>
      <c r="B19" s="21" t="n">
        <v>19</v>
      </c>
      <c r="C19" s="22" t="s">
        <v>92</v>
      </c>
      <c r="D19" s="21" t="s">
        <v>76</v>
      </c>
      <c r="E19" s="22" t="s">
        <v>97</v>
      </c>
      <c r="F19" s="21" t="s">
        <v>263</v>
      </c>
      <c r="G19" s="21" t="s">
        <v>263</v>
      </c>
      <c r="H19" s="25" t="s">
        <v>4</v>
      </c>
      <c r="I19" s="4"/>
      <c r="J19" s="4"/>
    </row>
    <row r="20" customFormat="false" ht="15" hidden="false" customHeight="false" outlineLevel="0" collapsed="false">
      <c r="A20" s="21" t="s">
        <v>55</v>
      </c>
      <c r="B20" s="21" t="n">
        <v>20</v>
      </c>
      <c r="C20" s="22" t="s">
        <v>92</v>
      </c>
      <c r="D20" s="21" t="s">
        <v>61</v>
      </c>
      <c r="E20" s="22" t="s">
        <v>98</v>
      </c>
      <c r="F20" s="21" t="s">
        <v>263</v>
      </c>
      <c r="G20" s="21" t="s">
        <v>263</v>
      </c>
      <c r="H20" s="25" t="s">
        <v>4</v>
      </c>
      <c r="I20" s="4"/>
      <c r="J20" s="4"/>
    </row>
    <row r="21" customFormat="false" ht="15" hidden="false" customHeight="false" outlineLevel="0" collapsed="false">
      <c r="A21" s="21" t="s">
        <v>55</v>
      </c>
      <c r="B21" s="21" t="n">
        <v>21</v>
      </c>
      <c r="C21" s="22" t="s">
        <v>92</v>
      </c>
      <c r="D21" s="21" t="s">
        <v>58</v>
      </c>
      <c r="E21" s="22" t="s">
        <v>99</v>
      </c>
      <c r="F21" s="21" t="s">
        <v>263</v>
      </c>
      <c r="G21" s="21" t="s">
        <v>263</v>
      </c>
      <c r="H21" s="25" t="s">
        <v>4</v>
      </c>
      <c r="I21" s="4"/>
      <c r="J21" s="4"/>
    </row>
    <row r="22" customFormat="false" ht="15" hidden="false" customHeight="false" outlineLevel="0" collapsed="false">
      <c r="A22" s="21" t="s">
        <v>55</v>
      </c>
      <c r="B22" s="21" t="n">
        <v>22</v>
      </c>
      <c r="C22" s="22" t="s">
        <v>92</v>
      </c>
      <c r="D22" s="21" t="s">
        <v>69</v>
      </c>
      <c r="E22" s="22" t="s">
        <v>100</v>
      </c>
      <c r="F22" s="21" t="s">
        <v>263</v>
      </c>
      <c r="G22" s="21" t="s">
        <v>263</v>
      </c>
      <c r="H22" s="25" t="s">
        <v>4</v>
      </c>
      <c r="I22" s="4"/>
      <c r="J22" s="4"/>
    </row>
    <row r="23" customFormat="false" ht="15" hidden="false" customHeight="false" outlineLevel="0" collapsed="false">
      <c r="A23" s="21" t="s">
        <v>55</v>
      </c>
      <c r="B23" s="21" t="n">
        <v>23</v>
      </c>
      <c r="C23" s="22" t="s">
        <v>92</v>
      </c>
      <c r="D23" s="21" t="s">
        <v>87</v>
      </c>
      <c r="E23" s="22" t="s">
        <v>101</v>
      </c>
      <c r="F23" s="21" t="s">
        <v>263</v>
      </c>
      <c r="G23" s="21" t="s">
        <v>263</v>
      </c>
      <c r="H23" s="25" t="s">
        <v>4</v>
      </c>
      <c r="I23" s="4"/>
      <c r="J23" s="4"/>
    </row>
    <row r="24" customFormat="false" ht="15" hidden="false" customHeight="false" outlineLevel="0" collapsed="false">
      <c r="A24" s="21" t="s">
        <v>55</v>
      </c>
      <c r="B24" s="21" t="n">
        <v>24</v>
      </c>
      <c r="C24" s="22" t="s">
        <v>92</v>
      </c>
      <c r="D24" s="21" t="s">
        <v>76</v>
      </c>
      <c r="E24" s="22" t="s">
        <v>102</v>
      </c>
      <c r="F24" s="21" t="s">
        <v>263</v>
      </c>
      <c r="G24" s="21" t="s">
        <v>263</v>
      </c>
      <c r="H24" s="25" t="s">
        <v>4</v>
      </c>
      <c r="I24" s="4"/>
      <c r="J24" s="4"/>
    </row>
    <row r="25" customFormat="false" ht="15" hidden="false" customHeight="false" outlineLevel="0" collapsed="false">
      <c r="A25" s="21" t="s">
        <v>55</v>
      </c>
      <c r="B25" s="21" t="n">
        <v>25</v>
      </c>
      <c r="C25" s="22" t="s">
        <v>92</v>
      </c>
      <c r="D25" s="21" t="s">
        <v>104</v>
      </c>
      <c r="E25" s="22" t="s">
        <v>103</v>
      </c>
      <c r="F25" s="21" t="s">
        <v>263</v>
      </c>
      <c r="G25" s="21" t="s">
        <v>263</v>
      </c>
      <c r="H25" s="25" t="s">
        <v>4</v>
      </c>
      <c r="I25" s="4"/>
      <c r="J25" s="4"/>
    </row>
    <row r="26" customFormat="false" ht="15" hidden="false" customHeight="false" outlineLevel="0" collapsed="false">
      <c r="A26" s="21" t="s">
        <v>55</v>
      </c>
      <c r="B26" s="21" t="n">
        <v>26</v>
      </c>
      <c r="C26" s="22" t="s">
        <v>92</v>
      </c>
      <c r="D26" s="21" t="s">
        <v>106</v>
      </c>
      <c r="E26" s="22" t="s">
        <v>105</v>
      </c>
      <c r="F26" s="21" t="s">
        <v>263</v>
      </c>
      <c r="G26" s="21" t="s">
        <v>263</v>
      </c>
      <c r="H26" s="25" t="s">
        <v>4</v>
      </c>
      <c r="I26" s="4"/>
      <c r="J26" s="4"/>
    </row>
    <row r="27" customFormat="false" ht="15" hidden="false" customHeight="false" outlineLevel="0" collapsed="false">
      <c r="A27" s="21" t="s">
        <v>55</v>
      </c>
      <c r="B27" s="21" t="n">
        <v>27</v>
      </c>
      <c r="C27" s="22" t="s">
        <v>107</v>
      </c>
      <c r="D27" s="21" t="s">
        <v>58</v>
      </c>
      <c r="E27" s="22" t="s">
        <v>108</v>
      </c>
      <c r="F27" s="21" t="s">
        <v>263</v>
      </c>
      <c r="G27" s="21" t="s">
        <v>263</v>
      </c>
      <c r="H27" s="25" t="s">
        <v>4</v>
      </c>
      <c r="I27" s="4"/>
      <c r="J27" s="4"/>
    </row>
    <row r="28" customFormat="false" ht="15" hidden="false" customHeight="false" outlineLevel="0" collapsed="false">
      <c r="A28" s="21" t="s">
        <v>55</v>
      </c>
      <c r="B28" s="21" t="n">
        <v>28</v>
      </c>
      <c r="C28" s="22" t="s">
        <v>107</v>
      </c>
      <c r="D28" s="21" t="s">
        <v>91</v>
      </c>
      <c r="E28" s="22" t="s">
        <v>109</v>
      </c>
      <c r="F28" s="21" t="s">
        <v>263</v>
      </c>
      <c r="G28" s="21" t="s">
        <v>263</v>
      </c>
      <c r="H28" s="25" t="s">
        <v>4</v>
      </c>
      <c r="I28" s="4"/>
      <c r="J28" s="4"/>
    </row>
    <row r="29" customFormat="false" ht="15" hidden="false" customHeight="false" outlineLevel="0" collapsed="false">
      <c r="A29" s="21" t="s">
        <v>55</v>
      </c>
      <c r="B29" s="21" t="n">
        <v>29</v>
      </c>
      <c r="C29" s="22" t="s">
        <v>107</v>
      </c>
      <c r="D29" s="21" t="s">
        <v>76</v>
      </c>
      <c r="E29" s="22" t="s">
        <v>265</v>
      </c>
      <c r="F29" s="21" t="s">
        <v>263</v>
      </c>
      <c r="G29" s="21" t="s">
        <v>263</v>
      </c>
      <c r="H29" s="25" t="s">
        <v>4</v>
      </c>
      <c r="I29" s="4"/>
      <c r="J29" s="4"/>
    </row>
    <row r="30" customFormat="false" ht="15" hidden="false" customHeight="false" outlineLevel="0" collapsed="false">
      <c r="A30" s="21" t="s">
        <v>55</v>
      </c>
      <c r="B30" s="21" t="n">
        <v>29</v>
      </c>
      <c r="C30" s="22" t="s">
        <v>107</v>
      </c>
      <c r="D30" s="21" t="s">
        <v>106</v>
      </c>
      <c r="E30" s="22" t="s">
        <v>267</v>
      </c>
      <c r="F30" s="21" t="s">
        <v>263</v>
      </c>
      <c r="G30" s="21" t="s">
        <v>263</v>
      </c>
      <c r="H30" s="25" t="s">
        <v>4</v>
      </c>
      <c r="I30" s="4"/>
      <c r="J30" s="4"/>
    </row>
    <row r="31" customFormat="false" ht="15" hidden="false" customHeight="false" outlineLevel="0" collapsed="false">
      <c r="A31" s="21" t="s">
        <v>55</v>
      </c>
      <c r="B31" s="21" t="n">
        <v>30</v>
      </c>
      <c r="C31" s="22" t="s">
        <v>107</v>
      </c>
      <c r="D31" s="21" t="s">
        <v>58</v>
      </c>
      <c r="E31" s="22" t="s">
        <v>114</v>
      </c>
      <c r="F31" s="21" t="s">
        <v>263</v>
      </c>
      <c r="G31" s="21" t="s">
        <v>263</v>
      </c>
      <c r="H31" s="25" t="s">
        <v>4</v>
      </c>
      <c r="I31" s="4"/>
      <c r="J31" s="4"/>
    </row>
    <row r="32" customFormat="false" ht="15" hidden="false" customHeight="false" outlineLevel="0" collapsed="false">
      <c r="A32" s="21" t="s">
        <v>55</v>
      </c>
      <c r="B32" s="21" t="n">
        <v>31</v>
      </c>
      <c r="C32" s="22" t="s">
        <v>115</v>
      </c>
      <c r="D32" s="21" t="s">
        <v>58</v>
      </c>
      <c r="E32" s="22" t="s">
        <v>116</v>
      </c>
      <c r="F32" s="21" t="s">
        <v>263</v>
      </c>
      <c r="G32" s="21" t="s">
        <v>263</v>
      </c>
      <c r="H32" s="25" t="s">
        <v>4</v>
      </c>
      <c r="I32" s="4"/>
      <c r="J32" s="4"/>
    </row>
    <row r="33" customFormat="false" ht="15" hidden="false" customHeight="false" outlineLevel="0" collapsed="false">
      <c r="A33" s="21" t="s">
        <v>55</v>
      </c>
      <c r="B33" s="21" t="n">
        <v>32</v>
      </c>
      <c r="C33" s="22" t="s">
        <v>115</v>
      </c>
      <c r="D33" s="21" t="s">
        <v>106</v>
      </c>
      <c r="E33" s="22" t="s">
        <v>117</v>
      </c>
      <c r="F33" s="21" t="s">
        <v>263</v>
      </c>
      <c r="G33" s="21" t="s">
        <v>263</v>
      </c>
      <c r="H33" s="25" t="s">
        <v>4</v>
      </c>
      <c r="I33" s="4"/>
      <c r="J33" s="4"/>
    </row>
    <row r="34" customFormat="false" ht="15" hidden="false" customHeight="false" outlineLevel="0" collapsed="false">
      <c r="A34" s="21" t="s">
        <v>55</v>
      </c>
      <c r="B34" s="21" t="n">
        <v>33</v>
      </c>
      <c r="C34" s="22" t="s">
        <v>115</v>
      </c>
      <c r="D34" s="21" t="s">
        <v>58</v>
      </c>
      <c r="E34" s="22" t="s">
        <v>118</v>
      </c>
      <c r="F34" s="21" t="s">
        <v>263</v>
      </c>
      <c r="G34" s="21" t="s">
        <v>263</v>
      </c>
      <c r="H34" s="25" t="s">
        <v>4</v>
      </c>
      <c r="I34" s="4"/>
      <c r="J34" s="4"/>
    </row>
    <row r="35" customFormat="false" ht="15" hidden="false" customHeight="false" outlineLevel="0" collapsed="false">
      <c r="A35" s="21" t="s">
        <v>55</v>
      </c>
      <c r="B35" s="21" t="n">
        <v>34</v>
      </c>
      <c r="C35" s="22" t="s">
        <v>115</v>
      </c>
      <c r="D35" s="21" t="s">
        <v>120</v>
      </c>
      <c r="E35" s="22" t="s">
        <v>119</v>
      </c>
      <c r="F35" s="21" t="s">
        <v>263</v>
      </c>
      <c r="G35" s="21" t="s">
        <v>263</v>
      </c>
      <c r="H35" s="25" t="s">
        <v>4</v>
      </c>
      <c r="I35" s="4"/>
      <c r="J35" s="4"/>
    </row>
    <row r="36" customFormat="false" ht="15" hidden="false" customHeight="false" outlineLevel="0" collapsed="false">
      <c r="A36" s="21" t="s">
        <v>55</v>
      </c>
      <c r="B36" s="21" t="n">
        <v>35</v>
      </c>
      <c r="C36" s="22" t="s">
        <v>115</v>
      </c>
      <c r="D36" s="21" t="s">
        <v>122</v>
      </c>
      <c r="E36" s="22" t="s">
        <v>121</v>
      </c>
      <c r="F36" s="21" t="s">
        <v>263</v>
      </c>
      <c r="G36" s="21" t="s">
        <v>263</v>
      </c>
      <c r="H36" s="25" t="s">
        <v>4</v>
      </c>
      <c r="I36" s="4"/>
      <c r="J36" s="4"/>
    </row>
    <row r="37" customFormat="false" ht="15" hidden="false" customHeight="false" outlineLevel="0" collapsed="false">
      <c r="A37" s="21" t="s">
        <v>55</v>
      </c>
      <c r="B37" s="21" t="n">
        <v>36</v>
      </c>
      <c r="C37" s="22" t="s">
        <v>115</v>
      </c>
      <c r="D37" s="21" t="s">
        <v>94</v>
      </c>
      <c r="E37" s="22" t="s">
        <v>123</v>
      </c>
      <c r="F37" s="21" t="s">
        <v>263</v>
      </c>
      <c r="G37" s="21" t="s">
        <v>263</v>
      </c>
      <c r="H37" s="25" t="s">
        <v>4</v>
      </c>
      <c r="I37" s="4"/>
      <c r="J37" s="4"/>
    </row>
    <row r="38" customFormat="false" ht="15" hidden="false" customHeight="false" outlineLevel="0" collapsed="false">
      <c r="A38" s="21" t="s">
        <v>55</v>
      </c>
      <c r="B38" s="21" t="n">
        <v>37</v>
      </c>
      <c r="C38" s="22" t="s">
        <v>115</v>
      </c>
      <c r="D38" s="21" t="s">
        <v>76</v>
      </c>
      <c r="E38" s="22" t="s">
        <v>124</v>
      </c>
      <c r="F38" s="21" t="s">
        <v>263</v>
      </c>
      <c r="G38" s="21" t="s">
        <v>263</v>
      </c>
      <c r="H38" s="25" t="s">
        <v>4</v>
      </c>
      <c r="I38" s="4"/>
      <c r="J38" s="4"/>
    </row>
    <row r="39" customFormat="false" ht="15" hidden="false" customHeight="false" outlineLevel="0" collapsed="false">
      <c r="A39" s="21" t="s">
        <v>55</v>
      </c>
      <c r="B39" s="21" t="n">
        <v>38</v>
      </c>
      <c r="C39" s="22" t="s">
        <v>125</v>
      </c>
      <c r="D39" s="21" t="s">
        <v>61</v>
      </c>
      <c r="E39" s="22" t="s">
        <v>126</v>
      </c>
      <c r="F39" s="21" t="s">
        <v>263</v>
      </c>
      <c r="G39" s="21" t="s">
        <v>263</v>
      </c>
      <c r="H39" s="25" t="s">
        <v>4</v>
      </c>
      <c r="I39" s="4"/>
      <c r="J39" s="36" t="s">
        <v>295</v>
      </c>
    </row>
    <row r="40" customFormat="false" ht="15" hidden="false" customHeight="false" outlineLevel="0" collapsed="false">
      <c r="A40" s="21" t="s">
        <v>55</v>
      </c>
      <c r="B40" s="21" t="n">
        <v>39</v>
      </c>
      <c r="C40" s="22" t="s">
        <v>125</v>
      </c>
      <c r="D40" s="21" t="s">
        <v>106</v>
      </c>
      <c r="E40" s="22" t="s">
        <v>127</v>
      </c>
      <c r="F40" s="21" t="s">
        <v>263</v>
      </c>
      <c r="G40" s="21" t="s">
        <v>263</v>
      </c>
      <c r="H40" s="25" t="s">
        <v>4</v>
      </c>
      <c r="I40" s="4"/>
      <c r="J40" s="36" t="s">
        <v>295</v>
      </c>
    </row>
    <row r="41" customFormat="false" ht="15" hidden="false" customHeight="false" outlineLevel="0" collapsed="false">
      <c r="A41" s="21" t="s">
        <v>55</v>
      </c>
      <c r="B41" s="21" t="n">
        <v>40</v>
      </c>
      <c r="C41" s="22" t="s">
        <v>125</v>
      </c>
      <c r="D41" s="21" t="s">
        <v>61</v>
      </c>
      <c r="E41" s="22" t="s">
        <v>128</v>
      </c>
      <c r="F41" s="21" t="s">
        <v>263</v>
      </c>
      <c r="G41" s="21" t="s">
        <v>263</v>
      </c>
      <c r="H41" s="25" t="s">
        <v>4</v>
      </c>
      <c r="I41" s="4"/>
      <c r="J41" s="36" t="s">
        <v>295</v>
      </c>
    </row>
    <row r="42" customFormat="false" ht="15" hidden="false" customHeight="false" outlineLevel="0" collapsed="false">
      <c r="A42" s="21" t="s">
        <v>55</v>
      </c>
      <c r="B42" s="21" t="n">
        <v>41</v>
      </c>
      <c r="C42" s="22" t="s">
        <v>125</v>
      </c>
      <c r="D42" s="21" t="s">
        <v>58</v>
      </c>
      <c r="E42" s="22" t="s">
        <v>129</v>
      </c>
      <c r="F42" s="21" t="s">
        <v>263</v>
      </c>
      <c r="G42" s="21" t="s">
        <v>263</v>
      </c>
      <c r="H42" s="25" t="s">
        <v>4</v>
      </c>
      <c r="I42" s="4"/>
      <c r="J42" s="36" t="s">
        <v>295</v>
      </c>
    </row>
    <row r="43" customFormat="false" ht="15" hidden="false" customHeight="false" outlineLevel="0" collapsed="false">
      <c r="A43" s="21" t="s">
        <v>55</v>
      </c>
      <c r="B43" s="21" t="n">
        <v>42</v>
      </c>
      <c r="C43" s="22" t="s">
        <v>125</v>
      </c>
      <c r="D43" s="21" t="s">
        <v>58</v>
      </c>
      <c r="E43" s="22" t="s">
        <v>130</v>
      </c>
      <c r="F43" s="21" t="s">
        <v>263</v>
      </c>
      <c r="G43" s="21" t="s">
        <v>263</v>
      </c>
      <c r="H43" s="25" t="s">
        <v>4</v>
      </c>
      <c r="I43" s="4"/>
      <c r="J43" s="36" t="s">
        <v>295</v>
      </c>
    </row>
    <row r="44" customFormat="false" ht="15" hidden="false" customHeight="false" outlineLevel="0" collapsed="false">
      <c r="A44" s="21" t="s">
        <v>55</v>
      </c>
      <c r="B44" s="21" t="n">
        <v>43</v>
      </c>
      <c r="C44" s="22" t="s">
        <v>131</v>
      </c>
      <c r="D44" s="21" t="s">
        <v>91</v>
      </c>
      <c r="E44" s="22" t="s">
        <v>132</v>
      </c>
      <c r="F44" s="21" t="s">
        <v>263</v>
      </c>
      <c r="G44" s="21" t="s">
        <v>263</v>
      </c>
      <c r="H44" s="25" t="s">
        <v>4</v>
      </c>
      <c r="I44" s="4"/>
      <c r="J44" s="36" t="s">
        <v>295</v>
      </c>
    </row>
    <row r="45" customFormat="false" ht="15" hidden="false" customHeight="false" outlineLevel="0" collapsed="false">
      <c r="A45" s="21" t="s">
        <v>55</v>
      </c>
      <c r="B45" s="21" t="n">
        <v>44</v>
      </c>
      <c r="C45" s="22" t="s">
        <v>131</v>
      </c>
      <c r="D45" s="21" t="s">
        <v>61</v>
      </c>
      <c r="E45" s="22" t="s">
        <v>133</v>
      </c>
      <c r="F45" s="21" t="s">
        <v>263</v>
      </c>
      <c r="G45" s="21" t="s">
        <v>263</v>
      </c>
      <c r="H45" s="25" t="s">
        <v>4</v>
      </c>
      <c r="I45" s="4"/>
      <c r="J45" s="36" t="s">
        <v>295</v>
      </c>
    </row>
    <row r="46" customFormat="false" ht="15" hidden="false" customHeight="false" outlineLevel="0" collapsed="false">
      <c r="A46" s="21" t="s">
        <v>55</v>
      </c>
      <c r="B46" s="21" t="n">
        <v>45</v>
      </c>
      <c r="C46" s="22" t="s">
        <v>131</v>
      </c>
      <c r="D46" s="21" t="s">
        <v>96</v>
      </c>
      <c r="E46" s="22" t="s">
        <v>134</v>
      </c>
      <c r="F46" s="21" t="s">
        <v>263</v>
      </c>
      <c r="G46" s="21" t="s">
        <v>263</v>
      </c>
      <c r="H46" s="25" t="s">
        <v>4</v>
      </c>
      <c r="I46" s="4"/>
      <c r="J46" s="36" t="s">
        <v>295</v>
      </c>
    </row>
    <row r="47" customFormat="false" ht="15" hidden="false" customHeight="false" outlineLevel="0" collapsed="false">
      <c r="A47" s="21" t="s">
        <v>55</v>
      </c>
      <c r="B47" s="21" t="n">
        <v>46</v>
      </c>
      <c r="C47" s="22" t="s">
        <v>131</v>
      </c>
      <c r="D47" s="21" t="s">
        <v>58</v>
      </c>
      <c r="E47" s="22" t="s">
        <v>135</v>
      </c>
      <c r="F47" s="21" t="s">
        <v>263</v>
      </c>
      <c r="G47" s="21" t="s">
        <v>263</v>
      </c>
      <c r="H47" s="25" t="s">
        <v>4</v>
      </c>
      <c r="I47" s="4"/>
      <c r="J47" s="36" t="s">
        <v>295</v>
      </c>
    </row>
    <row r="48" customFormat="false" ht="15" hidden="false" customHeight="false" outlineLevel="0" collapsed="false">
      <c r="A48" s="21" t="s">
        <v>55</v>
      </c>
      <c r="B48" s="21" t="n">
        <v>47</v>
      </c>
      <c r="C48" s="22" t="s">
        <v>136</v>
      </c>
      <c r="D48" s="21" t="s">
        <v>138</v>
      </c>
      <c r="E48" s="22" t="s">
        <v>137</v>
      </c>
      <c r="F48" s="21" t="s">
        <v>263</v>
      </c>
      <c r="G48" s="21" t="s">
        <v>263</v>
      </c>
      <c r="H48" s="25" t="s">
        <v>4</v>
      </c>
      <c r="I48" s="4"/>
      <c r="J48" s="36" t="s">
        <v>295</v>
      </c>
    </row>
    <row r="49" customFormat="false" ht="15" hidden="false" customHeight="false" outlineLevel="0" collapsed="false">
      <c r="A49" s="21" t="s">
        <v>55</v>
      </c>
      <c r="B49" s="21" t="n">
        <v>48</v>
      </c>
      <c r="C49" s="22" t="s">
        <v>140</v>
      </c>
      <c r="D49" s="21" t="s">
        <v>142</v>
      </c>
      <c r="E49" s="22" t="s">
        <v>141</v>
      </c>
      <c r="F49" s="21" t="s">
        <v>296</v>
      </c>
      <c r="G49" s="21" t="s">
        <v>296</v>
      </c>
      <c r="H49" s="25" t="s">
        <v>4</v>
      </c>
      <c r="I49" s="4"/>
      <c r="J49" s="4"/>
    </row>
    <row r="50" customFormat="false" ht="15" hidden="false" customHeight="false" outlineLevel="0" collapsed="false">
      <c r="A50" s="21" t="s">
        <v>55</v>
      </c>
      <c r="B50" s="21" t="n">
        <v>49</v>
      </c>
      <c r="C50" s="22" t="s">
        <v>144</v>
      </c>
      <c r="D50" s="21" t="s">
        <v>58</v>
      </c>
      <c r="E50" s="22" t="s">
        <v>145</v>
      </c>
      <c r="F50" s="21" t="s">
        <v>296</v>
      </c>
      <c r="G50" s="21" t="s">
        <v>296</v>
      </c>
      <c r="H50" s="25" t="s">
        <v>4</v>
      </c>
      <c r="I50" s="4"/>
      <c r="J50" s="36" t="s">
        <v>297</v>
      </c>
    </row>
    <row r="51" customFormat="false" ht="15" hidden="false" customHeight="false" outlineLevel="0" collapsed="false">
      <c r="A51" s="21" t="s">
        <v>55</v>
      </c>
      <c r="B51" s="21" t="n">
        <v>50</v>
      </c>
      <c r="C51" s="22" t="s">
        <v>144</v>
      </c>
      <c r="D51" s="21" t="s">
        <v>147</v>
      </c>
      <c r="E51" s="22" t="s">
        <v>146</v>
      </c>
      <c r="F51" s="21" t="s">
        <v>296</v>
      </c>
      <c r="G51" s="21" t="s">
        <v>296</v>
      </c>
      <c r="H51" s="25" t="s">
        <v>4</v>
      </c>
      <c r="I51" s="4"/>
      <c r="J51" s="4"/>
    </row>
    <row r="52" customFormat="false" ht="15" hidden="false" customHeight="false" outlineLevel="0" collapsed="false">
      <c r="A52" s="21" t="s">
        <v>55</v>
      </c>
      <c r="B52" s="21" t="n">
        <v>51</v>
      </c>
      <c r="C52" s="22" t="s">
        <v>148</v>
      </c>
      <c r="D52" s="21" t="s">
        <v>150</v>
      </c>
      <c r="E52" s="22" t="s">
        <v>149</v>
      </c>
      <c r="F52" s="21" t="s">
        <v>296</v>
      </c>
      <c r="G52" s="21" t="s">
        <v>296</v>
      </c>
      <c r="H52" s="25" t="s">
        <v>4</v>
      </c>
      <c r="I52" s="4"/>
      <c r="J52" s="4"/>
    </row>
    <row r="53" customFormat="false" ht="15" hidden="false" customHeight="false" outlineLevel="0" collapsed="false">
      <c r="A53" s="21" t="s">
        <v>55</v>
      </c>
      <c r="B53" s="21" t="n">
        <v>52</v>
      </c>
      <c r="C53" s="22" t="s">
        <v>148</v>
      </c>
      <c r="D53" s="21" t="s">
        <v>152</v>
      </c>
      <c r="E53" s="22" t="s">
        <v>151</v>
      </c>
      <c r="F53" s="21" t="s">
        <v>296</v>
      </c>
      <c r="G53" s="21" t="s">
        <v>296</v>
      </c>
      <c r="H53" s="25" t="s">
        <v>4</v>
      </c>
      <c r="I53" s="4"/>
      <c r="J53" s="4"/>
    </row>
    <row r="54" customFormat="false" ht="15" hidden="false" customHeight="false" outlineLevel="0" collapsed="false">
      <c r="A54" s="21" t="s">
        <v>153</v>
      </c>
      <c r="B54" s="21" t="n">
        <v>2</v>
      </c>
      <c r="C54" s="22" t="s">
        <v>154</v>
      </c>
      <c r="D54" s="21" t="s">
        <v>76</v>
      </c>
      <c r="E54" s="22" t="s">
        <v>155</v>
      </c>
      <c r="F54" s="21" t="s">
        <v>298</v>
      </c>
      <c r="G54" s="21" t="s">
        <v>298</v>
      </c>
      <c r="H54" s="25" t="s">
        <v>4</v>
      </c>
      <c r="I54" s="4"/>
      <c r="J54" s="36" t="s">
        <v>299</v>
      </c>
    </row>
    <row r="55" customFormat="false" ht="15" hidden="false" customHeight="false" outlineLevel="0" collapsed="false">
      <c r="A55" s="21" t="s">
        <v>153</v>
      </c>
      <c r="B55" s="21" t="n">
        <v>3</v>
      </c>
      <c r="C55" s="22" t="s">
        <v>156</v>
      </c>
      <c r="D55" s="21" t="s">
        <v>58</v>
      </c>
      <c r="E55" s="22" t="s">
        <v>157</v>
      </c>
      <c r="F55" s="21" t="s">
        <v>298</v>
      </c>
      <c r="G55" s="21" t="s">
        <v>298</v>
      </c>
      <c r="H55" s="25" t="s">
        <v>4</v>
      </c>
      <c r="I55" s="4"/>
      <c r="J55" s="4"/>
    </row>
    <row r="56" customFormat="false" ht="15" hidden="false" customHeight="false" outlineLevel="0" collapsed="false">
      <c r="A56" s="21" t="s">
        <v>158</v>
      </c>
      <c r="B56" s="21" t="n">
        <v>2</v>
      </c>
      <c r="C56" s="22" t="s">
        <v>80</v>
      </c>
      <c r="D56" s="21" t="s">
        <v>58</v>
      </c>
      <c r="E56" s="22" t="s">
        <v>159</v>
      </c>
      <c r="F56" s="21" t="s">
        <v>298</v>
      </c>
      <c r="G56" s="21" t="s">
        <v>298</v>
      </c>
      <c r="H56" s="25" t="s">
        <v>4</v>
      </c>
      <c r="I56" s="4"/>
      <c r="J56" s="36" t="s">
        <v>299</v>
      </c>
    </row>
    <row r="57" customFormat="false" ht="15" hidden="false" customHeight="false" outlineLevel="0" collapsed="false">
      <c r="A57" s="21" t="s">
        <v>158</v>
      </c>
      <c r="B57" s="21" t="n">
        <v>3</v>
      </c>
      <c r="C57" s="22" t="s">
        <v>154</v>
      </c>
      <c r="D57" s="21" t="s">
        <v>76</v>
      </c>
      <c r="E57" s="22" t="s">
        <v>160</v>
      </c>
      <c r="F57" s="21" t="s">
        <v>298</v>
      </c>
      <c r="G57" s="21" t="s">
        <v>298</v>
      </c>
      <c r="H57" s="25" t="s">
        <v>4</v>
      </c>
      <c r="I57" s="4"/>
      <c r="J57" s="36" t="s">
        <v>299</v>
      </c>
    </row>
    <row r="58" customFormat="false" ht="15" hidden="false" customHeight="false" outlineLevel="0" collapsed="false">
      <c r="A58" s="21" t="s">
        <v>158</v>
      </c>
      <c r="B58" s="21" t="n">
        <v>4</v>
      </c>
      <c r="C58" s="22" t="s">
        <v>161</v>
      </c>
      <c r="D58" s="21" t="s">
        <v>58</v>
      </c>
      <c r="E58" s="22" t="s">
        <v>162</v>
      </c>
      <c r="F58" s="21" t="s">
        <v>298</v>
      </c>
      <c r="G58" s="21" t="s">
        <v>298</v>
      </c>
      <c r="H58" s="25" t="s">
        <v>4</v>
      </c>
      <c r="I58" s="4"/>
      <c r="J58" s="36" t="s">
        <v>299</v>
      </c>
    </row>
    <row r="59" customFormat="false" ht="15" hidden="false" customHeight="false" outlineLevel="0" collapsed="false">
      <c r="A59" s="21" t="s">
        <v>158</v>
      </c>
      <c r="B59" s="21" t="n">
        <v>5</v>
      </c>
      <c r="C59" s="22" t="s">
        <v>156</v>
      </c>
      <c r="D59" s="21" t="s">
        <v>122</v>
      </c>
      <c r="E59" s="22" t="s">
        <v>163</v>
      </c>
      <c r="F59" s="21" t="s">
        <v>298</v>
      </c>
      <c r="G59" s="21" t="s">
        <v>298</v>
      </c>
      <c r="H59" s="25" t="s">
        <v>4</v>
      </c>
      <c r="I59" s="4"/>
      <c r="J59" s="4"/>
    </row>
    <row r="60" customFormat="false" ht="15" hidden="false" customHeight="false" outlineLevel="0" collapsed="false">
      <c r="A60" s="21" t="s">
        <v>158</v>
      </c>
      <c r="B60" s="21" t="n">
        <v>6</v>
      </c>
      <c r="C60" s="22" t="s">
        <v>156</v>
      </c>
      <c r="D60" s="21" t="s">
        <v>76</v>
      </c>
      <c r="E60" s="22" t="s">
        <v>164</v>
      </c>
      <c r="F60" s="21" t="s">
        <v>298</v>
      </c>
      <c r="G60" s="21" t="s">
        <v>298</v>
      </c>
      <c r="H60" s="25" t="s">
        <v>4</v>
      </c>
      <c r="I60" s="4"/>
      <c r="J60" s="4"/>
    </row>
    <row r="61" customFormat="false" ht="15" hidden="false" customHeight="false" outlineLevel="0" collapsed="false">
      <c r="A61" s="21" t="s">
        <v>158</v>
      </c>
      <c r="B61" s="21" t="n">
        <v>7</v>
      </c>
      <c r="C61" s="22" t="s">
        <v>165</v>
      </c>
      <c r="D61" s="21" t="s">
        <v>58</v>
      </c>
      <c r="E61" s="22" t="s">
        <v>166</v>
      </c>
      <c r="F61" s="21" t="s">
        <v>298</v>
      </c>
      <c r="G61" s="21" t="s">
        <v>298</v>
      </c>
      <c r="H61" s="25" t="s">
        <v>4</v>
      </c>
      <c r="I61" s="4"/>
      <c r="J61" s="4"/>
    </row>
    <row r="62" customFormat="false" ht="15" hidden="false" customHeight="false" outlineLevel="0" collapsed="false">
      <c r="A62" s="21" t="s">
        <v>158</v>
      </c>
      <c r="B62" s="21" t="n">
        <v>8</v>
      </c>
      <c r="C62" s="22" t="s">
        <v>144</v>
      </c>
      <c r="D62" s="21" t="s">
        <v>76</v>
      </c>
      <c r="E62" s="22" t="s">
        <v>167</v>
      </c>
      <c r="F62" s="21" t="s">
        <v>298</v>
      </c>
      <c r="G62" s="21" t="s">
        <v>298</v>
      </c>
      <c r="H62" s="25" t="s">
        <v>4</v>
      </c>
      <c r="I62" s="4"/>
      <c r="J62" s="4"/>
    </row>
    <row r="63" customFormat="false" ht="15" hidden="false" customHeight="false" outlineLevel="0" collapsed="false">
      <c r="A63" s="21" t="s">
        <v>158</v>
      </c>
      <c r="B63" s="21" t="n">
        <v>9</v>
      </c>
      <c r="C63" s="22" t="s">
        <v>144</v>
      </c>
      <c r="D63" s="21" t="s">
        <v>58</v>
      </c>
      <c r="E63" s="22" t="s">
        <v>168</v>
      </c>
      <c r="F63" s="21" t="s">
        <v>298</v>
      </c>
      <c r="G63" s="21" t="s">
        <v>298</v>
      </c>
      <c r="H63" s="25" t="s">
        <v>4</v>
      </c>
      <c r="I63" s="4"/>
      <c r="J63" s="4"/>
    </row>
    <row r="64" customFormat="false" ht="15" hidden="false" customHeight="false" outlineLevel="0" collapsed="false">
      <c r="A64" s="21" t="s">
        <v>158</v>
      </c>
      <c r="B64" s="21" t="n">
        <v>10</v>
      </c>
      <c r="C64" s="22" t="s">
        <v>169</v>
      </c>
      <c r="D64" s="21" t="s">
        <v>58</v>
      </c>
      <c r="E64" s="22" t="s">
        <v>170</v>
      </c>
      <c r="F64" s="21" t="s">
        <v>298</v>
      </c>
      <c r="G64" s="21" t="s">
        <v>298</v>
      </c>
      <c r="H64" s="25" t="s">
        <v>4</v>
      </c>
      <c r="I64" s="4"/>
      <c r="J64" s="4"/>
    </row>
    <row r="65" customFormat="false" ht="15" hidden="false" customHeight="false" outlineLevel="0" collapsed="false">
      <c r="A65" s="21" t="s">
        <v>158</v>
      </c>
      <c r="B65" s="21" t="n">
        <v>11</v>
      </c>
      <c r="C65" s="22" t="s">
        <v>169</v>
      </c>
      <c r="D65" s="21" t="s">
        <v>76</v>
      </c>
      <c r="E65" s="22" t="s">
        <v>171</v>
      </c>
      <c r="F65" s="21" t="s">
        <v>298</v>
      </c>
      <c r="G65" s="21" t="s">
        <v>298</v>
      </c>
      <c r="H65" s="25" t="s">
        <v>4</v>
      </c>
      <c r="I65" s="4"/>
      <c r="J65" s="4"/>
    </row>
    <row r="66" customFormat="false" ht="15" hidden="false" customHeight="false" outlineLevel="0" collapsed="false">
      <c r="A66" s="21" t="s">
        <v>172</v>
      </c>
      <c r="B66" s="21" t="n">
        <v>2</v>
      </c>
      <c r="C66" s="22" t="s">
        <v>173</v>
      </c>
      <c r="D66" s="21" t="s">
        <v>76</v>
      </c>
      <c r="E66" s="22" t="s">
        <v>174</v>
      </c>
      <c r="F66" s="21" t="s">
        <v>298</v>
      </c>
      <c r="G66" s="21" t="s">
        <v>298</v>
      </c>
      <c r="H66" s="25" t="s">
        <v>4</v>
      </c>
      <c r="I66" s="4"/>
      <c r="J66" s="36" t="s">
        <v>299</v>
      </c>
    </row>
    <row r="67" customFormat="false" ht="15" hidden="false" customHeight="false" outlineLevel="0" collapsed="false">
      <c r="A67" s="21" t="s">
        <v>172</v>
      </c>
      <c r="B67" s="21" t="n">
        <v>3</v>
      </c>
      <c r="C67" s="22" t="s">
        <v>175</v>
      </c>
      <c r="D67" s="21" t="s">
        <v>58</v>
      </c>
      <c r="E67" s="22" t="s">
        <v>176</v>
      </c>
      <c r="F67" s="21" t="s">
        <v>298</v>
      </c>
      <c r="G67" s="21" t="s">
        <v>298</v>
      </c>
      <c r="H67" s="25" t="s">
        <v>4</v>
      </c>
      <c r="I67" s="4"/>
      <c r="J67" s="36" t="s">
        <v>299</v>
      </c>
    </row>
    <row r="68" customFormat="false" ht="15" hidden="false" customHeight="false" outlineLevel="0" collapsed="false">
      <c r="A68" s="21" t="s">
        <v>172</v>
      </c>
      <c r="B68" s="21" t="n">
        <v>4</v>
      </c>
      <c r="C68" s="22" t="s">
        <v>175</v>
      </c>
      <c r="D68" s="21" t="s">
        <v>122</v>
      </c>
      <c r="E68" s="22" t="s">
        <v>177</v>
      </c>
      <c r="F68" s="21" t="s">
        <v>298</v>
      </c>
      <c r="G68" s="21" t="s">
        <v>298</v>
      </c>
      <c r="H68" s="25" t="s">
        <v>4</v>
      </c>
      <c r="I68" s="4"/>
      <c r="J68" s="36" t="s">
        <v>299</v>
      </c>
    </row>
    <row r="69" customFormat="false" ht="15" hidden="false" customHeight="false" outlineLevel="0" collapsed="false">
      <c r="A69" s="21" t="s">
        <v>172</v>
      </c>
      <c r="B69" s="21" t="n">
        <v>5</v>
      </c>
      <c r="C69" s="22" t="s">
        <v>161</v>
      </c>
      <c r="D69" s="21" t="s">
        <v>122</v>
      </c>
      <c r="E69" s="22" t="s">
        <v>179</v>
      </c>
      <c r="F69" s="21" t="s">
        <v>298</v>
      </c>
      <c r="G69" s="21" t="s">
        <v>298</v>
      </c>
      <c r="H69" s="25" t="s">
        <v>4</v>
      </c>
      <c r="I69" s="4"/>
      <c r="J69" s="36" t="s">
        <v>299</v>
      </c>
    </row>
    <row r="70" customFormat="false" ht="15" hidden="false" customHeight="false" outlineLevel="0" collapsed="false">
      <c r="A70" s="21" t="s">
        <v>172</v>
      </c>
      <c r="B70" s="21" t="n">
        <v>6</v>
      </c>
      <c r="C70" s="22" t="s">
        <v>165</v>
      </c>
      <c r="D70" s="21" t="s">
        <v>76</v>
      </c>
      <c r="E70" s="22" t="s">
        <v>180</v>
      </c>
      <c r="F70" s="21" t="s">
        <v>298</v>
      </c>
      <c r="G70" s="21" t="s">
        <v>298</v>
      </c>
      <c r="H70" s="25" t="s">
        <v>4</v>
      </c>
      <c r="I70" s="4"/>
      <c r="J70" s="4"/>
    </row>
    <row r="71" customFormat="false" ht="15" hidden="false" customHeight="false" outlineLevel="0" collapsed="false">
      <c r="A71" s="21" t="s">
        <v>172</v>
      </c>
      <c r="B71" s="21" t="n">
        <v>7</v>
      </c>
      <c r="C71" s="22" t="s">
        <v>165</v>
      </c>
      <c r="D71" s="21" t="s">
        <v>76</v>
      </c>
      <c r="E71" s="22" t="s">
        <v>181</v>
      </c>
      <c r="F71" s="21" t="s">
        <v>298</v>
      </c>
      <c r="G71" s="21" t="s">
        <v>298</v>
      </c>
      <c r="H71" s="25" t="s">
        <v>4</v>
      </c>
      <c r="I71" s="4"/>
      <c r="J71" s="4"/>
    </row>
    <row r="72" customFormat="false" ht="15" hidden="false" customHeight="false" outlineLevel="0" collapsed="false">
      <c r="A72" s="21" t="s">
        <v>182</v>
      </c>
      <c r="B72" s="21" t="n">
        <v>2</v>
      </c>
      <c r="C72" s="22" t="s">
        <v>148</v>
      </c>
      <c r="D72" s="21" t="s">
        <v>184</v>
      </c>
      <c r="E72" s="22" t="s">
        <v>183</v>
      </c>
      <c r="F72" s="21" t="s">
        <v>298</v>
      </c>
      <c r="G72" s="21" t="s">
        <v>298</v>
      </c>
      <c r="H72" s="25" t="s">
        <v>4</v>
      </c>
      <c r="I72" s="4"/>
      <c r="J72" s="4"/>
    </row>
    <row r="73" customFormat="false" ht="15" hidden="false" customHeight="false" outlineLevel="0" collapsed="false">
      <c r="A73" s="21" t="s">
        <v>182</v>
      </c>
      <c r="B73" s="21" t="n">
        <v>3</v>
      </c>
      <c r="C73" s="22" t="s">
        <v>169</v>
      </c>
      <c r="D73" s="21" t="s">
        <v>186</v>
      </c>
      <c r="E73" s="22" t="s">
        <v>185</v>
      </c>
      <c r="F73" s="21" t="s">
        <v>298</v>
      </c>
      <c r="G73" s="21" t="s">
        <v>298</v>
      </c>
      <c r="H73" s="25" t="s">
        <v>4</v>
      </c>
      <c r="I73" s="4"/>
      <c r="J73" s="4"/>
    </row>
    <row r="74" customFormat="false" ht="15" hidden="false" customHeight="false" outlineLevel="0" collapsed="false">
      <c r="A74" s="21" t="s">
        <v>182</v>
      </c>
      <c r="B74" s="21" t="n">
        <v>4</v>
      </c>
      <c r="C74" s="22" t="s">
        <v>169</v>
      </c>
      <c r="D74" s="21" t="s">
        <v>106</v>
      </c>
      <c r="E74" s="22" t="s">
        <v>187</v>
      </c>
      <c r="F74" s="21" t="s">
        <v>298</v>
      </c>
      <c r="G74" s="21" t="s">
        <v>298</v>
      </c>
      <c r="H74" s="25" t="s">
        <v>4</v>
      </c>
      <c r="I74" s="4"/>
      <c r="J74" s="4"/>
    </row>
    <row r="75" customFormat="false" ht="15" hidden="false" customHeight="false" outlineLevel="0" collapsed="false">
      <c r="A75" s="21" t="s">
        <v>182</v>
      </c>
      <c r="B75" s="21" t="n">
        <v>5</v>
      </c>
      <c r="C75" s="22" t="s">
        <v>169</v>
      </c>
      <c r="D75" s="21" t="s">
        <v>58</v>
      </c>
      <c r="E75" s="22" t="s">
        <v>188</v>
      </c>
      <c r="F75" s="21" t="s">
        <v>298</v>
      </c>
      <c r="G75" s="21" t="s">
        <v>298</v>
      </c>
      <c r="H75" s="25" t="s">
        <v>4</v>
      </c>
      <c r="I75" s="4"/>
      <c r="J75" s="4"/>
    </row>
    <row r="76" customFormat="false" ht="15" hidden="false" customHeight="false" outlineLevel="0" collapsed="false">
      <c r="A76" s="21" t="s">
        <v>189</v>
      </c>
      <c r="B76" s="21" t="n">
        <v>2</v>
      </c>
      <c r="C76" s="22" t="s">
        <v>115</v>
      </c>
      <c r="D76" s="21" t="s">
        <v>191</v>
      </c>
      <c r="E76" s="22" t="s">
        <v>190</v>
      </c>
      <c r="F76" s="21" t="s">
        <v>263</v>
      </c>
      <c r="G76" s="21" t="s">
        <v>263</v>
      </c>
      <c r="H76" s="25" t="s">
        <v>4</v>
      </c>
      <c r="I76" s="4"/>
      <c r="J76" s="4"/>
    </row>
    <row r="77" customFormat="false" ht="15" hidden="false" customHeight="false" outlineLevel="0" collapsed="false">
      <c r="A77" s="21" t="s">
        <v>189</v>
      </c>
      <c r="B77" s="21" t="n">
        <v>3</v>
      </c>
      <c r="C77" s="22" t="s">
        <v>192</v>
      </c>
      <c r="D77" s="21" t="s">
        <v>194</v>
      </c>
      <c r="E77" s="22" t="s">
        <v>193</v>
      </c>
      <c r="F77" s="21" t="s">
        <v>263</v>
      </c>
      <c r="G77" s="21" t="s">
        <v>263</v>
      </c>
      <c r="H77" s="25" t="s">
        <v>4</v>
      </c>
      <c r="I77" s="4"/>
      <c r="J77" s="4"/>
    </row>
    <row r="78" customFormat="false" ht="15" hidden="false" customHeight="false" outlineLevel="0" collapsed="false">
      <c r="A78" s="21" t="s">
        <v>189</v>
      </c>
      <c r="B78" s="21" t="n">
        <v>4</v>
      </c>
      <c r="C78" s="22" t="s">
        <v>195</v>
      </c>
      <c r="D78" s="21" t="s">
        <v>197</v>
      </c>
      <c r="E78" s="22" t="s">
        <v>196</v>
      </c>
      <c r="F78" s="21" t="s">
        <v>263</v>
      </c>
      <c r="G78" s="21" t="s">
        <v>263</v>
      </c>
      <c r="H78" s="25" t="s">
        <v>4</v>
      </c>
      <c r="I78" s="4"/>
      <c r="J78" s="36" t="s">
        <v>295</v>
      </c>
    </row>
    <row r="79" customFormat="false" ht="15" hidden="false" customHeight="false" outlineLevel="0" collapsed="false">
      <c r="A79" s="21" t="s">
        <v>189</v>
      </c>
      <c r="B79" s="21" t="n">
        <v>5</v>
      </c>
      <c r="C79" s="22" t="s">
        <v>195</v>
      </c>
      <c r="D79" s="21" t="s">
        <v>199</v>
      </c>
      <c r="E79" s="22" t="s">
        <v>198</v>
      </c>
      <c r="F79" s="21" t="s">
        <v>263</v>
      </c>
      <c r="G79" s="21" t="s">
        <v>263</v>
      </c>
      <c r="H79" s="25" t="s">
        <v>4</v>
      </c>
      <c r="I79" s="4"/>
      <c r="J79" s="36" t="s">
        <v>295</v>
      </c>
    </row>
    <row r="80" customFormat="false" ht="15" hidden="false" customHeight="false" outlineLevel="0" collapsed="false">
      <c r="A80" s="21" t="s">
        <v>200</v>
      </c>
      <c r="B80" s="21" t="n">
        <v>2</v>
      </c>
      <c r="C80" s="22" t="s">
        <v>70</v>
      </c>
      <c r="D80" s="21" t="s">
        <v>202</v>
      </c>
      <c r="E80" s="22" t="s">
        <v>201</v>
      </c>
      <c r="F80" s="21" t="s">
        <v>263</v>
      </c>
      <c r="G80" s="21" t="s">
        <v>263</v>
      </c>
      <c r="H80" s="25" t="s">
        <v>4</v>
      </c>
      <c r="I80" s="4"/>
      <c r="J80" s="4"/>
    </row>
    <row r="81" customFormat="false" ht="15" hidden="false" customHeight="false" outlineLevel="0" collapsed="false">
      <c r="A81" s="21" t="s">
        <v>200</v>
      </c>
      <c r="B81" s="21" t="n">
        <v>3</v>
      </c>
      <c r="C81" s="22" t="s">
        <v>80</v>
      </c>
      <c r="D81" s="21" t="s">
        <v>204</v>
      </c>
      <c r="E81" s="22" t="s">
        <v>203</v>
      </c>
      <c r="F81" s="21" t="s">
        <v>263</v>
      </c>
      <c r="G81" s="21" t="s">
        <v>263</v>
      </c>
      <c r="H81" s="25" t="s">
        <v>4</v>
      </c>
      <c r="I81" s="4"/>
      <c r="J81" s="4"/>
    </row>
    <row r="82" customFormat="false" ht="15" hidden="false" customHeight="false" outlineLevel="0" collapsed="false">
      <c r="A82" s="21" t="s">
        <v>200</v>
      </c>
      <c r="B82" s="21" t="n">
        <v>4</v>
      </c>
      <c r="C82" s="22" t="s">
        <v>107</v>
      </c>
      <c r="D82" s="21" t="s">
        <v>206</v>
      </c>
      <c r="E82" s="22" t="s">
        <v>205</v>
      </c>
      <c r="F82" s="21" t="s">
        <v>263</v>
      </c>
      <c r="G82" s="21" t="s">
        <v>263</v>
      </c>
      <c r="H82" s="25" t="s">
        <v>4</v>
      </c>
      <c r="I82" s="4"/>
      <c r="J82" s="4"/>
    </row>
    <row r="83" customFormat="false" ht="15" hidden="false" customHeight="false" outlineLevel="0" collapsed="false">
      <c r="A83" s="21" t="s">
        <v>200</v>
      </c>
      <c r="B83" s="21" t="n">
        <v>5</v>
      </c>
      <c r="C83" s="22" t="s">
        <v>154</v>
      </c>
      <c r="D83" s="21" t="s">
        <v>208</v>
      </c>
      <c r="E83" s="22" t="s">
        <v>207</v>
      </c>
      <c r="F83" s="21" t="s">
        <v>296</v>
      </c>
      <c r="G83" s="21" t="s">
        <v>296</v>
      </c>
      <c r="H83" s="25" t="s">
        <v>4</v>
      </c>
      <c r="I83" s="4"/>
      <c r="J83" s="36" t="s">
        <v>300</v>
      </c>
    </row>
    <row r="84" customFormat="false" ht="15" hidden="false" customHeight="false" outlineLevel="0" collapsed="false">
      <c r="A84" s="21" t="s">
        <v>200</v>
      </c>
      <c r="B84" s="21" t="n">
        <v>6</v>
      </c>
      <c r="C84" s="22" t="s">
        <v>156</v>
      </c>
      <c r="D84" s="21" t="s">
        <v>210</v>
      </c>
      <c r="E84" s="22" t="s">
        <v>209</v>
      </c>
      <c r="F84" s="21" t="s">
        <v>296</v>
      </c>
      <c r="G84" s="21" t="s">
        <v>296</v>
      </c>
      <c r="H84" s="25" t="s">
        <v>4</v>
      </c>
      <c r="I84" s="4"/>
      <c r="J84" s="4"/>
    </row>
    <row r="85" customFormat="false" ht="15" hidden="false" customHeight="false" outlineLevel="0" collapsed="false">
      <c r="A85" s="21" t="s">
        <v>200</v>
      </c>
      <c r="B85" s="21" t="n">
        <v>7</v>
      </c>
      <c r="C85" s="22" t="s">
        <v>211</v>
      </c>
      <c r="D85" s="21" t="s">
        <v>213</v>
      </c>
      <c r="E85" s="22" t="s">
        <v>212</v>
      </c>
      <c r="F85" s="21" t="s">
        <v>296</v>
      </c>
      <c r="G85" s="21" t="s">
        <v>296</v>
      </c>
      <c r="H85" s="25" t="s">
        <v>4</v>
      </c>
      <c r="I85" s="4"/>
      <c r="J85" s="4"/>
    </row>
    <row r="86" customFormat="false" ht="15" hidden="false" customHeight="false" outlineLevel="0" collapsed="false">
      <c r="A86" s="21" t="s">
        <v>214</v>
      </c>
      <c r="B86" s="21" t="n">
        <v>2</v>
      </c>
      <c r="C86" s="22" t="s">
        <v>92</v>
      </c>
      <c r="D86" s="21" t="s">
        <v>216</v>
      </c>
      <c r="E86" s="22" t="s">
        <v>215</v>
      </c>
      <c r="F86" s="21" t="s">
        <v>263</v>
      </c>
      <c r="G86" s="21" t="s">
        <v>263</v>
      </c>
      <c r="H86" s="25" t="s">
        <v>4</v>
      </c>
      <c r="I86" s="4"/>
      <c r="J86" s="4"/>
    </row>
    <row r="87" customFormat="false" ht="15" hidden="false" customHeight="false" outlineLevel="0" collapsed="false">
      <c r="A87" s="21" t="s">
        <v>214</v>
      </c>
      <c r="B87" s="21" t="n">
        <v>3</v>
      </c>
      <c r="C87" s="22" t="s">
        <v>161</v>
      </c>
      <c r="D87" s="21" t="s">
        <v>218</v>
      </c>
      <c r="E87" s="22" t="s">
        <v>217</v>
      </c>
      <c r="F87" s="21" t="s">
        <v>296</v>
      </c>
      <c r="G87" s="21" t="s">
        <v>296</v>
      </c>
      <c r="H87" s="25" t="s">
        <v>4</v>
      </c>
      <c r="I87" s="4"/>
      <c r="J87" s="4"/>
    </row>
    <row r="88" customFormat="false" ht="15" hidden="false" customHeight="false" outlineLevel="0" collapsed="false">
      <c r="A88" s="21" t="s">
        <v>214</v>
      </c>
      <c r="B88" s="21" t="n">
        <v>4</v>
      </c>
      <c r="C88" s="22" t="s">
        <v>156</v>
      </c>
      <c r="D88" s="21" t="s">
        <v>220</v>
      </c>
      <c r="E88" s="22" t="s">
        <v>219</v>
      </c>
      <c r="F88" s="21" t="s">
        <v>296</v>
      </c>
      <c r="G88" s="21" t="s">
        <v>296</v>
      </c>
      <c r="H88" s="25" t="s">
        <v>4</v>
      </c>
      <c r="I88" s="4"/>
      <c r="J88" s="4"/>
    </row>
    <row r="89" customFormat="false" ht="29.85" hidden="false" customHeight="false" outlineLevel="0" collapsed="false">
      <c r="A89" s="21" t="s">
        <v>221</v>
      </c>
      <c r="B89" s="21" t="n">
        <v>2</v>
      </c>
      <c r="C89" s="22" t="s">
        <v>222</v>
      </c>
      <c r="D89" s="21" t="s">
        <v>224</v>
      </c>
      <c r="E89" s="22" t="s">
        <v>223</v>
      </c>
      <c r="F89" s="21" t="s">
        <v>301</v>
      </c>
      <c r="G89" s="21" t="s">
        <v>263</v>
      </c>
      <c r="H89" s="27" t="s">
        <v>302</v>
      </c>
      <c r="I89" s="4" t="s">
        <v>303</v>
      </c>
      <c r="J89" s="4"/>
    </row>
    <row r="90" customFormat="false" ht="15" hidden="false" customHeight="false" outlineLevel="0" collapsed="false">
      <c r="A90" s="21" t="s">
        <v>221</v>
      </c>
      <c r="B90" s="21" t="n">
        <v>3</v>
      </c>
      <c r="C90" s="22" t="s">
        <v>161</v>
      </c>
      <c r="D90" s="21" t="s">
        <v>226</v>
      </c>
      <c r="E90" s="22" t="s">
        <v>225</v>
      </c>
      <c r="F90" s="21" t="s">
        <v>304</v>
      </c>
      <c r="G90" s="21" t="s">
        <v>305</v>
      </c>
      <c r="H90" s="25" t="s">
        <v>4</v>
      </c>
      <c r="I90" s="4"/>
      <c r="J90" s="4"/>
    </row>
    <row r="91" customFormat="false" ht="15" hidden="false" customHeight="false" outlineLevel="0" collapsed="false">
      <c r="A91" s="21" t="s">
        <v>221</v>
      </c>
      <c r="B91" s="21" t="n">
        <v>4</v>
      </c>
      <c r="C91" s="22" t="s">
        <v>156</v>
      </c>
      <c r="D91" s="21" t="s">
        <v>226</v>
      </c>
      <c r="E91" s="22" t="s">
        <v>227</v>
      </c>
      <c r="F91" s="21" t="s">
        <v>304</v>
      </c>
      <c r="G91" s="21" t="s">
        <v>305</v>
      </c>
      <c r="H91" s="25" t="s">
        <v>4</v>
      </c>
      <c r="I91" s="4"/>
      <c r="J91" s="4"/>
    </row>
    <row r="92" customFormat="false" ht="15" hidden="false" customHeight="false" outlineLevel="0" collapsed="false">
      <c r="A92" s="21" t="s">
        <v>221</v>
      </c>
      <c r="B92" s="21" t="n">
        <v>5</v>
      </c>
      <c r="C92" s="22" t="s">
        <v>156</v>
      </c>
      <c r="D92" s="21" t="s">
        <v>229</v>
      </c>
      <c r="E92" s="22" t="s">
        <v>228</v>
      </c>
      <c r="F92" s="21" t="s">
        <v>304</v>
      </c>
      <c r="G92" s="21" t="s">
        <v>305</v>
      </c>
      <c r="H92" s="25" t="s">
        <v>4</v>
      </c>
      <c r="I92" s="4"/>
      <c r="J92" s="4"/>
    </row>
    <row r="93" customFormat="false" ht="15" hidden="false" customHeight="false" outlineLevel="0" collapsed="false">
      <c r="A93" s="21" t="s">
        <v>221</v>
      </c>
      <c r="B93" s="21" t="n">
        <v>6</v>
      </c>
      <c r="C93" s="22" t="s">
        <v>211</v>
      </c>
      <c r="D93" s="21" t="s">
        <v>231</v>
      </c>
      <c r="E93" s="22" t="s">
        <v>230</v>
      </c>
      <c r="F93" s="21" t="s">
        <v>304</v>
      </c>
      <c r="G93" s="21" t="s">
        <v>305</v>
      </c>
      <c r="H93" s="25" t="s">
        <v>4</v>
      </c>
      <c r="I93" s="4"/>
      <c r="J93" s="4"/>
    </row>
    <row r="94" customFormat="false" ht="15" hidden="false" customHeight="false" outlineLevel="0" collapsed="false">
      <c r="A94" s="21" t="s">
        <v>221</v>
      </c>
      <c r="B94" s="21" t="n">
        <v>7</v>
      </c>
      <c r="C94" s="22" t="s">
        <v>165</v>
      </c>
      <c r="D94" s="21" t="s">
        <v>226</v>
      </c>
      <c r="E94" s="22" t="s">
        <v>232</v>
      </c>
      <c r="F94" s="21" t="s">
        <v>304</v>
      </c>
      <c r="G94" s="21" t="s">
        <v>305</v>
      </c>
      <c r="H94" s="25" t="s">
        <v>4</v>
      </c>
      <c r="I94" s="4"/>
      <c r="J94" s="4"/>
    </row>
    <row r="95" customFormat="false" ht="15" hidden="false" customHeight="false" outlineLevel="0" collapsed="false">
      <c r="A95" s="21" t="s">
        <v>221</v>
      </c>
      <c r="B95" s="21" t="n">
        <v>8</v>
      </c>
      <c r="C95" s="22" t="s">
        <v>165</v>
      </c>
      <c r="D95" s="21" t="s">
        <v>234</v>
      </c>
      <c r="E95" s="22" t="s">
        <v>233</v>
      </c>
      <c r="F95" s="21" t="s">
        <v>304</v>
      </c>
      <c r="G95" s="21" t="s">
        <v>305</v>
      </c>
      <c r="H95" s="25" t="s">
        <v>4</v>
      </c>
      <c r="I95" s="4"/>
      <c r="J95" s="4"/>
    </row>
    <row r="96" customFormat="false" ht="15" hidden="false" customHeight="false" outlineLevel="0" collapsed="false">
      <c r="A96" s="21" t="s">
        <v>221</v>
      </c>
      <c r="B96" s="21" t="n">
        <v>9</v>
      </c>
      <c r="C96" s="22" t="s">
        <v>148</v>
      </c>
      <c r="D96" s="21" t="s">
        <v>236</v>
      </c>
      <c r="E96" s="22" t="s">
        <v>235</v>
      </c>
      <c r="F96" s="21" t="s">
        <v>304</v>
      </c>
      <c r="G96" s="21" t="s">
        <v>305</v>
      </c>
      <c r="H96" s="25" t="s">
        <v>4</v>
      </c>
      <c r="I96" s="4"/>
      <c r="J96" s="4"/>
    </row>
    <row r="97" customFormat="false" ht="15" hidden="false" customHeight="false" outlineLevel="0" collapsed="false">
      <c r="A97" s="21" t="s">
        <v>240</v>
      </c>
      <c r="B97" s="21" t="n">
        <v>2</v>
      </c>
      <c r="C97" s="22" t="s">
        <v>192</v>
      </c>
      <c r="D97" s="21" t="s">
        <v>242</v>
      </c>
      <c r="E97" s="22" t="s">
        <v>241</v>
      </c>
      <c r="F97" s="21" t="s">
        <v>306</v>
      </c>
      <c r="G97" s="21" t="s">
        <v>306</v>
      </c>
      <c r="H97" s="25" t="s">
        <v>4</v>
      </c>
      <c r="I97" s="4"/>
      <c r="J97" s="36" t="s">
        <v>307</v>
      </c>
    </row>
    <row r="98" customFormat="false" ht="15" hidden="false" customHeight="false" outlineLevel="0" collapsed="false">
      <c r="A98" s="21" t="s">
        <v>240</v>
      </c>
      <c r="B98" s="21" t="n">
        <v>3</v>
      </c>
      <c r="C98" s="22" t="s">
        <v>139</v>
      </c>
      <c r="D98" s="21" t="s">
        <v>245</v>
      </c>
      <c r="E98" s="22" t="s">
        <v>244</v>
      </c>
      <c r="F98" s="21" t="s">
        <v>296</v>
      </c>
      <c r="G98" s="21" t="s">
        <v>296</v>
      </c>
      <c r="H98" s="25" t="s">
        <v>4</v>
      </c>
      <c r="I98" s="4"/>
      <c r="J98" s="4"/>
    </row>
    <row r="99" customFormat="false" ht="15" hidden="false" customHeight="false" outlineLevel="0" collapsed="false">
      <c r="A99" s="21" t="s">
        <v>240</v>
      </c>
      <c r="B99" s="21" t="n">
        <v>4</v>
      </c>
      <c r="C99" s="22" t="s">
        <v>211</v>
      </c>
      <c r="D99" s="21" t="s">
        <v>247</v>
      </c>
      <c r="E99" s="22" t="s">
        <v>246</v>
      </c>
      <c r="F99" s="21" t="s">
        <v>296</v>
      </c>
      <c r="G99" s="21" t="s">
        <v>296</v>
      </c>
      <c r="H99" s="25" t="s">
        <v>4</v>
      </c>
      <c r="I99" s="4"/>
      <c r="J99" s="4"/>
    </row>
    <row r="100" customFormat="false" ht="15" hidden="false" customHeight="false" outlineLevel="0" collapsed="false">
      <c r="A100" s="21" t="s">
        <v>240</v>
      </c>
      <c r="B100" s="21" t="n">
        <v>5</v>
      </c>
      <c r="C100" s="22" t="s">
        <v>148</v>
      </c>
      <c r="D100" s="21" t="s">
        <v>249</v>
      </c>
      <c r="E100" s="22" t="s">
        <v>248</v>
      </c>
      <c r="F100" s="21" t="s">
        <v>304</v>
      </c>
      <c r="G100" s="21" t="s">
        <v>308</v>
      </c>
      <c r="H100" s="25" t="s">
        <v>4</v>
      </c>
      <c r="I100" s="4"/>
      <c r="J100" s="4"/>
    </row>
    <row r="101" customFormat="false" ht="15" hidden="false" customHeight="false" outlineLevel="0" collapsed="false">
      <c r="A101" s="21" t="s">
        <v>250</v>
      </c>
      <c r="B101" s="21" t="n">
        <v>2</v>
      </c>
      <c r="C101" s="22" t="s">
        <v>107</v>
      </c>
      <c r="D101" s="21" t="s">
        <v>252</v>
      </c>
      <c r="E101" s="22" t="s">
        <v>251</v>
      </c>
      <c r="F101" s="21" t="s">
        <v>263</v>
      </c>
      <c r="G101" s="21" t="s">
        <v>263</v>
      </c>
      <c r="H101" s="25" t="s">
        <v>4</v>
      </c>
      <c r="I101" s="4"/>
      <c r="J101" s="4"/>
    </row>
    <row r="102" customFormat="false" ht="15" hidden="false" customHeight="false" outlineLevel="0" collapsed="false">
      <c r="A102" s="21" t="s">
        <v>253</v>
      </c>
      <c r="B102" s="21" t="n">
        <v>2</v>
      </c>
      <c r="C102" s="22" t="s">
        <v>195</v>
      </c>
      <c r="D102" s="21" t="s">
        <v>255</v>
      </c>
      <c r="E102" s="22" t="s">
        <v>254</v>
      </c>
      <c r="F102" s="21" t="s">
        <v>296</v>
      </c>
      <c r="G102" s="21" t="s">
        <v>296</v>
      </c>
      <c r="H102" s="25" t="s">
        <v>4</v>
      </c>
      <c r="I102" s="4"/>
      <c r="J102" s="36" t="s">
        <v>309</v>
      </c>
    </row>
  </sheetData>
  <autoFilter ref="A1:J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9"/>
    <col collapsed="false" customWidth="true" hidden="false" outlineLevel="0" max="8" min="7" style="0" width="12"/>
    <col collapsed="false" customWidth="true" hidden="false" outlineLevel="0" max="9" min="9" style="0" width="34"/>
  </cols>
  <sheetData>
    <row r="1" customFormat="false" ht="31.5" hidden="false" customHeight="true" outlineLevel="0" collapsed="false">
      <c r="A1" s="3" t="s">
        <v>45</v>
      </c>
      <c r="B1" s="3" t="s">
        <v>46</v>
      </c>
      <c r="C1" s="3" t="s">
        <v>47</v>
      </c>
      <c r="D1" s="3" t="s">
        <v>50</v>
      </c>
      <c r="E1" s="3" t="s">
        <v>11</v>
      </c>
      <c r="F1" s="3" t="s">
        <v>310</v>
      </c>
      <c r="G1" s="20" t="s">
        <v>311</v>
      </c>
      <c r="H1" s="3" t="s">
        <v>260</v>
      </c>
      <c r="I1" s="3" t="s">
        <v>261</v>
      </c>
    </row>
    <row r="2" customFormat="false" ht="15" hidden="false" customHeight="false" outlineLevel="0" collapsed="false">
      <c r="A2" s="21" t="s">
        <v>55</v>
      </c>
      <c r="B2" s="21" t="n">
        <v>2</v>
      </c>
      <c r="C2" s="22" t="s">
        <v>56</v>
      </c>
      <c r="D2" s="21" t="s">
        <v>58</v>
      </c>
      <c r="E2" s="22" t="s">
        <v>57</v>
      </c>
      <c r="F2" s="21" t="s">
        <v>312</v>
      </c>
      <c r="G2" s="21" t="s">
        <v>312</v>
      </c>
      <c r="H2" s="25" t="s">
        <v>4</v>
      </c>
      <c r="I2" s="4"/>
    </row>
    <row r="3" customFormat="false" ht="15" hidden="false" customHeight="false" outlineLevel="0" collapsed="false">
      <c r="A3" s="21" t="s">
        <v>55</v>
      </c>
      <c r="B3" s="21" t="n">
        <v>3</v>
      </c>
      <c r="C3" s="22" t="s">
        <v>59</v>
      </c>
      <c r="D3" s="21" t="s">
        <v>61</v>
      </c>
      <c r="E3" s="22" t="s">
        <v>60</v>
      </c>
      <c r="F3" s="21" t="s">
        <v>312</v>
      </c>
      <c r="G3" s="21" t="s">
        <v>312</v>
      </c>
      <c r="H3" s="25" t="s">
        <v>4</v>
      </c>
      <c r="I3" s="4"/>
    </row>
    <row r="4" customFormat="false" ht="15" hidden="false" customHeight="false" outlineLevel="0" collapsed="false">
      <c r="A4" s="21" t="s">
        <v>55</v>
      </c>
      <c r="B4" s="21" t="n">
        <v>4</v>
      </c>
      <c r="C4" s="22" t="s">
        <v>62</v>
      </c>
      <c r="D4" s="21" t="s">
        <v>58</v>
      </c>
      <c r="E4" s="22" t="s">
        <v>63</v>
      </c>
      <c r="F4" s="21" t="s">
        <v>312</v>
      </c>
      <c r="G4" s="21" t="s">
        <v>312</v>
      </c>
      <c r="H4" s="25" t="s">
        <v>4</v>
      </c>
      <c r="I4" s="4"/>
    </row>
    <row r="5" customFormat="false" ht="15" hidden="false" customHeight="false" outlineLevel="0" collapsed="false">
      <c r="A5" s="21" t="s">
        <v>55</v>
      </c>
      <c r="B5" s="21" t="n">
        <v>5</v>
      </c>
      <c r="C5" s="22" t="s">
        <v>62</v>
      </c>
      <c r="D5" s="21" t="s">
        <v>65</v>
      </c>
      <c r="E5" s="22" t="s">
        <v>64</v>
      </c>
      <c r="F5" s="21" t="s">
        <v>312</v>
      </c>
      <c r="G5" s="21" t="s">
        <v>312</v>
      </c>
      <c r="H5" s="25" t="s">
        <v>4</v>
      </c>
      <c r="I5" s="4"/>
    </row>
    <row r="6" customFormat="false" ht="15" hidden="false" customHeight="false" outlineLevel="0" collapsed="false">
      <c r="A6" s="21" t="s">
        <v>55</v>
      </c>
      <c r="B6" s="21" t="n">
        <v>6</v>
      </c>
      <c r="C6" s="22" t="s">
        <v>62</v>
      </c>
      <c r="D6" s="21" t="s">
        <v>67</v>
      </c>
      <c r="E6" s="22" t="s">
        <v>66</v>
      </c>
      <c r="F6" s="21" t="s">
        <v>312</v>
      </c>
      <c r="G6" s="21" t="s">
        <v>312</v>
      </c>
      <c r="H6" s="25" t="s">
        <v>4</v>
      </c>
      <c r="I6" s="4"/>
    </row>
    <row r="7" customFormat="false" ht="15" hidden="false" customHeight="false" outlineLevel="0" collapsed="false">
      <c r="A7" s="21" t="s">
        <v>55</v>
      </c>
      <c r="B7" s="21" t="n">
        <v>7</v>
      </c>
      <c r="C7" s="22" t="s">
        <v>62</v>
      </c>
      <c r="D7" s="21" t="s">
        <v>69</v>
      </c>
      <c r="E7" s="22" t="s">
        <v>68</v>
      </c>
      <c r="F7" s="21" t="s">
        <v>312</v>
      </c>
      <c r="G7" s="21" t="s">
        <v>312</v>
      </c>
      <c r="H7" s="25" t="s">
        <v>4</v>
      </c>
      <c r="I7" s="4"/>
    </row>
    <row r="8" customFormat="false" ht="15" hidden="false" customHeight="false" outlineLevel="0" collapsed="false">
      <c r="A8" s="21" t="s">
        <v>55</v>
      </c>
      <c r="B8" s="21" t="n">
        <v>8</v>
      </c>
      <c r="C8" s="22" t="s">
        <v>70</v>
      </c>
      <c r="D8" s="21" t="s">
        <v>58</v>
      </c>
      <c r="E8" s="22" t="s">
        <v>71</v>
      </c>
      <c r="F8" s="21" t="s">
        <v>312</v>
      </c>
      <c r="G8" s="21" t="s">
        <v>312</v>
      </c>
      <c r="H8" s="25" t="s">
        <v>4</v>
      </c>
      <c r="I8" s="4"/>
    </row>
    <row r="9" customFormat="false" ht="15" hidden="false" customHeight="false" outlineLevel="0" collapsed="false">
      <c r="A9" s="21" t="s">
        <v>55</v>
      </c>
      <c r="B9" s="21" t="n">
        <v>9</v>
      </c>
      <c r="C9" s="22" t="s">
        <v>70</v>
      </c>
      <c r="D9" s="21" t="s">
        <v>73</v>
      </c>
      <c r="E9" s="22" t="s">
        <v>72</v>
      </c>
      <c r="F9" s="21" t="s">
        <v>312</v>
      </c>
      <c r="G9" s="21" t="s">
        <v>312</v>
      </c>
      <c r="H9" s="25" t="s">
        <v>4</v>
      </c>
      <c r="I9" s="4"/>
    </row>
    <row r="10" customFormat="false" ht="15" hidden="false" customHeight="false" outlineLevel="0" collapsed="false">
      <c r="A10" s="21" t="s">
        <v>55</v>
      </c>
      <c r="B10" s="21" t="n">
        <v>10</v>
      </c>
      <c r="C10" s="22" t="s">
        <v>74</v>
      </c>
      <c r="D10" s="21" t="s">
        <v>76</v>
      </c>
      <c r="E10" s="22" t="s">
        <v>75</v>
      </c>
      <c r="F10" s="21" t="s">
        <v>312</v>
      </c>
      <c r="G10" s="21" t="s">
        <v>312</v>
      </c>
      <c r="H10" s="25" t="s">
        <v>4</v>
      </c>
      <c r="I10" s="4"/>
    </row>
    <row r="11" customFormat="false" ht="15" hidden="false" customHeight="false" outlineLevel="0" collapsed="false">
      <c r="A11" s="21" t="s">
        <v>55</v>
      </c>
      <c r="B11" s="21" t="n">
        <v>11</v>
      </c>
      <c r="C11" s="22" t="s">
        <v>77</v>
      </c>
      <c r="D11" s="21" t="s">
        <v>79</v>
      </c>
      <c r="E11" s="22" t="s">
        <v>78</v>
      </c>
      <c r="F11" s="21" t="s">
        <v>312</v>
      </c>
      <c r="G11" s="21" t="s">
        <v>312</v>
      </c>
      <c r="H11" s="25" t="s">
        <v>4</v>
      </c>
      <c r="I11" s="4"/>
    </row>
    <row r="12" customFormat="false" ht="15" hidden="false" customHeight="false" outlineLevel="0" collapsed="false">
      <c r="A12" s="21" t="s">
        <v>55</v>
      </c>
      <c r="B12" s="21" t="n">
        <v>12</v>
      </c>
      <c r="C12" s="22" t="s">
        <v>80</v>
      </c>
      <c r="D12" s="21" t="s">
        <v>84</v>
      </c>
      <c r="E12" s="22" t="s">
        <v>83</v>
      </c>
      <c r="F12" s="21" t="s">
        <v>312</v>
      </c>
      <c r="G12" s="21" t="s">
        <v>312</v>
      </c>
      <c r="H12" s="25" t="s">
        <v>4</v>
      </c>
      <c r="I12" s="4"/>
    </row>
    <row r="13" customFormat="false" ht="15" hidden="false" customHeight="false" outlineLevel="0" collapsed="false">
      <c r="A13" s="21" t="s">
        <v>55</v>
      </c>
      <c r="B13" s="21" t="n">
        <v>13</v>
      </c>
      <c r="C13" s="22" t="s">
        <v>80</v>
      </c>
      <c r="D13" s="21" t="s">
        <v>61</v>
      </c>
      <c r="E13" s="22" t="s">
        <v>85</v>
      </c>
      <c r="F13" s="21" t="s">
        <v>312</v>
      </c>
      <c r="G13" s="21" t="s">
        <v>312</v>
      </c>
      <c r="H13" s="25" t="s">
        <v>4</v>
      </c>
      <c r="I13" s="4"/>
    </row>
    <row r="14" customFormat="false" ht="15" hidden="false" customHeight="false" outlineLevel="0" collapsed="false">
      <c r="A14" s="21" t="s">
        <v>55</v>
      </c>
      <c r="B14" s="21" t="n">
        <v>14</v>
      </c>
      <c r="C14" s="22" t="s">
        <v>80</v>
      </c>
      <c r="D14" s="21" t="s">
        <v>87</v>
      </c>
      <c r="E14" s="22" t="s">
        <v>86</v>
      </c>
      <c r="F14" s="21" t="s">
        <v>312</v>
      </c>
      <c r="G14" s="21" t="s">
        <v>312</v>
      </c>
      <c r="H14" s="25" t="s">
        <v>4</v>
      </c>
      <c r="I14" s="4"/>
    </row>
    <row r="15" customFormat="false" ht="15" hidden="false" customHeight="false" outlineLevel="0" collapsed="false">
      <c r="A15" s="21" t="s">
        <v>55</v>
      </c>
      <c r="B15" s="21" t="n">
        <v>15</v>
      </c>
      <c r="C15" s="22" t="s">
        <v>80</v>
      </c>
      <c r="D15" s="21" t="s">
        <v>89</v>
      </c>
      <c r="E15" s="22" t="s">
        <v>88</v>
      </c>
      <c r="F15" s="21" t="s">
        <v>312</v>
      </c>
      <c r="G15" s="21" t="s">
        <v>312</v>
      </c>
      <c r="H15" s="25" t="s">
        <v>4</v>
      </c>
      <c r="I15" s="4"/>
    </row>
    <row r="16" customFormat="false" ht="15" hidden="false" customHeight="false" outlineLevel="0" collapsed="false">
      <c r="A16" s="21" t="s">
        <v>55</v>
      </c>
      <c r="B16" s="21" t="n">
        <v>16</v>
      </c>
      <c r="C16" s="22" t="s">
        <v>80</v>
      </c>
      <c r="D16" s="21" t="s">
        <v>91</v>
      </c>
      <c r="E16" s="22" t="s">
        <v>90</v>
      </c>
      <c r="F16" s="21" t="s">
        <v>312</v>
      </c>
      <c r="G16" s="21" t="s">
        <v>312</v>
      </c>
      <c r="H16" s="25" t="s">
        <v>4</v>
      </c>
      <c r="I16" s="4"/>
    </row>
    <row r="17" customFormat="false" ht="15" hidden="false" customHeight="false" outlineLevel="0" collapsed="false">
      <c r="A17" s="21" t="s">
        <v>55</v>
      </c>
      <c r="B17" s="21" t="n">
        <v>17</v>
      </c>
      <c r="C17" s="22" t="s">
        <v>92</v>
      </c>
      <c r="D17" s="21" t="s">
        <v>94</v>
      </c>
      <c r="E17" s="22" t="s">
        <v>93</v>
      </c>
      <c r="F17" s="21" t="s">
        <v>312</v>
      </c>
      <c r="G17" s="21" t="s">
        <v>312</v>
      </c>
      <c r="H17" s="25" t="s">
        <v>4</v>
      </c>
      <c r="I17" s="4"/>
    </row>
    <row r="18" customFormat="false" ht="15" hidden="false" customHeight="false" outlineLevel="0" collapsed="false">
      <c r="A18" s="21" t="s">
        <v>55</v>
      </c>
      <c r="B18" s="21" t="n">
        <v>18</v>
      </c>
      <c r="C18" s="22" t="s">
        <v>92</v>
      </c>
      <c r="D18" s="21" t="s">
        <v>96</v>
      </c>
      <c r="E18" s="22" t="s">
        <v>95</v>
      </c>
      <c r="F18" s="21" t="s">
        <v>312</v>
      </c>
      <c r="G18" s="21" t="s">
        <v>312</v>
      </c>
      <c r="H18" s="25" t="s">
        <v>4</v>
      </c>
      <c r="I18" s="4"/>
    </row>
    <row r="19" customFormat="false" ht="15" hidden="false" customHeight="false" outlineLevel="0" collapsed="false">
      <c r="A19" s="21" t="s">
        <v>55</v>
      </c>
      <c r="B19" s="21" t="n">
        <v>19</v>
      </c>
      <c r="C19" s="22" t="s">
        <v>92</v>
      </c>
      <c r="D19" s="21" t="s">
        <v>76</v>
      </c>
      <c r="E19" s="22" t="s">
        <v>97</v>
      </c>
      <c r="F19" s="21" t="s">
        <v>312</v>
      </c>
      <c r="G19" s="21" t="s">
        <v>312</v>
      </c>
      <c r="H19" s="25" t="s">
        <v>4</v>
      </c>
      <c r="I19" s="4"/>
    </row>
    <row r="20" customFormat="false" ht="15" hidden="false" customHeight="false" outlineLevel="0" collapsed="false">
      <c r="A20" s="21" t="s">
        <v>55</v>
      </c>
      <c r="B20" s="21" t="n">
        <v>20</v>
      </c>
      <c r="C20" s="22" t="s">
        <v>92</v>
      </c>
      <c r="D20" s="21" t="s">
        <v>61</v>
      </c>
      <c r="E20" s="22" t="s">
        <v>98</v>
      </c>
      <c r="F20" s="21" t="s">
        <v>312</v>
      </c>
      <c r="G20" s="21" t="s">
        <v>312</v>
      </c>
      <c r="H20" s="25" t="s">
        <v>4</v>
      </c>
      <c r="I20" s="4"/>
    </row>
    <row r="21" customFormat="false" ht="15" hidden="false" customHeight="false" outlineLevel="0" collapsed="false">
      <c r="A21" s="21" t="s">
        <v>55</v>
      </c>
      <c r="B21" s="21" t="n">
        <v>21</v>
      </c>
      <c r="C21" s="22" t="s">
        <v>92</v>
      </c>
      <c r="D21" s="21" t="s">
        <v>58</v>
      </c>
      <c r="E21" s="22" t="s">
        <v>99</v>
      </c>
      <c r="F21" s="21" t="s">
        <v>312</v>
      </c>
      <c r="G21" s="21" t="s">
        <v>312</v>
      </c>
      <c r="H21" s="25" t="s">
        <v>4</v>
      </c>
      <c r="I21" s="4"/>
    </row>
    <row r="22" customFormat="false" ht="15" hidden="false" customHeight="false" outlineLevel="0" collapsed="false">
      <c r="A22" s="21" t="s">
        <v>55</v>
      </c>
      <c r="B22" s="21" t="n">
        <v>22</v>
      </c>
      <c r="C22" s="22" t="s">
        <v>92</v>
      </c>
      <c r="D22" s="21" t="s">
        <v>69</v>
      </c>
      <c r="E22" s="22" t="s">
        <v>100</v>
      </c>
      <c r="F22" s="21" t="s">
        <v>312</v>
      </c>
      <c r="G22" s="21" t="s">
        <v>312</v>
      </c>
      <c r="H22" s="25" t="s">
        <v>4</v>
      </c>
      <c r="I22" s="4"/>
    </row>
    <row r="23" customFormat="false" ht="15" hidden="false" customHeight="false" outlineLevel="0" collapsed="false">
      <c r="A23" s="21" t="s">
        <v>55</v>
      </c>
      <c r="B23" s="21" t="n">
        <v>23</v>
      </c>
      <c r="C23" s="22" t="s">
        <v>92</v>
      </c>
      <c r="D23" s="21" t="s">
        <v>87</v>
      </c>
      <c r="E23" s="22" t="s">
        <v>101</v>
      </c>
      <c r="F23" s="21" t="s">
        <v>312</v>
      </c>
      <c r="G23" s="21" t="s">
        <v>312</v>
      </c>
      <c r="H23" s="25" t="s">
        <v>4</v>
      </c>
      <c r="I23" s="4"/>
    </row>
    <row r="24" customFormat="false" ht="15" hidden="false" customHeight="false" outlineLevel="0" collapsed="false">
      <c r="A24" s="21" t="s">
        <v>55</v>
      </c>
      <c r="B24" s="21" t="n">
        <v>24</v>
      </c>
      <c r="C24" s="22" t="s">
        <v>92</v>
      </c>
      <c r="D24" s="21" t="s">
        <v>76</v>
      </c>
      <c r="E24" s="22" t="s">
        <v>102</v>
      </c>
      <c r="F24" s="21" t="s">
        <v>312</v>
      </c>
      <c r="G24" s="21" t="s">
        <v>312</v>
      </c>
      <c r="H24" s="25" t="s">
        <v>4</v>
      </c>
      <c r="I24" s="4"/>
    </row>
    <row r="25" customFormat="false" ht="15" hidden="false" customHeight="false" outlineLevel="0" collapsed="false">
      <c r="A25" s="21" t="s">
        <v>55</v>
      </c>
      <c r="B25" s="21" t="n">
        <v>25</v>
      </c>
      <c r="C25" s="22" t="s">
        <v>92</v>
      </c>
      <c r="D25" s="21" t="s">
        <v>104</v>
      </c>
      <c r="E25" s="22" t="s">
        <v>103</v>
      </c>
      <c r="F25" s="21" t="s">
        <v>312</v>
      </c>
      <c r="G25" s="21" t="s">
        <v>312</v>
      </c>
      <c r="H25" s="25" t="s">
        <v>4</v>
      </c>
      <c r="I25" s="4"/>
    </row>
    <row r="26" customFormat="false" ht="15" hidden="false" customHeight="false" outlineLevel="0" collapsed="false">
      <c r="A26" s="21" t="s">
        <v>55</v>
      </c>
      <c r="B26" s="21" t="n">
        <v>26</v>
      </c>
      <c r="C26" s="22" t="s">
        <v>92</v>
      </c>
      <c r="D26" s="21" t="s">
        <v>106</v>
      </c>
      <c r="E26" s="22" t="s">
        <v>105</v>
      </c>
      <c r="F26" s="21" t="s">
        <v>312</v>
      </c>
      <c r="G26" s="21" t="s">
        <v>312</v>
      </c>
      <c r="H26" s="25" t="s">
        <v>4</v>
      </c>
      <c r="I26" s="4"/>
    </row>
    <row r="27" customFormat="false" ht="15" hidden="false" customHeight="false" outlineLevel="0" collapsed="false">
      <c r="A27" s="21" t="s">
        <v>55</v>
      </c>
      <c r="B27" s="21" t="n">
        <v>27</v>
      </c>
      <c r="C27" s="22" t="s">
        <v>107</v>
      </c>
      <c r="D27" s="21" t="s">
        <v>58</v>
      </c>
      <c r="E27" s="22" t="s">
        <v>108</v>
      </c>
      <c r="F27" s="21" t="s">
        <v>312</v>
      </c>
      <c r="G27" s="21" t="s">
        <v>312</v>
      </c>
      <c r="H27" s="25" t="s">
        <v>4</v>
      </c>
      <c r="I27" s="4"/>
    </row>
    <row r="28" customFormat="false" ht="15" hidden="false" customHeight="false" outlineLevel="0" collapsed="false">
      <c r="A28" s="21" t="s">
        <v>55</v>
      </c>
      <c r="B28" s="21" t="n">
        <v>28</v>
      </c>
      <c r="C28" s="22" t="s">
        <v>107</v>
      </c>
      <c r="D28" s="21" t="s">
        <v>91</v>
      </c>
      <c r="E28" s="22" t="s">
        <v>109</v>
      </c>
      <c r="F28" s="21" t="s">
        <v>312</v>
      </c>
      <c r="G28" s="21" t="s">
        <v>312</v>
      </c>
      <c r="H28" s="25" t="s">
        <v>4</v>
      </c>
      <c r="I28" s="4"/>
    </row>
    <row r="29" customFormat="false" ht="15" hidden="false" customHeight="false" outlineLevel="0" collapsed="false">
      <c r="A29" s="21" t="s">
        <v>55</v>
      </c>
      <c r="B29" s="21" t="n">
        <v>29</v>
      </c>
      <c r="C29" s="22" t="s">
        <v>107</v>
      </c>
      <c r="D29" s="21" t="s">
        <v>76</v>
      </c>
      <c r="E29" s="22" t="s">
        <v>265</v>
      </c>
      <c r="F29" s="21" t="s">
        <v>312</v>
      </c>
      <c r="G29" s="21" t="s">
        <v>312</v>
      </c>
      <c r="H29" s="25" t="s">
        <v>4</v>
      </c>
      <c r="I29" s="4"/>
    </row>
    <row r="30" customFormat="false" ht="15" hidden="false" customHeight="false" outlineLevel="0" collapsed="false">
      <c r="A30" s="21" t="s">
        <v>55</v>
      </c>
      <c r="B30" s="21" t="n">
        <v>29</v>
      </c>
      <c r="C30" s="22" t="s">
        <v>107</v>
      </c>
      <c r="D30" s="21" t="s">
        <v>106</v>
      </c>
      <c r="E30" s="22" t="s">
        <v>267</v>
      </c>
      <c r="F30" s="21" t="s">
        <v>312</v>
      </c>
      <c r="G30" s="21" t="s">
        <v>312</v>
      </c>
      <c r="H30" s="25" t="s">
        <v>4</v>
      </c>
      <c r="I30" s="4"/>
    </row>
    <row r="31" customFormat="false" ht="15" hidden="false" customHeight="false" outlineLevel="0" collapsed="false">
      <c r="A31" s="21" t="s">
        <v>55</v>
      </c>
      <c r="B31" s="21" t="n">
        <v>30</v>
      </c>
      <c r="C31" s="22" t="s">
        <v>107</v>
      </c>
      <c r="D31" s="21" t="s">
        <v>58</v>
      </c>
      <c r="E31" s="22" t="s">
        <v>114</v>
      </c>
      <c r="F31" s="21" t="s">
        <v>312</v>
      </c>
      <c r="G31" s="21" t="s">
        <v>312</v>
      </c>
      <c r="H31" s="25" t="s">
        <v>4</v>
      </c>
      <c r="I31" s="4"/>
    </row>
    <row r="32" customFormat="false" ht="15" hidden="false" customHeight="false" outlineLevel="0" collapsed="false">
      <c r="A32" s="21" t="s">
        <v>55</v>
      </c>
      <c r="B32" s="21" t="n">
        <v>31</v>
      </c>
      <c r="C32" s="22" t="s">
        <v>115</v>
      </c>
      <c r="D32" s="21" t="s">
        <v>58</v>
      </c>
      <c r="E32" s="22" t="s">
        <v>116</v>
      </c>
      <c r="F32" s="21" t="s">
        <v>312</v>
      </c>
      <c r="G32" s="21" t="s">
        <v>312</v>
      </c>
      <c r="H32" s="25" t="s">
        <v>4</v>
      </c>
      <c r="I32" s="4"/>
    </row>
    <row r="33" customFormat="false" ht="15" hidden="false" customHeight="false" outlineLevel="0" collapsed="false">
      <c r="A33" s="21" t="s">
        <v>55</v>
      </c>
      <c r="B33" s="21" t="n">
        <v>32</v>
      </c>
      <c r="C33" s="22" t="s">
        <v>115</v>
      </c>
      <c r="D33" s="21" t="s">
        <v>106</v>
      </c>
      <c r="E33" s="22" t="s">
        <v>117</v>
      </c>
      <c r="F33" s="21" t="s">
        <v>312</v>
      </c>
      <c r="G33" s="21" t="s">
        <v>312</v>
      </c>
      <c r="H33" s="25" t="s">
        <v>4</v>
      </c>
      <c r="I33" s="4"/>
    </row>
    <row r="34" customFormat="false" ht="15" hidden="false" customHeight="false" outlineLevel="0" collapsed="false">
      <c r="A34" s="21" t="s">
        <v>55</v>
      </c>
      <c r="B34" s="21" t="n">
        <v>33</v>
      </c>
      <c r="C34" s="22" t="s">
        <v>115</v>
      </c>
      <c r="D34" s="21" t="s">
        <v>58</v>
      </c>
      <c r="E34" s="22" t="s">
        <v>118</v>
      </c>
      <c r="F34" s="21" t="s">
        <v>312</v>
      </c>
      <c r="G34" s="21" t="s">
        <v>312</v>
      </c>
      <c r="H34" s="25" t="s">
        <v>4</v>
      </c>
      <c r="I34" s="4"/>
    </row>
    <row r="35" customFormat="false" ht="15" hidden="false" customHeight="false" outlineLevel="0" collapsed="false">
      <c r="A35" s="21" t="s">
        <v>55</v>
      </c>
      <c r="B35" s="21" t="n">
        <v>34</v>
      </c>
      <c r="C35" s="22" t="s">
        <v>115</v>
      </c>
      <c r="D35" s="21" t="s">
        <v>120</v>
      </c>
      <c r="E35" s="22" t="s">
        <v>119</v>
      </c>
      <c r="F35" s="21" t="s">
        <v>312</v>
      </c>
      <c r="G35" s="21" t="s">
        <v>312</v>
      </c>
      <c r="H35" s="25" t="s">
        <v>4</v>
      </c>
      <c r="I35" s="4"/>
    </row>
    <row r="36" customFormat="false" ht="15" hidden="false" customHeight="false" outlineLevel="0" collapsed="false">
      <c r="A36" s="21" t="s">
        <v>55</v>
      </c>
      <c r="B36" s="21" t="n">
        <v>35</v>
      </c>
      <c r="C36" s="22" t="s">
        <v>115</v>
      </c>
      <c r="D36" s="21" t="s">
        <v>122</v>
      </c>
      <c r="E36" s="22" t="s">
        <v>121</v>
      </c>
      <c r="F36" s="21" t="s">
        <v>312</v>
      </c>
      <c r="G36" s="21" t="s">
        <v>312</v>
      </c>
      <c r="H36" s="25" t="s">
        <v>4</v>
      </c>
      <c r="I36" s="4"/>
    </row>
    <row r="37" customFormat="false" ht="15" hidden="false" customHeight="false" outlineLevel="0" collapsed="false">
      <c r="A37" s="21" t="s">
        <v>55</v>
      </c>
      <c r="B37" s="21" t="n">
        <v>36</v>
      </c>
      <c r="C37" s="22" t="s">
        <v>115</v>
      </c>
      <c r="D37" s="21" t="s">
        <v>94</v>
      </c>
      <c r="E37" s="22" t="s">
        <v>123</v>
      </c>
      <c r="F37" s="21" t="s">
        <v>312</v>
      </c>
      <c r="G37" s="21" t="s">
        <v>312</v>
      </c>
      <c r="H37" s="25" t="s">
        <v>4</v>
      </c>
      <c r="I37" s="4"/>
    </row>
    <row r="38" customFormat="false" ht="15" hidden="false" customHeight="false" outlineLevel="0" collapsed="false">
      <c r="A38" s="21" t="s">
        <v>55</v>
      </c>
      <c r="B38" s="21" t="n">
        <v>37</v>
      </c>
      <c r="C38" s="22" t="s">
        <v>115</v>
      </c>
      <c r="D38" s="21" t="s">
        <v>76</v>
      </c>
      <c r="E38" s="22" t="s">
        <v>124</v>
      </c>
      <c r="F38" s="21" t="s">
        <v>312</v>
      </c>
      <c r="G38" s="21" t="s">
        <v>312</v>
      </c>
      <c r="H38" s="25" t="s">
        <v>4</v>
      </c>
      <c r="I38" s="4"/>
    </row>
    <row r="39" customFormat="false" ht="15" hidden="false" customHeight="false" outlineLevel="0" collapsed="false">
      <c r="A39" s="21" t="s">
        <v>55</v>
      </c>
      <c r="B39" s="21" t="n">
        <v>38</v>
      </c>
      <c r="C39" s="22" t="s">
        <v>125</v>
      </c>
      <c r="D39" s="21" t="s">
        <v>61</v>
      </c>
      <c r="E39" s="22" t="s">
        <v>126</v>
      </c>
      <c r="F39" s="21" t="s">
        <v>312</v>
      </c>
      <c r="G39" s="21" t="s">
        <v>312</v>
      </c>
      <c r="H39" s="25" t="s">
        <v>4</v>
      </c>
      <c r="I39" s="4"/>
    </row>
    <row r="40" customFormat="false" ht="15" hidden="false" customHeight="false" outlineLevel="0" collapsed="false">
      <c r="A40" s="21" t="s">
        <v>55</v>
      </c>
      <c r="B40" s="21" t="n">
        <v>39</v>
      </c>
      <c r="C40" s="22" t="s">
        <v>125</v>
      </c>
      <c r="D40" s="21" t="s">
        <v>106</v>
      </c>
      <c r="E40" s="22" t="s">
        <v>127</v>
      </c>
      <c r="F40" s="21" t="s">
        <v>312</v>
      </c>
      <c r="G40" s="21" t="s">
        <v>312</v>
      </c>
      <c r="H40" s="25" t="s">
        <v>4</v>
      </c>
      <c r="I40" s="4"/>
    </row>
    <row r="41" customFormat="false" ht="15" hidden="false" customHeight="false" outlineLevel="0" collapsed="false">
      <c r="A41" s="21" t="s">
        <v>55</v>
      </c>
      <c r="B41" s="21" t="n">
        <v>40</v>
      </c>
      <c r="C41" s="22" t="s">
        <v>125</v>
      </c>
      <c r="D41" s="21" t="s">
        <v>61</v>
      </c>
      <c r="E41" s="22" t="s">
        <v>128</v>
      </c>
      <c r="F41" s="21" t="s">
        <v>312</v>
      </c>
      <c r="G41" s="21" t="s">
        <v>312</v>
      </c>
      <c r="H41" s="25" t="s">
        <v>4</v>
      </c>
      <c r="I41" s="4"/>
    </row>
    <row r="42" customFormat="false" ht="15" hidden="false" customHeight="false" outlineLevel="0" collapsed="false">
      <c r="A42" s="21" t="s">
        <v>55</v>
      </c>
      <c r="B42" s="21" t="n">
        <v>41</v>
      </c>
      <c r="C42" s="22" t="s">
        <v>125</v>
      </c>
      <c r="D42" s="21" t="s">
        <v>58</v>
      </c>
      <c r="E42" s="22" t="s">
        <v>129</v>
      </c>
      <c r="F42" s="21" t="s">
        <v>312</v>
      </c>
      <c r="G42" s="21" t="s">
        <v>312</v>
      </c>
      <c r="H42" s="25" t="s">
        <v>4</v>
      </c>
      <c r="I42" s="4"/>
    </row>
    <row r="43" customFormat="false" ht="15" hidden="false" customHeight="false" outlineLevel="0" collapsed="false">
      <c r="A43" s="21" t="s">
        <v>55</v>
      </c>
      <c r="B43" s="21" t="n">
        <v>42</v>
      </c>
      <c r="C43" s="22" t="s">
        <v>125</v>
      </c>
      <c r="D43" s="21" t="s">
        <v>58</v>
      </c>
      <c r="E43" s="22" t="s">
        <v>130</v>
      </c>
      <c r="F43" s="21" t="s">
        <v>312</v>
      </c>
      <c r="G43" s="21" t="s">
        <v>312</v>
      </c>
      <c r="H43" s="25" t="s">
        <v>4</v>
      </c>
      <c r="I43" s="4"/>
    </row>
    <row r="44" customFormat="false" ht="15" hidden="false" customHeight="false" outlineLevel="0" collapsed="false">
      <c r="A44" s="21" t="s">
        <v>55</v>
      </c>
      <c r="B44" s="21" t="n">
        <v>43</v>
      </c>
      <c r="C44" s="22" t="s">
        <v>131</v>
      </c>
      <c r="D44" s="21" t="s">
        <v>91</v>
      </c>
      <c r="E44" s="22" t="s">
        <v>132</v>
      </c>
      <c r="F44" s="21" t="s">
        <v>312</v>
      </c>
      <c r="G44" s="21" t="s">
        <v>312</v>
      </c>
      <c r="H44" s="25" t="s">
        <v>4</v>
      </c>
      <c r="I44" s="4"/>
    </row>
    <row r="45" customFormat="false" ht="15" hidden="false" customHeight="false" outlineLevel="0" collapsed="false">
      <c r="A45" s="21" t="s">
        <v>55</v>
      </c>
      <c r="B45" s="21" t="n">
        <v>44</v>
      </c>
      <c r="C45" s="22" t="s">
        <v>131</v>
      </c>
      <c r="D45" s="21" t="s">
        <v>61</v>
      </c>
      <c r="E45" s="22" t="s">
        <v>133</v>
      </c>
      <c r="F45" s="21" t="s">
        <v>312</v>
      </c>
      <c r="G45" s="21" t="s">
        <v>312</v>
      </c>
      <c r="H45" s="25" t="s">
        <v>4</v>
      </c>
      <c r="I45" s="4"/>
    </row>
    <row r="46" customFormat="false" ht="15" hidden="false" customHeight="false" outlineLevel="0" collapsed="false">
      <c r="A46" s="21" t="s">
        <v>55</v>
      </c>
      <c r="B46" s="21" t="n">
        <v>45</v>
      </c>
      <c r="C46" s="22" t="s">
        <v>131</v>
      </c>
      <c r="D46" s="21" t="s">
        <v>96</v>
      </c>
      <c r="E46" s="22" t="s">
        <v>134</v>
      </c>
      <c r="F46" s="21" t="s">
        <v>312</v>
      </c>
      <c r="G46" s="21" t="s">
        <v>312</v>
      </c>
      <c r="H46" s="25" t="s">
        <v>4</v>
      </c>
      <c r="I46" s="4"/>
    </row>
    <row r="47" customFormat="false" ht="15" hidden="false" customHeight="false" outlineLevel="0" collapsed="false">
      <c r="A47" s="21" t="s">
        <v>55</v>
      </c>
      <c r="B47" s="21" t="n">
        <v>46</v>
      </c>
      <c r="C47" s="22" t="s">
        <v>131</v>
      </c>
      <c r="D47" s="21" t="s">
        <v>58</v>
      </c>
      <c r="E47" s="22" t="s">
        <v>135</v>
      </c>
      <c r="F47" s="21" t="s">
        <v>312</v>
      </c>
      <c r="G47" s="21" t="s">
        <v>312</v>
      </c>
      <c r="H47" s="25" t="s">
        <v>4</v>
      </c>
      <c r="I47" s="4"/>
    </row>
    <row r="48" customFormat="false" ht="15" hidden="false" customHeight="false" outlineLevel="0" collapsed="false">
      <c r="A48" s="21" t="s">
        <v>55</v>
      </c>
      <c r="B48" s="21" t="n">
        <v>47</v>
      </c>
      <c r="C48" s="22" t="s">
        <v>136</v>
      </c>
      <c r="D48" s="21" t="s">
        <v>138</v>
      </c>
      <c r="E48" s="22" t="s">
        <v>137</v>
      </c>
      <c r="F48" s="21" t="s">
        <v>312</v>
      </c>
      <c r="G48" s="21" t="s">
        <v>312</v>
      </c>
      <c r="H48" s="25" t="s">
        <v>4</v>
      </c>
      <c r="I48" s="4"/>
    </row>
    <row r="49" customFormat="false" ht="15" hidden="false" customHeight="false" outlineLevel="0" collapsed="false">
      <c r="A49" s="21" t="s">
        <v>55</v>
      </c>
      <c r="B49" s="21" t="n">
        <v>48</v>
      </c>
      <c r="C49" s="22" t="s">
        <v>140</v>
      </c>
      <c r="D49" s="21" t="s">
        <v>142</v>
      </c>
      <c r="E49" s="22" t="s">
        <v>141</v>
      </c>
      <c r="F49" s="21" t="s">
        <v>312</v>
      </c>
      <c r="G49" s="21" t="s">
        <v>312</v>
      </c>
      <c r="H49" s="25" t="s">
        <v>4</v>
      </c>
      <c r="I49" s="4"/>
    </row>
    <row r="50" customFormat="false" ht="15" hidden="false" customHeight="false" outlineLevel="0" collapsed="false">
      <c r="A50" s="21" t="s">
        <v>55</v>
      </c>
      <c r="B50" s="21" t="n">
        <v>49</v>
      </c>
      <c r="C50" s="22" t="s">
        <v>144</v>
      </c>
      <c r="D50" s="21" t="s">
        <v>58</v>
      </c>
      <c r="E50" s="22" t="s">
        <v>145</v>
      </c>
      <c r="F50" s="21" t="s">
        <v>312</v>
      </c>
      <c r="G50" s="21" t="s">
        <v>312</v>
      </c>
      <c r="H50" s="25" t="s">
        <v>4</v>
      </c>
      <c r="I50" s="36" t="s">
        <v>313</v>
      </c>
    </row>
    <row r="51" customFormat="false" ht="15" hidden="false" customHeight="false" outlineLevel="0" collapsed="false">
      <c r="A51" s="21" t="s">
        <v>55</v>
      </c>
      <c r="B51" s="21" t="n">
        <v>50</v>
      </c>
      <c r="C51" s="22" t="s">
        <v>144</v>
      </c>
      <c r="D51" s="21" t="s">
        <v>147</v>
      </c>
      <c r="E51" s="22" t="s">
        <v>146</v>
      </c>
      <c r="F51" s="21" t="s">
        <v>312</v>
      </c>
      <c r="G51" s="21" t="s">
        <v>312</v>
      </c>
      <c r="H51" s="25" t="s">
        <v>4</v>
      </c>
      <c r="I51" s="4"/>
    </row>
    <row r="52" customFormat="false" ht="15" hidden="false" customHeight="false" outlineLevel="0" collapsed="false">
      <c r="A52" s="21" t="s">
        <v>55</v>
      </c>
      <c r="B52" s="21" t="n">
        <v>51</v>
      </c>
      <c r="C52" s="22" t="s">
        <v>148</v>
      </c>
      <c r="D52" s="21" t="s">
        <v>150</v>
      </c>
      <c r="E52" s="22" t="s">
        <v>149</v>
      </c>
      <c r="F52" s="21" t="s">
        <v>312</v>
      </c>
      <c r="G52" s="21" t="s">
        <v>312</v>
      </c>
      <c r="H52" s="25" t="s">
        <v>4</v>
      </c>
      <c r="I52" s="4"/>
    </row>
    <row r="53" customFormat="false" ht="15" hidden="false" customHeight="false" outlineLevel="0" collapsed="false">
      <c r="A53" s="21" t="s">
        <v>55</v>
      </c>
      <c r="B53" s="21" t="n">
        <v>52</v>
      </c>
      <c r="C53" s="22" t="s">
        <v>148</v>
      </c>
      <c r="D53" s="21" t="s">
        <v>152</v>
      </c>
      <c r="E53" s="22" t="s">
        <v>151</v>
      </c>
      <c r="F53" s="21" t="s">
        <v>312</v>
      </c>
      <c r="G53" s="21" t="s">
        <v>312</v>
      </c>
      <c r="H53" s="25" t="s">
        <v>4</v>
      </c>
      <c r="I53" s="4"/>
    </row>
    <row r="54" customFormat="false" ht="15" hidden="false" customHeight="false" outlineLevel="0" collapsed="false">
      <c r="A54" s="21" t="s">
        <v>153</v>
      </c>
      <c r="B54" s="21" t="n">
        <v>2</v>
      </c>
      <c r="C54" s="22" t="s">
        <v>154</v>
      </c>
      <c r="D54" s="21" t="s">
        <v>76</v>
      </c>
      <c r="E54" s="22" t="s">
        <v>155</v>
      </c>
      <c r="F54" s="21" t="s">
        <v>314</v>
      </c>
      <c r="G54" s="21" t="s">
        <v>315</v>
      </c>
      <c r="H54" s="25" t="s">
        <v>4</v>
      </c>
      <c r="I54" s="36" t="s">
        <v>316</v>
      </c>
    </row>
    <row r="55" customFormat="false" ht="15" hidden="false" customHeight="false" outlineLevel="0" collapsed="false">
      <c r="A55" s="21" t="s">
        <v>153</v>
      </c>
      <c r="B55" s="21" t="n">
        <v>3</v>
      </c>
      <c r="C55" s="22" t="s">
        <v>156</v>
      </c>
      <c r="D55" s="21" t="s">
        <v>58</v>
      </c>
      <c r="E55" s="22" t="s">
        <v>157</v>
      </c>
      <c r="F55" s="21" t="s">
        <v>314</v>
      </c>
      <c r="G55" s="21" t="s">
        <v>315</v>
      </c>
      <c r="H55" s="25" t="s">
        <v>4</v>
      </c>
      <c r="I55" s="4"/>
    </row>
    <row r="56" customFormat="false" ht="15" hidden="false" customHeight="false" outlineLevel="0" collapsed="false">
      <c r="A56" s="21" t="s">
        <v>158</v>
      </c>
      <c r="B56" s="21" t="n">
        <v>2</v>
      </c>
      <c r="C56" s="22" t="s">
        <v>80</v>
      </c>
      <c r="D56" s="21" t="s">
        <v>58</v>
      </c>
      <c r="E56" s="22" t="s">
        <v>159</v>
      </c>
      <c r="F56" s="21" t="s">
        <v>314</v>
      </c>
      <c r="G56" s="21" t="s">
        <v>315</v>
      </c>
      <c r="H56" s="25" t="s">
        <v>4</v>
      </c>
      <c r="I56" s="36" t="s">
        <v>317</v>
      </c>
    </row>
    <row r="57" customFormat="false" ht="15" hidden="false" customHeight="false" outlineLevel="0" collapsed="false">
      <c r="A57" s="21" t="s">
        <v>158</v>
      </c>
      <c r="B57" s="21" t="n">
        <v>3</v>
      </c>
      <c r="C57" s="22" t="s">
        <v>154</v>
      </c>
      <c r="D57" s="21" t="s">
        <v>76</v>
      </c>
      <c r="E57" s="22" t="s">
        <v>160</v>
      </c>
      <c r="F57" s="21" t="s">
        <v>314</v>
      </c>
      <c r="G57" s="21" t="s">
        <v>315</v>
      </c>
      <c r="H57" s="25" t="s">
        <v>4</v>
      </c>
      <c r="I57" s="36" t="s">
        <v>316</v>
      </c>
    </row>
    <row r="58" customFormat="false" ht="15" hidden="false" customHeight="false" outlineLevel="0" collapsed="false">
      <c r="A58" s="21" t="s">
        <v>158</v>
      </c>
      <c r="B58" s="21" t="n">
        <v>4</v>
      </c>
      <c r="C58" s="22" t="s">
        <v>161</v>
      </c>
      <c r="D58" s="21" t="s">
        <v>58</v>
      </c>
      <c r="E58" s="22" t="s">
        <v>162</v>
      </c>
      <c r="F58" s="21" t="s">
        <v>314</v>
      </c>
      <c r="G58" s="21" t="s">
        <v>315</v>
      </c>
      <c r="H58" s="25" t="s">
        <v>4</v>
      </c>
      <c r="I58" s="36" t="s">
        <v>317</v>
      </c>
    </row>
    <row r="59" customFormat="false" ht="15" hidden="false" customHeight="false" outlineLevel="0" collapsed="false">
      <c r="A59" s="21" t="s">
        <v>158</v>
      </c>
      <c r="B59" s="21" t="n">
        <v>5</v>
      </c>
      <c r="C59" s="22" t="s">
        <v>156</v>
      </c>
      <c r="D59" s="21" t="s">
        <v>122</v>
      </c>
      <c r="E59" s="22" t="s">
        <v>163</v>
      </c>
      <c r="F59" s="21" t="s">
        <v>314</v>
      </c>
      <c r="G59" s="21" t="s">
        <v>315</v>
      </c>
      <c r="H59" s="25" t="s">
        <v>4</v>
      </c>
      <c r="I59" s="4"/>
    </row>
    <row r="60" customFormat="false" ht="15" hidden="false" customHeight="false" outlineLevel="0" collapsed="false">
      <c r="A60" s="21" t="s">
        <v>158</v>
      </c>
      <c r="B60" s="21" t="n">
        <v>6</v>
      </c>
      <c r="C60" s="22" t="s">
        <v>156</v>
      </c>
      <c r="D60" s="21" t="s">
        <v>76</v>
      </c>
      <c r="E60" s="22" t="s">
        <v>164</v>
      </c>
      <c r="F60" s="21" t="s">
        <v>314</v>
      </c>
      <c r="G60" s="21" t="s">
        <v>315</v>
      </c>
      <c r="H60" s="25" t="s">
        <v>4</v>
      </c>
      <c r="I60" s="4"/>
    </row>
    <row r="61" customFormat="false" ht="15" hidden="false" customHeight="false" outlineLevel="0" collapsed="false">
      <c r="A61" s="21" t="s">
        <v>158</v>
      </c>
      <c r="B61" s="21" t="n">
        <v>7</v>
      </c>
      <c r="C61" s="22" t="s">
        <v>165</v>
      </c>
      <c r="D61" s="21" t="s">
        <v>58</v>
      </c>
      <c r="E61" s="22" t="s">
        <v>166</v>
      </c>
      <c r="F61" s="21" t="s">
        <v>314</v>
      </c>
      <c r="G61" s="21" t="s">
        <v>315</v>
      </c>
      <c r="H61" s="25" t="s">
        <v>4</v>
      </c>
      <c r="I61" s="4"/>
    </row>
    <row r="62" customFormat="false" ht="15" hidden="false" customHeight="false" outlineLevel="0" collapsed="false">
      <c r="A62" s="21" t="s">
        <v>158</v>
      </c>
      <c r="B62" s="21" t="n">
        <v>8</v>
      </c>
      <c r="C62" s="22" t="s">
        <v>144</v>
      </c>
      <c r="D62" s="21" t="s">
        <v>76</v>
      </c>
      <c r="E62" s="22" t="s">
        <v>167</v>
      </c>
      <c r="F62" s="21" t="s">
        <v>314</v>
      </c>
      <c r="G62" s="21" t="s">
        <v>315</v>
      </c>
      <c r="H62" s="25" t="s">
        <v>4</v>
      </c>
      <c r="I62" s="4"/>
    </row>
    <row r="63" customFormat="false" ht="15" hidden="false" customHeight="false" outlineLevel="0" collapsed="false">
      <c r="A63" s="21" t="s">
        <v>158</v>
      </c>
      <c r="B63" s="21" t="n">
        <v>9</v>
      </c>
      <c r="C63" s="22" t="s">
        <v>144</v>
      </c>
      <c r="D63" s="21" t="s">
        <v>58</v>
      </c>
      <c r="E63" s="22" t="s">
        <v>168</v>
      </c>
      <c r="F63" s="21" t="s">
        <v>314</v>
      </c>
      <c r="G63" s="21" t="s">
        <v>315</v>
      </c>
      <c r="H63" s="25" t="s">
        <v>4</v>
      </c>
      <c r="I63" s="4"/>
    </row>
    <row r="64" customFormat="false" ht="15" hidden="false" customHeight="false" outlineLevel="0" collapsed="false">
      <c r="A64" s="21" t="s">
        <v>158</v>
      </c>
      <c r="B64" s="21" t="n">
        <v>10</v>
      </c>
      <c r="C64" s="22" t="s">
        <v>169</v>
      </c>
      <c r="D64" s="21" t="s">
        <v>58</v>
      </c>
      <c r="E64" s="22" t="s">
        <v>170</v>
      </c>
      <c r="F64" s="21" t="s">
        <v>314</v>
      </c>
      <c r="G64" s="21" t="s">
        <v>315</v>
      </c>
      <c r="H64" s="25" t="s">
        <v>4</v>
      </c>
      <c r="I64" s="4"/>
    </row>
    <row r="65" customFormat="false" ht="15" hidden="false" customHeight="false" outlineLevel="0" collapsed="false">
      <c r="A65" s="21" t="s">
        <v>158</v>
      </c>
      <c r="B65" s="21" t="n">
        <v>11</v>
      </c>
      <c r="C65" s="22" t="s">
        <v>169</v>
      </c>
      <c r="D65" s="21" t="s">
        <v>76</v>
      </c>
      <c r="E65" s="22" t="s">
        <v>171</v>
      </c>
      <c r="F65" s="21" t="s">
        <v>314</v>
      </c>
      <c r="G65" s="21" t="s">
        <v>315</v>
      </c>
      <c r="H65" s="25" t="s">
        <v>4</v>
      </c>
      <c r="I65" s="4"/>
    </row>
    <row r="66" customFormat="false" ht="15" hidden="false" customHeight="false" outlineLevel="0" collapsed="false">
      <c r="A66" s="21" t="s">
        <v>172</v>
      </c>
      <c r="B66" s="21" t="n">
        <v>2</v>
      </c>
      <c r="C66" s="22" t="s">
        <v>173</v>
      </c>
      <c r="D66" s="21" t="s">
        <v>76</v>
      </c>
      <c r="E66" s="22" t="s">
        <v>174</v>
      </c>
      <c r="F66" s="21" t="s">
        <v>314</v>
      </c>
      <c r="G66" s="21" t="s">
        <v>315</v>
      </c>
      <c r="H66" s="25" t="s">
        <v>4</v>
      </c>
      <c r="I66" s="36" t="s">
        <v>316</v>
      </c>
    </row>
    <row r="67" customFormat="false" ht="15" hidden="false" customHeight="false" outlineLevel="0" collapsed="false">
      <c r="A67" s="21" t="s">
        <v>172</v>
      </c>
      <c r="B67" s="21" t="n">
        <v>3</v>
      </c>
      <c r="C67" s="22" t="s">
        <v>175</v>
      </c>
      <c r="D67" s="21" t="s">
        <v>58</v>
      </c>
      <c r="E67" s="22" t="s">
        <v>176</v>
      </c>
      <c r="F67" s="21" t="s">
        <v>314</v>
      </c>
      <c r="G67" s="21" t="s">
        <v>315</v>
      </c>
      <c r="H67" s="25" t="s">
        <v>4</v>
      </c>
      <c r="I67" s="36" t="s">
        <v>316</v>
      </c>
    </row>
    <row r="68" customFormat="false" ht="15" hidden="false" customHeight="false" outlineLevel="0" collapsed="false">
      <c r="A68" s="21" t="s">
        <v>172</v>
      </c>
      <c r="B68" s="21" t="n">
        <v>4</v>
      </c>
      <c r="C68" s="22" t="s">
        <v>175</v>
      </c>
      <c r="D68" s="21" t="s">
        <v>122</v>
      </c>
      <c r="E68" s="22" t="s">
        <v>177</v>
      </c>
      <c r="F68" s="21" t="s">
        <v>314</v>
      </c>
      <c r="G68" s="21" t="s">
        <v>315</v>
      </c>
      <c r="H68" s="25" t="s">
        <v>4</v>
      </c>
      <c r="I68" s="36" t="s">
        <v>316</v>
      </c>
    </row>
    <row r="69" customFormat="false" ht="15" hidden="false" customHeight="false" outlineLevel="0" collapsed="false">
      <c r="A69" s="21" t="s">
        <v>172</v>
      </c>
      <c r="B69" s="21" t="n">
        <v>5</v>
      </c>
      <c r="C69" s="22" t="s">
        <v>161</v>
      </c>
      <c r="D69" s="21" t="s">
        <v>122</v>
      </c>
      <c r="E69" s="22" t="s">
        <v>179</v>
      </c>
      <c r="F69" s="21" t="s">
        <v>314</v>
      </c>
      <c r="G69" s="21" t="s">
        <v>315</v>
      </c>
      <c r="H69" s="25" t="s">
        <v>4</v>
      </c>
      <c r="I69" s="36" t="s">
        <v>316</v>
      </c>
    </row>
    <row r="70" customFormat="false" ht="15" hidden="false" customHeight="false" outlineLevel="0" collapsed="false">
      <c r="A70" s="21" t="s">
        <v>172</v>
      </c>
      <c r="B70" s="21" t="n">
        <v>6</v>
      </c>
      <c r="C70" s="22" t="s">
        <v>165</v>
      </c>
      <c r="D70" s="21" t="s">
        <v>76</v>
      </c>
      <c r="E70" s="22" t="s">
        <v>180</v>
      </c>
      <c r="F70" s="21" t="s">
        <v>314</v>
      </c>
      <c r="G70" s="21" t="s">
        <v>315</v>
      </c>
      <c r="H70" s="25" t="s">
        <v>4</v>
      </c>
      <c r="I70" s="4"/>
    </row>
    <row r="71" customFormat="false" ht="15" hidden="false" customHeight="false" outlineLevel="0" collapsed="false">
      <c r="A71" s="21" t="s">
        <v>172</v>
      </c>
      <c r="B71" s="21" t="n">
        <v>7</v>
      </c>
      <c r="C71" s="22" t="s">
        <v>165</v>
      </c>
      <c r="D71" s="21" t="s">
        <v>76</v>
      </c>
      <c r="E71" s="22" t="s">
        <v>181</v>
      </c>
      <c r="F71" s="21" t="s">
        <v>314</v>
      </c>
      <c r="G71" s="21" t="s">
        <v>315</v>
      </c>
      <c r="H71" s="25" t="s">
        <v>4</v>
      </c>
      <c r="I71" s="4"/>
    </row>
    <row r="72" customFormat="false" ht="15" hidden="false" customHeight="false" outlineLevel="0" collapsed="false">
      <c r="A72" s="21" t="s">
        <v>182</v>
      </c>
      <c r="B72" s="21" t="n">
        <v>2</v>
      </c>
      <c r="C72" s="22" t="s">
        <v>148</v>
      </c>
      <c r="D72" s="21" t="s">
        <v>184</v>
      </c>
      <c r="E72" s="22" t="s">
        <v>183</v>
      </c>
      <c r="F72" s="21" t="s">
        <v>314</v>
      </c>
      <c r="G72" s="21" t="s">
        <v>315</v>
      </c>
      <c r="H72" s="25" t="s">
        <v>4</v>
      </c>
      <c r="I72" s="4"/>
    </row>
    <row r="73" customFormat="false" ht="15" hidden="false" customHeight="false" outlineLevel="0" collapsed="false">
      <c r="A73" s="21" t="s">
        <v>182</v>
      </c>
      <c r="B73" s="21" t="n">
        <v>3</v>
      </c>
      <c r="C73" s="22" t="s">
        <v>169</v>
      </c>
      <c r="D73" s="21" t="s">
        <v>186</v>
      </c>
      <c r="E73" s="22" t="s">
        <v>185</v>
      </c>
      <c r="F73" s="21" t="s">
        <v>314</v>
      </c>
      <c r="G73" s="21" t="s">
        <v>315</v>
      </c>
      <c r="H73" s="25" t="s">
        <v>4</v>
      </c>
      <c r="I73" s="4"/>
    </row>
    <row r="74" customFormat="false" ht="15" hidden="false" customHeight="false" outlineLevel="0" collapsed="false">
      <c r="A74" s="21" t="s">
        <v>182</v>
      </c>
      <c r="B74" s="21" t="n">
        <v>4</v>
      </c>
      <c r="C74" s="22" t="s">
        <v>169</v>
      </c>
      <c r="D74" s="21" t="s">
        <v>106</v>
      </c>
      <c r="E74" s="22" t="s">
        <v>187</v>
      </c>
      <c r="F74" s="21" t="s">
        <v>314</v>
      </c>
      <c r="G74" s="21" t="s">
        <v>315</v>
      </c>
      <c r="H74" s="25" t="s">
        <v>4</v>
      </c>
      <c r="I74" s="4"/>
    </row>
    <row r="75" customFormat="false" ht="15" hidden="false" customHeight="false" outlineLevel="0" collapsed="false">
      <c r="A75" s="21" t="s">
        <v>182</v>
      </c>
      <c r="B75" s="21" t="n">
        <v>5</v>
      </c>
      <c r="C75" s="22" t="s">
        <v>169</v>
      </c>
      <c r="D75" s="21" t="s">
        <v>58</v>
      </c>
      <c r="E75" s="22" t="s">
        <v>188</v>
      </c>
      <c r="F75" s="21" t="s">
        <v>314</v>
      </c>
      <c r="G75" s="21" t="s">
        <v>315</v>
      </c>
      <c r="H75" s="25" t="s">
        <v>4</v>
      </c>
      <c r="I75" s="4"/>
    </row>
    <row r="76" customFormat="false" ht="15" hidden="false" customHeight="false" outlineLevel="0" collapsed="false">
      <c r="A76" s="21" t="s">
        <v>189</v>
      </c>
      <c r="B76" s="21" t="n">
        <v>2</v>
      </c>
      <c r="C76" s="22" t="s">
        <v>115</v>
      </c>
      <c r="D76" s="21" t="s">
        <v>191</v>
      </c>
      <c r="E76" s="22" t="s">
        <v>190</v>
      </c>
      <c r="F76" s="21" t="s">
        <v>312</v>
      </c>
      <c r="G76" s="21" t="s">
        <v>312</v>
      </c>
      <c r="H76" s="25" t="s">
        <v>4</v>
      </c>
      <c r="I76" s="4"/>
    </row>
    <row r="77" customFormat="false" ht="15" hidden="false" customHeight="false" outlineLevel="0" collapsed="false">
      <c r="A77" s="21" t="s">
        <v>189</v>
      </c>
      <c r="B77" s="21" t="n">
        <v>3</v>
      </c>
      <c r="C77" s="22" t="s">
        <v>192</v>
      </c>
      <c r="D77" s="21" t="s">
        <v>194</v>
      </c>
      <c r="E77" s="22" t="s">
        <v>193</v>
      </c>
      <c r="F77" s="21" t="s">
        <v>312</v>
      </c>
      <c r="G77" s="21" t="s">
        <v>312</v>
      </c>
      <c r="H77" s="25" t="s">
        <v>4</v>
      </c>
      <c r="I77" s="4"/>
    </row>
    <row r="78" customFormat="false" ht="15" hidden="false" customHeight="false" outlineLevel="0" collapsed="false">
      <c r="A78" s="21" t="s">
        <v>189</v>
      </c>
      <c r="B78" s="21" t="n">
        <v>4</v>
      </c>
      <c r="C78" s="22" t="s">
        <v>195</v>
      </c>
      <c r="D78" s="21" t="s">
        <v>197</v>
      </c>
      <c r="E78" s="22" t="s">
        <v>196</v>
      </c>
      <c r="F78" s="21" t="s">
        <v>312</v>
      </c>
      <c r="G78" s="21" t="s">
        <v>312</v>
      </c>
      <c r="H78" s="25" t="s">
        <v>4</v>
      </c>
      <c r="I78" s="4"/>
    </row>
    <row r="79" customFormat="false" ht="15" hidden="false" customHeight="false" outlineLevel="0" collapsed="false">
      <c r="A79" s="21" t="s">
        <v>189</v>
      </c>
      <c r="B79" s="21" t="n">
        <v>5</v>
      </c>
      <c r="C79" s="22" t="s">
        <v>195</v>
      </c>
      <c r="D79" s="21" t="s">
        <v>199</v>
      </c>
      <c r="E79" s="22" t="s">
        <v>198</v>
      </c>
      <c r="F79" s="21" t="s">
        <v>312</v>
      </c>
      <c r="G79" s="21" t="s">
        <v>312</v>
      </c>
      <c r="H79" s="25" t="s">
        <v>4</v>
      </c>
      <c r="I79" s="4"/>
    </row>
    <row r="80" customFormat="false" ht="15" hidden="false" customHeight="false" outlineLevel="0" collapsed="false">
      <c r="A80" s="21" t="s">
        <v>200</v>
      </c>
      <c r="B80" s="21" t="n">
        <v>2</v>
      </c>
      <c r="C80" s="22" t="s">
        <v>70</v>
      </c>
      <c r="D80" s="21" t="s">
        <v>202</v>
      </c>
      <c r="E80" s="22" t="s">
        <v>201</v>
      </c>
      <c r="F80" s="21" t="s">
        <v>312</v>
      </c>
      <c r="G80" s="21" t="s">
        <v>312</v>
      </c>
      <c r="H80" s="25" t="s">
        <v>4</v>
      </c>
      <c r="I80" s="4"/>
    </row>
    <row r="81" customFormat="false" ht="15" hidden="false" customHeight="false" outlineLevel="0" collapsed="false">
      <c r="A81" s="21" t="s">
        <v>200</v>
      </c>
      <c r="B81" s="21" t="n">
        <v>3</v>
      </c>
      <c r="C81" s="22" t="s">
        <v>80</v>
      </c>
      <c r="D81" s="21" t="s">
        <v>204</v>
      </c>
      <c r="E81" s="22" t="s">
        <v>203</v>
      </c>
      <c r="F81" s="21" t="s">
        <v>312</v>
      </c>
      <c r="G81" s="21" t="s">
        <v>312</v>
      </c>
      <c r="H81" s="25" t="s">
        <v>4</v>
      </c>
      <c r="I81" s="4"/>
    </row>
    <row r="82" customFormat="false" ht="15" hidden="false" customHeight="false" outlineLevel="0" collapsed="false">
      <c r="A82" s="21" t="s">
        <v>200</v>
      </c>
      <c r="B82" s="21" t="n">
        <v>4</v>
      </c>
      <c r="C82" s="22" t="s">
        <v>107</v>
      </c>
      <c r="D82" s="21" t="s">
        <v>206</v>
      </c>
      <c r="E82" s="22" t="s">
        <v>205</v>
      </c>
      <c r="F82" s="21" t="s">
        <v>312</v>
      </c>
      <c r="G82" s="21" t="s">
        <v>312</v>
      </c>
      <c r="H82" s="25" t="s">
        <v>4</v>
      </c>
      <c r="I82" s="4"/>
    </row>
    <row r="83" customFormat="false" ht="15" hidden="false" customHeight="false" outlineLevel="0" collapsed="false">
      <c r="A83" s="21" t="s">
        <v>200</v>
      </c>
      <c r="B83" s="21" t="n">
        <v>5</v>
      </c>
      <c r="C83" s="22" t="s">
        <v>154</v>
      </c>
      <c r="D83" s="21" t="s">
        <v>208</v>
      </c>
      <c r="E83" s="22" t="s">
        <v>207</v>
      </c>
      <c r="F83" s="21" t="s">
        <v>312</v>
      </c>
      <c r="G83" s="21" t="s">
        <v>312</v>
      </c>
      <c r="H83" s="25" t="s">
        <v>4</v>
      </c>
      <c r="I83" s="4"/>
    </row>
    <row r="84" customFormat="false" ht="15" hidden="false" customHeight="false" outlineLevel="0" collapsed="false">
      <c r="A84" s="21" t="s">
        <v>200</v>
      </c>
      <c r="B84" s="21" t="n">
        <v>6</v>
      </c>
      <c r="C84" s="22" t="s">
        <v>156</v>
      </c>
      <c r="D84" s="21" t="s">
        <v>210</v>
      </c>
      <c r="E84" s="22" t="s">
        <v>209</v>
      </c>
      <c r="F84" s="21" t="s">
        <v>312</v>
      </c>
      <c r="G84" s="21" t="s">
        <v>312</v>
      </c>
      <c r="H84" s="25" t="s">
        <v>4</v>
      </c>
      <c r="I84" s="4"/>
    </row>
    <row r="85" customFormat="false" ht="15" hidden="false" customHeight="false" outlineLevel="0" collapsed="false">
      <c r="A85" s="21" t="s">
        <v>200</v>
      </c>
      <c r="B85" s="21" t="n">
        <v>7</v>
      </c>
      <c r="C85" s="22" t="s">
        <v>211</v>
      </c>
      <c r="D85" s="21" t="s">
        <v>213</v>
      </c>
      <c r="E85" s="22" t="s">
        <v>212</v>
      </c>
      <c r="F85" s="21" t="s">
        <v>312</v>
      </c>
      <c r="G85" s="21" t="s">
        <v>312</v>
      </c>
      <c r="H85" s="25" t="s">
        <v>4</v>
      </c>
      <c r="I85" s="4"/>
    </row>
    <row r="86" customFormat="false" ht="15" hidden="false" customHeight="false" outlineLevel="0" collapsed="false">
      <c r="A86" s="21" t="s">
        <v>214</v>
      </c>
      <c r="B86" s="21" t="n">
        <v>2</v>
      </c>
      <c r="C86" s="22" t="s">
        <v>92</v>
      </c>
      <c r="D86" s="21" t="s">
        <v>216</v>
      </c>
      <c r="E86" s="22" t="s">
        <v>215</v>
      </c>
      <c r="F86" s="21" t="s">
        <v>312</v>
      </c>
      <c r="G86" s="21" t="s">
        <v>312</v>
      </c>
      <c r="H86" s="25" t="s">
        <v>4</v>
      </c>
      <c r="I86" s="4"/>
    </row>
    <row r="87" customFormat="false" ht="15" hidden="false" customHeight="false" outlineLevel="0" collapsed="false">
      <c r="A87" s="21" t="s">
        <v>214</v>
      </c>
      <c r="B87" s="21" t="n">
        <v>3</v>
      </c>
      <c r="C87" s="22" t="s">
        <v>161</v>
      </c>
      <c r="D87" s="21" t="s">
        <v>218</v>
      </c>
      <c r="E87" s="22" t="s">
        <v>217</v>
      </c>
      <c r="F87" s="21" t="s">
        <v>312</v>
      </c>
      <c r="G87" s="21" t="s">
        <v>312</v>
      </c>
      <c r="H87" s="25" t="s">
        <v>4</v>
      </c>
      <c r="I87" s="36" t="s">
        <v>318</v>
      </c>
    </row>
    <row r="88" customFormat="false" ht="15" hidden="false" customHeight="false" outlineLevel="0" collapsed="false">
      <c r="A88" s="21" t="s">
        <v>214</v>
      </c>
      <c r="B88" s="21" t="n">
        <v>4</v>
      </c>
      <c r="C88" s="22" t="s">
        <v>156</v>
      </c>
      <c r="D88" s="21" t="s">
        <v>220</v>
      </c>
      <c r="E88" s="22" t="s">
        <v>219</v>
      </c>
      <c r="F88" s="21" t="s">
        <v>312</v>
      </c>
      <c r="G88" s="21" t="s">
        <v>312</v>
      </c>
      <c r="H88" s="25" t="s">
        <v>4</v>
      </c>
      <c r="I88" s="4"/>
    </row>
    <row r="89" customFormat="false" ht="15" hidden="false" customHeight="false" outlineLevel="0" collapsed="false">
      <c r="A89" s="21" t="s">
        <v>221</v>
      </c>
      <c r="B89" s="21" t="n">
        <v>2</v>
      </c>
      <c r="C89" s="22" t="s">
        <v>222</v>
      </c>
      <c r="D89" s="21" t="s">
        <v>224</v>
      </c>
      <c r="E89" s="22" t="s">
        <v>223</v>
      </c>
      <c r="F89" s="21" t="s">
        <v>312</v>
      </c>
      <c r="G89" s="21" t="s">
        <v>312</v>
      </c>
      <c r="H89" s="25" t="s">
        <v>4</v>
      </c>
      <c r="I89" s="4"/>
    </row>
    <row r="90" customFormat="false" ht="15" hidden="false" customHeight="false" outlineLevel="0" collapsed="false">
      <c r="A90" s="21" t="s">
        <v>221</v>
      </c>
      <c r="B90" s="21" t="n">
        <v>3</v>
      </c>
      <c r="C90" s="22" t="s">
        <v>161</v>
      </c>
      <c r="D90" s="21" t="s">
        <v>226</v>
      </c>
      <c r="E90" s="22" t="s">
        <v>225</v>
      </c>
      <c r="F90" s="21" t="s">
        <v>304</v>
      </c>
      <c r="G90" s="21" t="s">
        <v>304</v>
      </c>
      <c r="H90" s="25" t="s">
        <v>4</v>
      </c>
      <c r="I90" s="36" t="s">
        <v>319</v>
      </c>
    </row>
    <row r="91" customFormat="false" ht="15" hidden="false" customHeight="false" outlineLevel="0" collapsed="false">
      <c r="A91" s="21" t="s">
        <v>221</v>
      </c>
      <c r="B91" s="21" t="n">
        <v>4</v>
      </c>
      <c r="C91" s="22" t="s">
        <v>156</v>
      </c>
      <c r="D91" s="21" t="s">
        <v>226</v>
      </c>
      <c r="E91" s="22" t="s">
        <v>227</v>
      </c>
      <c r="F91" s="21" t="s">
        <v>304</v>
      </c>
      <c r="G91" s="21" t="s">
        <v>304</v>
      </c>
      <c r="H91" s="25" t="s">
        <v>4</v>
      </c>
      <c r="I91" s="4"/>
    </row>
    <row r="92" customFormat="false" ht="15" hidden="false" customHeight="false" outlineLevel="0" collapsed="false">
      <c r="A92" s="21" t="s">
        <v>221</v>
      </c>
      <c r="B92" s="21" t="n">
        <v>5</v>
      </c>
      <c r="C92" s="22" t="s">
        <v>156</v>
      </c>
      <c r="D92" s="21" t="s">
        <v>229</v>
      </c>
      <c r="E92" s="22" t="s">
        <v>228</v>
      </c>
      <c r="F92" s="21" t="s">
        <v>304</v>
      </c>
      <c r="G92" s="21" t="s">
        <v>304</v>
      </c>
      <c r="H92" s="25" t="s">
        <v>4</v>
      </c>
      <c r="I92" s="4"/>
    </row>
    <row r="93" customFormat="false" ht="15" hidden="false" customHeight="false" outlineLevel="0" collapsed="false">
      <c r="A93" s="21" t="s">
        <v>221</v>
      </c>
      <c r="B93" s="21" t="n">
        <v>6</v>
      </c>
      <c r="C93" s="22" t="s">
        <v>211</v>
      </c>
      <c r="D93" s="21" t="s">
        <v>231</v>
      </c>
      <c r="E93" s="22" t="s">
        <v>230</v>
      </c>
      <c r="F93" s="21" t="s">
        <v>304</v>
      </c>
      <c r="G93" s="21" t="s">
        <v>304</v>
      </c>
      <c r="H93" s="25" t="s">
        <v>4</v>
      </c>
      <c r="I93" s="4"/>
    </row>
    <row r="94" customFormat="false" ht="15" hidden="false" customHeight="false" outlineLevel="0" collapsed="false">
      <c r="A94" s="21" t="s">
        <v>221</v>
      </c>
      <c r="B94" s="21" t="n">
        <v>7</v>
      </c>
      <c r="C94" s="22" t="s">
        <v>165</v>
      </c>
      <c r="D94" s="21" t="s">
        <v>226</v>
      </c>
      <c r="E94" s="22" t="s">
        <v>232</v>
      </c>
      <c r="F94" s="21" t="s">
        <v>304</v>
      </c>
      <c r="G94" s="21" t="s">
        <v>304</v>
      </c>
      <c r="H94" s="25" t="s">
        <v>4</v>
      </c>
      <c r="I94" s="4"/>
    </row>
    <row r="95" customFormat="false" ht="15" hidden="false" customHeight="false" outlineLevel="0" collapsed="false">
      <c r="A95" s="21" t="s">
        <v>221</v>
      </c>
      <c r="B95" s="21" t="n">
        <v>8</v>
      </c>
      <c r="C95" s="22" t="s">
        <v>165</v>
      </c>
      <c r="D95" s="21" t="s">
        <v>234</v>
      </c>
      <c r="E95" s="22" t="s">
        <v>233</v>
      </c>
      <c r="F95" s="21" t="s">
        <v>304</v>
      </c>
      <c r="G95" s="21" t="s">
        <v>304</v>
      </c>
      <c r="H95" s="25" t="s">
        <v>4</v>
      </c>
      <c r="I95" s="4"/>
    </row>
    <row r="96" customFormat="false" ht="15" hidden="false" customHeight="false" outlineLevel="0" collapsed="false">
      <c r="A96" s="21" t="s">
        <v>221</v>
      </c>
      <c r="B96" s="21" t="n">
        <v>9</v>
      </c>
      <c r="C96" s="22" t="s">
        <v>148</v>
      </c>
      <c r="D96" s="21" t="s">
        <v>236</v>
      </c>
      <c r="E96" s="22" t="s">
        <v>235</v>
      </c>
      <c r="F96" s="21" t="s">
        <v>304</v>
      </c>
      <c r="G96" s="21" t="s">
        <v>304</v>
      </c>
      <c r="H96" s="25" t="s">
        <v>4</v>
      </c>
      <c r="I96" s="4"/>
    </row>
    <row r="97" customFormat="false" ht="15" hidden="false" customHeight="false" outlineLevel="0" collapsed="false">
      <c r="A97" s="21" t="s">
        <v>240</v>
      </c>
      <c r="B97" s="21" t="n">
        <v>2</v>
      </c>
      <c r="C97" s="22" t="s">
        <v>192</v>
      </c>
      <c r="D97" s="21" t="s">
        <v>242</v>
      </c>
      <c r="E97" s="22" t="s">
        <v>241</v>
      </c>
      <c r="F97" s="21" t="s">
        <v>312</v>
      </c>
      <c r="G97" s="21" t="s">
        <v>312</v>
      </c>
      <c r="H97" s="25" t="s">
        <v>4</v>
      </c>
      <c r="I97" s="4"/>
    </row>
    <row r="98" customFormat="false" ht="15" hidden="false" customHeight="false" outlineLevel="0" collapsed="false">
      <c r="A98" s="21" t="s">
        <v>240</v>
      </c>
      <c r="B98" s="21" t="n">
        <v>3</v>
      </c>
      <c r="C98" s="22" t="s">
        <v>139</v>
      </c>
      <c r="D98" s="21" t="s">
        <v>245</v>
      </c>
      <c r="E98" s="22" t="s">
        <v>244</v>
      </c>
      <c r="F98" s="21" t="s">
        <v>312</v>
      </c>
      <c r="G98" s="21" t="s">
        <v>312</v>
      </c>
      <c r="H98" s="25" t="s">
        <v>4</v>
      </c>
      <c r="I98" s="4"/>
    </row>
    <row r="99" customFormat="false" ht="15" hidden="false" customHeight="false" outlineLevel="0" collapsed="false">
      <c r="A99" s="21" t="s">
        <v>240</v>
      </c>
      <c r="B99" s="21" t="n">
        <v>4</v>
      </c>
      <c r="C99" s="22" t="s">
        <v>211</v>
      </c>
      <c r="D99" s="21" t="s">
        <v>247</v>
      </c>
      <c r="E99" s="22" t="s">
        <v>246</v>
      </c>
      <c r="F99" s="21" t="s">
        <v>312</v>
      </c>
      <c r="G99" s="21" t="s">
        <v>312</v>
      </c>
      <c r="H99" s="25" t="s">
        <v>4</v>
      </c>
      <c r="I99" s="4"/>
    </row>
    <row r="100" customFormat="false" ht="15" hidden="false" customHeight="false" outlineLevel="0" collapsed="false">
      <c r="A100" s="21" t="s">
        <v>240</v>
      </c>
      <c r="B100" s="21" t="n">
        <v>5</v>
      </c>
      <c r="C100" s="22" t="s">
        <v>148</v>
      </c>
      <c r="D100" s="21" t="s">
        <v>249</v>
      </c>
      <c r="E100" s="22" t="s">
        <v>248</v>
      </c>
      <c r="F100" s="21" t="s">
        <v>304</v>
      </c>
      <c r="G100" s="21" t="s">
        <v>304</v>
      </c>
      <c r="H100" s="25" t="s">
        <v>4</v>
      </c>
      <c r="I100" s="4"/>
    </row>
    <row r="101" customFormat="false" ht="15" hidden="false" customHeight="false" outlineLevel="0" collapsed="false">
      <c r="A101" s="21" t="s">
        <v>250</v>
      </c>
      <c r="B101" s="21" t="n">
        <v>2</v>
      </c>
      <c r="C101" s="22" t="s">
        <v>107</v>
      </c>
      <c r="D101" s="21" t="s">
        <v>252</v>
      </c>
      <c r="E101" s="22" t="s">
        <v>251</v>
      </c>
      <c r="F101" s="21" t="s">
        <v>312</v>
      </c>
      <c r="G101" s="21" t="s">
        <v>312</v>
      </c>
      <c r="H101" s="25" t="s">
        <v>4</v>
      </c>
      <c r="I101" s="4"/>
    </row>
    <row r="102" customFormat="false" ht="15" hidden="false" customHeight="false" outlineLevel="0" collapsed="false">
      <c r="A102" s="21" t="s">
        <v>253</v>
      </c>
      <c r="B102" s="21" t="n">
        <v>2</v>
      </c>
      <c r="C102" s="22" t="s">
        <v>195</v>
      </c>
      <c r="D102" s="21" t="s">
        <v>255</v>
      </c>
      <c r="E102" s="22" t="s">
        <v>254</v>
      </c>
      <c r="F102" s="21" t="s">
        <v>312</v>
      </c>
      <c r="G102" s="21" t="s">
        <v>312</v>
      </c>
      <c r="H102" s="25" t="s">
        <v>4</v>
      </c>
      <c r="I102" s="4"/>
    </row>
  </sheetData>
  <autoFilter ref="A1:I1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"/>
    <col collapsed="false" customWidth="true" hidden="false" outlineLevel="0" max="3" min="3" style="0" width="17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10" min="9" style="0" width="11"/>
    <col collapsed="false" customWidth="true" hidden="false" outlineLevel="0" max="11" min="11" style="0" width="7"/>
    <col collapsed="false" customWidth="true" hidden="false" outlineLevel="0" max="13" min="12" style="0" width="11"/>
    <col collapsed="false" customWidth="true" hidden="false" outlineLevel="0" max="14" min="14" style="0" width="7"/>
    <col collapsed="false" customWidth="true" hidden="false" outlineLevel="0" max="16" min="15" style="0" width="11"/>
    <col collapsed="false" customWidth="true" hidden="false" outlineLevel="0" max="17" min="17" style="0" width="7"/>
    <col collapsed="false" customWidth="true" hidden="false" outlineLevel="0" max="19" min="18" style="0" width="11"/>
    <col collapsed="false" customWidth="true" hidden="false" outlineLevel="0" max="20" min="20" style="0" width="7"/>
    <col collapsed="false" customWidth="true" hidden="false" outlineLevel="0" max="22" min="21" style="0" width="11"/>
    <col collapsed="false" customWidth="true" hidden="false" outlineLevel="0" max="23" min="23" style="0" width="7"/>
    <col collapsed="false" customWidth="true" hidden="false" outlineLevel="0" max="25" min="24" style="0" width="11"/>
    <col collapsed="false" customWidth="true" hidden="false" outlineLevel="0" max="26" min="26" style="0" width="7"/>
    <col collapsed="false" customWidth="true" hidden="false" outlineLevel="0" max="28" min="27" style="0" width="11"/>
    <col collapsed="false" customWidth="true" hidden="false" outlineLevel="0" max="29" min="29" style="0" width="7"/>
    <col collapsed="false" customWidth="true" hidden="false" outlineLevel="0" max="31" min="30" style="0" width="11"/>
    <col collapsed="false" customWidth="true" hidden="false" outlineLevel="0" max="32" min="32" style="0" width="7"/>
    <col collapsed="false" customWidth="true" hidden="false" outlineLevel="0" max="34" min="33" style="0" width="11"/>
    <col collapsed="false" customWidth="true" hidden="false" outlineLevel="0" max="35" min="35" style="0" width="7"/>
    <col collapsed="false" customWidth="true" hidden="false" outlineLevel="0" max="36" min="36" style="0" width="40"/>
  </cols>
  <sheetData>
    <row r="1" customFormat="false" ht="42" hidden="false" customHeight="true" outlineLevel="0" collapsed="false">
      <c r="A1" s="2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Format="false" ht="43.5" hidden="false" customHeight="true" outlineLevel="0" collapsed="false">
      <c r="A2" s="3" t="s">
        <v>45</v>
      </c>
      <c r="B2" s="3" t="s">
        <v>46</v>
      </c>
      <c r="C2" s="3" t="s">
        <v>50</v>
      </c>
      <c r="D2" s="3" t="s">
        <v>11</v>
      </c>
      <c r="E2" s="3" t="s">
        <v>321</v>
      </c>
      <c r="F2" s="3" t="s">
        <v>322</v>
      </c>
      <c r="G2" s="3" t="s">
        <v>323</v>
      </c>
      <c r="H2" s="3" t="s">
        <v>324</v>
      </c>
      <c r="I2" s="38" t="s">
        <v>325</v>
      </c>
      <c r="J2" s="20" t="s">
        <v>326</v>
      </c>
      <c r="K2" s="39" t="s">
        <v>327</v>
      </c>
      <c r="L2" s="38" t="s">
        <v>328</v>
      </c>
      <c r="M2" s="20" t="s">
        <v>329</v>
      </c>
      <c r="N2" s="39" t="s">
        <v>327</v>
      </c>
      <c r="O2" s="38" t="s">
        <v>330</v>
      </c>
      <c r="P2" s="20" t="s">
        <v>331</v>
      </c>
      <c r="Q2" s="39" t="s">
        <v>327</v>
      </c>
      <c r="R2" s="38" t="s">
        <v>332</v>
      </c>
      <c r="S2" s="20" t="s">
        <v>333</v>
      </c>
      <c r="T2" s="39" t="s">
        <v>327</v>
      </c>
      <c r="U2" s="38" t="s">
        <v>334</v>
      </c>
      <c r="V2" s="20" t="s">
        <v>335</v>
      </c>
      <c r="W2" s="39" t="s">
        <v>327</v>
      </c>
      <c r="X2" s="38" t="s">
        <v>336</v>
      </c>
      <c r="Y2" s="20" t="s">
        <v>337</v>
      </c>
      <c r="Z2" s="39" t="s">
        <v>327</v>
      </c>
      <c r="AA2" s="38" t="s">
        <v>338</v>
      </c>
      <c r="AB2" s="20" t="s">
        <v>339</v>
      </c>
      <c r="AC2" s="39" t="s">
        <v>327</v>
      </c>
      <c r="AD2" s="38" t="s">
        <v>340</v>
      </c>
      <c r="AE2" s="20" t="s">
        <v>341</v>
      </c>
      <c r="AF2" s="39" t="s">
        <v>327</v>
      </c>
      <c r="AG2" s="38" t="s">
        <v>342</v>
      </c>
      <c r="AH2" s="20" t="s">
        <v>343</v>
      </c>
      <c r="AI2" s="39" t="s">
        <v>327</v>
      </c>
      <c r="AJ2" s="3" t="s">
        <v>23</v>
      </c>
    </row>
    <row r="3" customFormat="false" ht="55.2" hidden="false" customHeight="false" outlineLevel="0" collapsed="false">
      <c r="A3" s="21" t="s">
        <v>55</v>
      </c>
      <c r="B3" s="21" t="n">
        <v>2</v>
      </c>
      <c r="C3" s="21" t="s">
        <v>58</v>
      </c>
      <c r="D3" s="22" t="s">
        <v>57</v>
      </c>
      <c r="E3" s="21" t="s">
        <v>312</v>
      </c>
      <c r="F3" s="21" t="s">
        <v>263</v>
      </c>
      <c r="G3" s="23" t="n">
        <v>73.58</v>
      </c>
      <c r="H3" s="4" t="s">
        <v>344</v>
      </c>
      <c r="I3" s="40" t="n">
        <v>168498.2</v>
      </c>
      <c r="J3" s="41" t="n">
        <v>168498.2</v>
      </c>
      <c r="K3" s="24" t="n">
        <f aca="false">J3-I3</f>
        <v>0</v>
      </c>
      <c r="L3" s="40" t="n">
        <v>1692.34</v>
      </c>
      <c r="M3" s="41" t="n">
        <v>1692.34</v>
      </c>
      <c r="N3" s="24" t="n">
        <f aca="false">M3-L3</f>
        <v>0</v>
      </c>
      <c r="O3" s="40" t="n">
        <v>166805.86</v>
      </c>
      <c r="P3" s="41" t="n">
        <v>166805.86</v>
      </c>
      <c r="Q3" s="24" t="n">
        <f aca="false">P3-O3</f>
        <v>0</v>
      </c>
      <c r="R3" s="40" t="n">
        <v>144908</v>
      </c>
      <c r="S3" s="41" t="n">
        <v>144908.452</v>
      </c>
      <c r="T3" s="24" t="n">
        <f aca="false">S3-R3</f>
        <v>0.451999999990221</v>
      </c>
      <c r="U3" s="40" t="n">
        <v>144287.0689</v>
      </c>
      <c r="V3" s="41" t="n">
        <v>144287.0689</v>
      </c>
      <c r="W3" s="24" t="n">
        <f aca="false">V3-U3</f>
        <v>0</v>
      </c>
      <c r="X3" s="40" t="n">
        <v>620.931099999987</v>
      </c>
      <c r="Y3" s="41" t="n">
        <v>621.383100000006</v>
      </c>
      <c r="Z3" s="24" t="n">
        <f aca="false">Y3-X3</f>
        <v>0.452000000019325</v>
      </c>
      <c r="AA3" s="40" t="n">
        <v>1471.6</v>
      </c>
      <c r="AB3" s="41" t="n">
        <v>1471.6</v>
      </c>
      <c r="AC3" s="24" t="n">
        <f aca="false">AB3-AA3</f>
        <v>0</v>
      </c>
      <c r="AD3" s="40" t="n">
        <v>367.9</v>
      </c>
      <c r="AE3" s="41" t="n">
        <v>367.9</v>
      </c>
      <c r="AF3" s="24" t="n">
        <f aca="false">AE3-AD3</f>
        <v>0</v>
      </c>
      <c r="AG3" s="40" t="n">
        <v>482.768899999984</v>
      </c>
      <c r="AH3" s="41" t="n">
        <v>482.316899999994</v>
      </c>
      <c r="AI3" s="24" t="n">
        <f aca="false">AH3-AG3</f>
        <v>-0.451999999990392</v>
      </c>
      <c r="AJ3" s="4"/>
    </row>
    <row r="4" customFormat="false" ht="55.2" hidden="false" customHeight="false" outlineLevel="0" collapsed="false">
      <c r="A4" s="21" t="s">
        <v>55</v>
      </c>
      <c r="B4" s="21" t="n">
        <v>3</v>
      </c>
      <c r="C4" s="21" t="s">
        <v>61</v>
      </c>
      <c r="D4" s="22" t="s">
        <v>60</v>
      </c>
      <c r="E4" s="21" t="s">
        <v>312</v>
      </c>
      <c r="F4" s="21" t="s">
        <v>263</v>
      </c>
      <c r="G4" s="23" t="n">
        <v>34.8</v>
      </c>
      <c r="H4" s="4" t="s">
        <v>344</v>
      </c>
      <c r="I4" s="40" t="n">
        <v>84564</v>
      </c>
      <c r="J4" s="41" t="n">
        <v>84564</v>
      </c>
      <c r="K4" s="24" t="n">
        <f aca="false">J4-I4</f>
        <v>0</v>
      </c>
      <c r="L4" s="40" t="n">
        <v>800.4</v>
      </c>
      <c r="M4" s="41" t="n">
        <v>800.4</v>
      </c>
      <c r="N4" s="24" t="n">
        <f aca="false">M4-L4</f>
        <v>0</v>
      </c>
      <c r="O4" s="40" t="n">
        <v>83763.6</v>
      </c>
      <c r="P4" s="41" t="n">
        <v>83763.6</v>
      </c>
      <c r="Q4" s="24" t="n">
        <f aca="false">P4-O4</f>
        <v>0</v>
      </c>
      <c r="R4" s="40" t="n">
        <v>72725</v>
      </c>
      <c r="S4" s="41" t="n">
        <v>72725.04</v>
      </c>
      <c r="T4" s="24" t="n">
        <f aca="false">S4-R4</f>
        <v>0.0399999999935972</v>
      </c>
      <c r="U4" s="40" t="n">
        <v>72455.514</v>
      </c>
      <c r="V4" s="41" t="n">
        <v>72455.514</v>
      </c>
      <c r="W4" s="24" t="n">
        <f aca="false">V4-U4</f>
        <v>0</v>
      </c>
      <c r="X4" s="40" t="n">
        <v>269.48599999999</v>
      </c>
      <c r="Y4" s="41" t="n">
        <v>269.525999999984</v>
      </c>
      <c r="Z4" s="24" t="n">
        <f aca="false">Y4-X4</f>
        <v>0.039999999993654</v>
      </c>
      <c r="AA4" s="40" t="n">
        <v>696</v>
      </c>
      <c r="AB4" s="41" t="n">
        <v>696</v>
      </c>
      <c r="AC4" s="24" t="n">
        <f aca="false">AB4-AA4</f>
        <v>0</v>
      </c>
      <c r="AD4" s="40" t="n">
        <v>174</v>
      </c>
      <c r="AE4" s="41" t="n">
        <v>174</v>
      </c>
      <c r="AF4" s="24" t="n">
        <f aca="false">AE4-AD4</f>
        <v>0</v>
      </c>
      <c r="AG4" s="40" t="n">
        <v>252.51400000001</v>
      </c>
      <c r="AH4" s="41" t="n">
        <v>252.474000000017</v>
      </c>
      <c r="AI4" s="24" t="n">
        <f aca="false">AH4-AG4</f>
        <v>-0.0399999999934835</v>
      </c>
      <c r="AJ4" s="4"/>
    </row>
    <row r="5" customFormat="false" ht="55.2" hidden="false" customHeight="false" outlineLevel="0" collapsed="false">
      <c r="A5" s="21" t="s">
        <v>55</v>
      </c>
      <c r="B5" s="21" t="n">
        <v>4</v>
      </c>
      <c r="C5" s="21" t="s">
        <v>58</v>
      </c>
      <c r="D5" s="22" t="s">
        <v>63</v>
      </c>
      <c r="E5" s="21" t="s">
        <v>312</v>
      </c>
      <c r="F5" s="21" t="s">
        <v>263</v>
      </c>
      <c r="G5" s="23" t="n">
        <v>81.16</v>
      </c>
      <c r="H5" s="4" t="s">
        <v>344</v>
      </c>
      <c r="I5" s="40" t="n">
        <v>201276.8</v>
      </c>
      <c r="J5" s="41" t="n">
        <v>201276.8</v>
      </c>
      <c r="K5" s="24" t="n">
        <f aca="false">J5-I5</f>
        <v>0</v>
      </c>
      <c r="L5" s="40" t="n">
        <v>1866.68</v>
      </c>
      <c r="M5" s="41" t="n">
        <v>1866.68</v>
      </c>
      <c r="N5" s="24" t="n">
        <f aca="false">M5-L5</f>
        <v>0</v>
      </c>
      <c r="O5" s="40" t="n">
        <v>199410.12</v>
      </c>
      <c r="P5" s="41" t="n">
        <v>199410.12</v>
      </c>
      <c r="Q5" s="24" t="n">
        <f aca="false">P5-O5</f>
        <v>0</v>
      </c>
      <c r="R5" s="40" t="n">
        <v>173099</v>
      </c>
      <c r="S5" s="41" t="n">
        <v>173098.048</v>
      </c>
      <c r="T5" s="24" t="n">
        <f aca="false">S5-R5</f>
        <v>-0.951999999990221</v>
      </c>
      <c r="U5" s="40" t="n">
        <v>172489.7538</v>
      </c>
      <c r="V5" s="41" t="n">
        <v>172489.7538</v>
      </c>
      <c r="W5" s="24" t="n">
        <f aca="false">V5-U5</f>
        <v>0</v>
      </c>
      <c r="X5" s="40" t="n">
        <v>609.246199999994</v>
      </c>
      <c r="Y5" s="41" t="n">
        <v>608.294199999975</v>
      </c>
      <c r="Z5" s="24" t="n">
        <f aca="false">Y5-X5</f>
        <v>-0.952000000019325</v>
      </c>
      <c r="AA5" s="40" t="n">
        <v>1623.2</v>
      </c>
      <c r="AB5" s="41" t="n">
        <v>1623.2</v>
      </c>
      <c r="AC5" s="24" t="n">
        <f aca="false">AB5-AA5</f>
        <v>0</v>
      </c>
      <c r="AD5" s="40" t="n">
        <v>405.8</v>
      </c>
      <c r="AE5" s="41" t="n">
        <v>405.8</v>
      </c>
      <c r="AF5" s="24" t="n">
        <f aca="false">AE5-AD5</f>
        <v>0</v>
      </c>
      <c r="AG5" s="40" t="n">
        <v>608.153800000006</v>
      </c>
      <c r="AH5" s="41" t="n">
        <v>609.105800000025</v>
      </c>
      <c r="AI5" s="24" t="n">
        <f aca="false">AH5-AG5</f>
        <v>0.952000000019098</v>
      </c>
      <c r="AJ5" s="4"/>
    </row>
    <row r="6" customFormat="false" ht="55.2" hidden="false" customHeight="false" outlineLevel="0" collapsed="false">
      <c r="A6" s="21" t="s">
        <v>55</v>
      </c>
      <c r="B6" s="21" t="n">
        <v>5</v>
      </c>
      <c r="C6" s="21" t="s">
        <v>65</v>
      </c>
      <c r="D6" s="22" t="s">
        <v>64</v>
      </c>
      <c r="E6" s="21" t="s">
        <v>312</v>
      </c>
      <c r="F6" s="21" t="s">
        <v>263</v>
      </c>
      <c r="G6" s="23" t="n">
        <v>36.36</v>
      </c>
      <c r="H6" s="4" t="s">
        <v>344</v>
      </c>
      <c r="I6" s="40" t="n">
        <v>83264.4</v>
      </c>
      <c r="J6" s="41" t="n">
        <v>83264.4</v>
      </c>
      <c r="K6" s="24" t="n">
        <f aca="false">J6-I6</f>
        <v>0</v>
      </c>
      <c r="L6" s="40" t="n">
        <v>836.28</v>
      </c>
      <c r="M6" s="41" t="n">
        <v>836.28</v>
      </c>
      <c r="N6" s="24" t="n">
        <f aca="false">M6-L6</f>
        <v>0</v>
      </c>
      <c r="O6" s="40" t="n">
        <v>82428.12</v>
      </c>
      <c r="P6" s="41" t="n">
        <v>82428.12</v>
      </c>
      <c r="Q6" s="24" t="n">
        <f aca="false">P6-O6</f>
        <v>0</v>
      </c>
      <c r="R6" s="40" t="n">
        <v>71607</v>
      </c>
      <c r="S6" s="41" t="n">
        <v>71607.384</v>
      </c>
      <c r="T6" s="24" t="n">
        <f aca="false">S6-R6</f>
        <v>0.38399999999092</v>
      </c>
      <c r="U6" s="40" t="n">
        <v>71300.3238</v>
      </c>
      <c r="V6" s="41" t="n">
        <v>71300.3238</v>
      </c>
      <c r="W6" s="24" t="n">
        <f aca="false">V6-U6</f>
        <v>0</v>
      </c>
      <c r="X6" s="40" t="n">
        <v>306.676200000002</v>
      </c>
      <c r="Y6" s="41" t="n">
        <v>307.060199999993</v>
      </c>
      <c r="Z6" s="24" t="n">
        <f aca="false">Y6-X6</f>
        <v>0.38399999999092</v>
      </c>
      <c r="AA6" s="40" t="n">
        <v>727.2</v>
      </c>
      <c r="AB6" s="41" t="n">
        <v>727.2</v>
      </c>
      <c r="AC6" s="24" t="n">
        <f aca="false">AB6-AA6</f>
        <v>0</v>
      </c>
      <c r="AD6" s="40" t="n">
        <v>181.8</v>
      </c>
      <c r="AE6" s="41" t="n">
        <v>181.8</v>
      </c>
      <c r="AF6" s="24" t="n">
        <f aca="false">AE6-AD6</f>
        <v>0</v>
      </c>
      <c r="AG6" s="40" t="n">
        <v>238.723799999998</v>
      </c>
      <c r="AH6" s="41" t="n">
        <v>238.339800000007</v>
      </c>
      <c r="AI6" s="24" t="n">
        <f aca="false">AH6-AG6</f>
        <v>-0.383999999990607</v>
      </c>
      <c r="AJ6" s="4"/>
    </row>
    <row r="7" customFormat="false" ht="55.2" hidden="false" customHeight="false" outlineLevel="0" collapsed="false">
      <c r="A7" s="21" t="s">
        <v>55</v>
      </c>
      <c r="B7" s="21" t="n">
        <v>6</v>
      </c>
      <c r="C7" s="21" t="s">
        <v>67</v>
      </c>
      <c r="D7" s="22" t="s">
        <v>66</v>
      </c>
      <c r="E7" s="21" t="s">
        <v>312</v>
      </c>
      <c r="F7" s="21" t="s">
        <v>263</v>
      </c>
      <c r="G7" s="23" t="n">
        <v>32.94</v>
      </c>
      <c r="H7" s="4" t="s">
        <v>344</v>
      </c>
      <c r="I7" s="40" t="n">
        <v>75432.6</v>
      </c>
      <c r="J7" s="41" t="n">
        <v>75432.6</v>
      </c>
      <c r="K7" s="24" t="n">
        <f aca="false">J7-I7</f>
        <v>0</v>
      </c>
      <c r="L7" s="40" t="n">
        <v>757.62</v>
      </c>
      <c r="M7" s="41" t="n">
        <v>757.62</v>
      </c>
      <c r="N7" s="24" t="n">
        <f aca="false">M7-L7</f>
        <v>0</v>
      </c>
      <c r="O7" s="40" t="n">
        <v>74674.98</v>
      </c>
      <c r="P7" s="41" t="n">
        <v>74674.98</v>
      </c>
      <c r="Q7" s="24" t="n">
        <f aca="false">P7-O7</f>
        <v>0</v>
      </c>
      <c r="R7" s="40" t="n">
        <v>64872</v>
      </c>
      <c r="S7" s="41" t="n">
        <v>64872.036</v>
      </c>
      <c r="T7" s="24" t="n">
        <f aca="false">S7-R7</f>
        <v>0.0360000000073342</v>
      </c>
      <c r="U7" s="40" t="n">
        <v>64593.8577</v>
      </c>
      <c r="V7" s="41" t="n">
        <v>64593.8577</v>
      </c>
      <c r="W7" s="24" t="n">
        <f aca="false">V7-U7</f>
        <v>0</v>
      </c>
      <c r="X7" s="40" t="n">
        <v>278.142299999992</v>
      </c>
      <c r="Y7" s="41" t="n">
        <v>278.1783</v>
      </c>
      <c r="Z7" s="24" t="n">
        <f aca="false">Y7-X7</f>
        <v>0.036000000007391</v>
      </c>
      <c r="AA7" s="40" t="n">
        <v>658.8</v>
      </c>
      <c r="AB7" s="41" t="n">
        <v>658.8</v>
      </c>
      <c r="AC7" s="24" t="n">
        <f aca="false">AB7-AA7</f>
        <v>0</v>
      </c>
      <c r="AD7" s="40" t="n">
        <v>164.7</v>
      </c>
      <c r="AE7" s="41" t="n">
        <v>164.7</v>
      </c>
      <c r="AF7" s="24" t="n">
        <f aca="false">AE7-AD7</f>
        <v>0</v>
      </c>
      <c r="AG7" s="40" t="n">
        <v>215.957699999993</v>
      </c>
      <c r="AH7" s="41" t="n">
        <v>215.9217</v>
      </c>
      <c r="AI7" s="24" t="n">
        <f aca="false">AH7-AG7</f>
        <v>-0.0359999999925833</v>
      </c>
      <c r="AJ7" s="4"/>
    </row>
    <row r="8" customFormat="false" ht="55.2" hidden="false" customHeight="false" outlineLevel="0" collapsed="false">
      <c r="A8" s="21" t="s">
        <v>55</v>
      </c>
      <c r="B8" s="21" t="n">
        <v>7</v>
      </c>
      <c r="C8" s="21" t="s">
        <v>69</v>
      </c>
      <c r="D8" s="22" t="s">
        <v>68</v>
      </c>
      <c r="E8" s="21" t="s">
        <v>312</v>
      </c>
      <c r="F8" s="21" t="s">
        <v>263</v>
      </c>
      <c r="G8" s="23" t="n">
        <v>24.41</v>
      </c>
      <c r="H8" s="4" t="s">
        <v>344</v>
      </c>
      <c r="I8" s="40" t="n">
        <v>59023.38</v>
      </c>
      <c r="J8" s="41" t="n">
        <v>59023.38</v>
      </c>
      <c r="K8" s="24" t="n">
        <f aca="false">J8-I8</f>
        <v>0</v>
      </c>
      <c r="L8" s="40" t="n">
        <v>561.43</v>
      </c>
      <c r="M8" s="41" t="n">
        <v>561.43</v>
      </c>
      <c r="N8" s="24" t="n">
        <f aca="false">M8-L8</f>
        <v>0</v>
      </c>
      <c r="O8" s="40" t="n">
        <v>58461.95</v>
      </c>
      <c r="P8" s="41" t="n">
        <v>58461.95</v>
      </c>
      <c r="Q8" s="24" t="n">
        <f aca="false">P8-O8</f>
        <v>0</v>
      </c>
      <c r="R8" s="40" t="n">
        <v>50760</v>
      </c>
      <c r="S8" s="41" t="n">
        <v>50760.1068</v>
      </c>
      <c r="T8" s="24" t="n">
        <f aca="false">S8-R8</f>
        <v>0.106800000001385</v>
      </c>
      <c r="U8" s="40" t="n">
        <v>50569.58675</v>
      </c>
      <c r="V8" s="41" t="n">
        <v>50569.58675</v>
      </c>
      <c r="W8" s="24" t="n">
        <f aca="false">V8-U8</f>
        <v>0</v>
      </c>
      <c r="X8" s="40" t="n">
        <v>190.413250000005</v>
      </c>
      <c r="Y8" s="41" t="n">
        <v>190.520049999999</v>
      </c>
      <c r="Z8" s="24" t="n">
        <f aca="false">Y8-X8</f>
        <v>0.106799999994109</v>
      </c>
      <c r="AA8" s="40" t="n">
        <v>488.2</v>
      </c>
      <c r="AB8" s="41" t="n">
        <v>488.2</v>
      </c>
      <c r="AC8" s="24" t="n">
        <f aca="false">AB8-AA8</f>
        <v>0</v>
      </c>
      <c r="AD8" s="40" t="n">
        <v>122.05</v>
      </c>
      <c r="AE8" s="41" t="n">
        <v>122.05</v>
      </c>
      <c r="AF8" s="24" t="n">
        <f aca="false">AE8-AD8</f>
        <v>0</v>
      </c>
      <c r="AG8" s="40" t="n">
        <v>175.736749999995</v>
      </c>
      <c r="AH8" s="41" t="n">
        <v>175.629950000001</v>
      </c>
      <c r="AI8" s="24" t="n">
        <f aca="false">AH8-AG8</f>
        <v>-0.106799999994195</v>
      </c>
      <c r="AJ8" s="4"/>
    </row>
    <row r="9" customFormat="false" ht="55.2" hidden="false" customHeight="false" outlineLevel="0" collapsed="false">
      <c r="A9" s="21" t="s">
        <v>55</v>
      </c>
      <c r="B9" s="21" t="n">
        <v>8</v>
      </c>
      <c r="C9" s="21" t="s">
        <v>58</v>
      </c>
      <c r="D9" s="22" t="s">
        <v>71</v>
      </c>
      <c r="E9" s="21" t="s">
        <v>312</v>
      </c>
      <c r="F9" s="21" t="s">
        <v>263</v>
      </c>
      <c r="G9" s="23" t="n">
        <v>69.5</v>
      </c>
      <c r="H9" s="4" t="s">
        <v>344</v>
      </c>
      <c r="I9" s="40" t="n">
        <v>159155</v>
      </c>
      <c r="J9" s="41" t="n">
        <v>159155</v>
      </c>
      <c r="K9" s="24" t="n">
        <f aca="false">J9-I9</f>
        <v>0</v>
      </c>
      <c r="L9" s="40" t="n">
        <v>1598.5</v>
      </c>
      <c r="M9" s="41" t="n">
        <v>1598.5</v>
      </c>
      <c r="N9" s="24" t="n">
        <f aca="false">M9-L9</f>
        <v>0</v>
      </c>
      <c r="O9" s="40" t="n">
        <v>157556.5</v>
      </c>
      <c r="P9" s="41" t="n">
        <v>157556.5</v>
      </c>
      <c r="Q9" s="24" t="n">
        <f aca="false">P9-O9</f>
        <v>0</v>
      </c>
      <c r="R9" s="40" t="n">
        <v>136873</v>
      </c>
      <c r="S9" s="41" t="n">
        <v>136873.3</v>
      </c>
      <c r="T9" s="24" t="n">
        <f aca="false">S9-R9</f>
        <v>0.299999999988358</v>
      </c>
      <c r="U9" s="40" t="n">
        <v>136286.3725</v>
      </c>
      <c r="V9" s="41" t="n">
        <v>136286.3725</v>
      </c>
      <c r="W9" s="24" t="n">
        <f aca="false">V9-U9</f>
        <v>0</v>
      </c>
      <c r="X9" s="40" t="n">
        <v>586.627500000002</v>
      </c>
      <c r="Y9" s="41" t="n">
        <v>586.927499999991</v>
      </c>
      <c r="Z9" s="24" t="n">
        <f aca="false">Y9-X9</f>
        <v>0.299999999988358</v>
      </c>
      <c r="AA9" s="40" t="n">
        <v>1390</v>
      </c>
      <c r="AB9" s="41" t="n">
        <v>1390</v>
      </c>
      <c r="AC9" s="24" t="n">
        <f aca="false">AB9-AA9</f>
        <v>0</v>
      </c>
      <c r="AD9" s="40" t="n">
        <v>347.5</v>
      </c>
      <c r="AE9" s="41" t="n">
        <v>347.5</v>
      </c>
      <c r="AF9" s="24" t="n">
        <f aca="false">AE9-AD9</f>
        <v>0</v>
      </c>
      <c r="AG9" s="40" t="n">
        <v>455.872499999998</v>
      </c>
      <c r="AH9" s="41" t="n">
        <v>455.572500000009</v>
      </c>
      <c r="AI9" s="24" t="n">
        <f aca="false">AH9-AG9</f>
        <v>-0.2999999999887</v>
      </c>
      <c r="AJ9" s="4"/>
    </row>
    <row r="10" customFormat="false" ht="55.2" hidden="false" customHeight="false" outlineLevel="0" collapsed="false">
      <c r="A10" s="21" t="s">
        <v>55</v>
      </c>
      <c r="B10" s="21" t="n">
        <v>9</v>
      </c>
      <c r="C10" s="21" t="s">
        <v>73</v>
      </c>
      <c r="D10" s="22" t="s">
        <v>72</v>
      </c>
      <c r="E10" s="21" t="s">
        <v>312</v>
      </c>
      <c r="F10" s="21" t="s">
        <v>263</v>
      </c>
      <c r="G10" s="23" t="n">
        <v>34.24</v>
      </c>
      <c r="H10" s="4" t="s">
        <v>344</v>
      </c>
      <c r="I10" s="40" t="n">
        <v>78409.6</v>
      </c>
      <c r="J10" s="41" t="n">
        <v>78409.6</v>
      </c>
      <c r="K10" s="24" t="n">
        <f aca="false">J10-I10</f>
        <v>0</v>
      </c>
      <c r="L10" s="40" t="n">
        <v>787.52</v>
      </c>
      <c r="M10" s="41" t="n">
        <v>787.52</v>
      </c>
      <c r="N10" s="24" t="n">
        <f aca="false">M10-L10</f>
        <v>0</v>
      </c>
      <c r="O10" s="40" t="n">
        <v>77622.08</v>
      </c>
      <c r="P10" s="41" t="n">
        <v>77622.08</v>
      </c>
      <c r="Q10" s="24" t="n">
        <f aca="false">P10-O10</f>
        <v>0</v>
      </c>
      <c r="R10" s="40" t="n">
        <v>67432</v>
      </c>
      <c r="S10" s="41" t="n">
        <v>67432.256</v>
      </c>
      <c r="T10" s="24" t="n">
        <f aca="false">S10-R10</f>
        <v>0.256000000008498</v>
      </c>
      <c r="U10" s="40" t="n">
        <v>67143.0992</v>
      </c>
      <c r="V10" s="41" t="n">
        <v>67143.0992</v>
      </c>
      <c r="W10" s="24" t="n">
        <f aca="false">V10-U10</f>
        <v>0</v>
      </c>
      <c r="X10" s="40" t="n">
        <v>288.900800000003</v>
      </c>
      <c r="Y10" s="41" t="n">
        <v>289.156800000012</v>
      </c>
      <c r="Z10" s="24" t="n">
        <f aca="false">Y10-X10</f>
        <v>0.256000000008498</v>
      </c>
      <c r="AA10" s="40" t="n">
        <v>684.8</v>
      </c>
      <c r="AB10" s="41" t="n">
        <v>684.8</v>
      </c>
      <c r="AC10" s="24" t="n">
        <f aca="false">AB10-AA10</f>
        <v>0</v>
      </c>
      <c r="AD10" s="40" t="n">
        <v>171.2</v>
      </c>
      <c r="AE10" s="41" t="n">
        <v>171.2</v>
      </c>
      <c r="AF10" s="24" t="n">
        <f aca="false">AE10-AD10</f>
        <v>0</v>
      </c>
      <c r="AG10" s="40" t="n">
        <v>224.699199999997</v>
      </c>
      <c r="AH10" s="41" t="n">
        <v>224.443199999989</v>
      </c>
      <c r="AI10" s="24" t="n">
        <f aca="false">AH10-AG10</f>
        <v>-0.256000000008498</v>
      </c>
      <c r="AJ10" s="4"/>
    </row>
    <row r="11" customFormat="false" ht="55.2" hidden="false" customHeight="false" outlineLevel="0" collapsed="false">
      <c r="A11" s="21" t="s">
        <v>55</v>
      </c>
      <c r="B11" s="21" t="n">
        <v>10</v>
      </c>
      <c r="C11" s="21" t="s">
        <v>76</v>
      </c>
      <c r="D11" s="22" t="s">
        <v>75</v>
      </c>
      <c r="E11" s="21" t="s">
        <v>312</v>
      </c>
      <c r="F11" s="21" t="s">
        <v>263</v>
      </c>
      <c r="G11" s="23" t="n">
        <v>81</v>
      </c>
      <c r="H11" s="4" t="s">
        <v>344</v>
      </c>
      <c r="I11" s="40" t="n">
        <v>184032</v>
      </c>
      <c r="J11" s="41" t="n">
        <v>184032</v>
      </c>
      <c r="K11" s="24" t="n">
        <f aca="false">J11-I11</f>
        <v>0</v>
      </c>
      <c r="L11" s="40" t="n">
        <v>1863</v>
      </c>
      <c r="M11" s="41" t="n">
        <v>1863</v>
      </c>
      <c r="N11" s="24" t="n">
        <f aca="false">M11-L11</f>
        <v>0</v>
      </c>
      <c r="O11" s="40" t="n">
        <v>182169</v>
      </c>
      <c r="P11" s="41" t="n">
        <v>182169</v>
      </c>
      <c r="Q11" s="24" t="n">
        <f aca="false">P11-O11</f>
        <v>0</v>
      </c>
      <c r="R11" s="40" t="n">
        <v>158267</v>
      </c>
      <c r="S11" s="41" t="n">
        <v>158267.52</v>
      </c>
      <c r="T11" s="24" t="n">
        <f aca="false">S11-R11</f>
        <v>0.519999999989523</v>
      </c>
      <c r="U11" s="40" t="n">
        <v>157576.185</v>
      </c>
      <c r="V11" s="41" t="n">
        <v>157576.185</v>
      </c>
      <c r="W11" s="24" t="n">
        <f aca="false">V11-U11</f>
        <v>0</v>
      </c>
      <c r="X11" s="40" t="n">
        <v>690.815000000002</v>
      </c>
      <c r="Y11" s="41" t="n">
        <v>691.334999999992</v>
      </c>
      <c r="Z11" s="24" t="n">
        <f aca="false">Y11-X11</f>
        <v>0.519999999989523</v>
      </c>
      <c r="AA11" s="40" t="n">
        <v>1620</v>
      </c>
      <c r="AB11" s="41" t="n">
        <v>1620</v>
      </c>
      <c r="AC11" s="24" t="n">
        <f aca="false">AB11-AA11</f>
        <v>0</v>
      </c>
      <c r="AD11" s="40" t="n">
        <v>405</v>
      </c>
      <c r="AE11" s="41" t="n">
        <v>405</v>
      </c>
      <c r="AF11" s="24" t="n">
        <f aca="false">AE11-AD11</f>
        <v>0</v>
      </c>
      <c r="AG11" s="40" t="n">
        <v>524.184999999998</v>
      </c>
      <c r="AH11" s="41" t="n">
        <v>523.665000000008</v>
      </c>
      <c r="AI11" s="24" t="n">
        <f aca="false">AH11-AG11</f>
        <v>-0.519999999989864</v>
      </c>
      <c r="AJ11" s="4"/>
    </row>
    <row r="12" customFormat="false" ht="55.2" hidden="false" customHeight="false" outlineLevel="0" collapsed="false">
      <c r="A12" s="21" t="s">
        <v>55</v>
      </c>
      <c r="B12" s="21" t="n">
        <v>11</v>
      </c>
      <c r="C12" s="21" t="s">
        <v>79</v>
      </c>
      <c r="D12" s="22" t="s">
        <v>78</v>
      </c>
      <c r="E12" s="21" t="s">
        <v>312</v>
      </c>
      <c r="F12" s="21" t="s">
        <v>263</v>
      </c>
      <c r="G12" s="23" t="n">
        <v>560.39</v>
      </c>
      <c r="H12" s="4" t="s">
        <v>344</v>
      </c>
      <c r="I12" s="40" t="n">
        <v>1344115.89</v>
      </c>
      <c r="J12" s="41" t="n">
        <v>1344115.89</v>
      </c>
      <c r="K12" s="24" t="n">
        <f aca="false">J12-I12</f>
        <v>0</v>
      </c>
      <c r="L12" s="40" t="n">
        <v>12888.97</v>
      </c>
      <c r="M12" s="41" t="n">
        <v>12888.97</v>
      </c>
      <c r="N12" s="24" t="n">
        <f aca="false">M12-L12</f>
        <v>0</v>
      </c>
      <c r="O12" s="40" t="n">
        <v>1331226.92</v>
      </c>
      <c r="P12" s="41" t="n">
        <v>1331226.92</v>
      </c>
      <c r="Q12" s="24" t="n">
        <f aca="false">P12-O12</f>
        <v>0</v>
      </c>
      <c r="R12" s="40" t="n">
        <v>1155939</v>
      </c>
      <c r="S12" s="41" t="n">
        <v>1155939.6654</v>
      </c>
      <c r="T12" s="24" t="n">
        <f aca="false">S12-R12</f>
        <v>0.665400000056252</v>
      </c>
      <c r="U12" s="40" t="n">
        <v>1151511.2858</v>
      </c>
      <c r="V12" s="41" t="n">
        <v>1151511.2858</v>
      </c>
      <c r="W12" s="24" t="n">
        <f aca="false">V12-U12</f>
        <v>0</v>
      </c>
      <c r="X12" s="40" t="n">
        <v>4427.71420000005</v>
      </c>
      <c r="Y12" s="41" t="n">
        <v>4428.37959999987</v>
      </c>
      <c r="Z12" s="24" t="n">
        <f aca="false">Y12-X12</f>
        <v>0.665399999823421</v>
      </c>
      <c r="AA12" s="40" t="n">
        <v>14009.75</v>
      </c>
      <c r="AB12" s="41" t="n">
        <v>14009.75</v>
      </c>
      <c r="AC12" s="24" t="n">
        <f aca="false">AB12-AA12</f>
        <v>0</v>
      </c>
      <c r="AD12" s="40" t="n">
        <v>2801.95</v>
      </c>
      <c r="AE12" s="41" t="n">
        <v>2801.95</v>
      </c>
      <c r="AF12" s="24" t="n">
        <f aca="false">AE12-AD12</f>
        <v>0</v>
      </c>
      <c r="AG12" s="40" t="n">
        <v>6780.08579999995</v>
      </c>
      <c r="AH12" s="41" t="n">
        <v>6779.42040000013</v>
      </c>
      <c r="AI12" s="24" t="n">
        <f aca="false">AH12-AG12</f>
        <v>-0.665399999818874</v>
      </c>
      <c r="AJ12" s="4"/>
    </row>
    <row r="13" customFormat="false" ht="55.2" hidden="false" customHeight="false" outlineLevel="0" collapsed="false">
      <c r="A13" s="21" t="s">
        <v>55</v>
      </c>
      <c r="B13" s="21" t="n">
        <v>12</v>
      </c>
      <c r="C13" s="21" t="s">
        <v>84</v>
      </c>
      <c r="D13" s="22" t="s">
        <v>83</v>
      </c>
      <c r="E13" s="21" t="s">
        <v>312</v>
      </c>
      <c r="F13" s="21" t="s">
        <v>263</v>
      </c>
      <c r="G13" s="23" t="n">
        <v>40.27</v>
      </c>
      <c r="H13" s="4" t="s">
        <v>344</v>
      </c>
      <c r="I13" s="40" t="n">
        <v>93426.4</v>
      </c>
      <c r="J13" s="41" t="n">
        <v>93426.4</v>
      </c>
      <c r="K13" s="24" t="n">
        <f aca="false">J13-I13</f>
        <v>0</v>
      </c>
      <c r="L13" s="40" t="n">
        <v>926.21</v>
      </c>
      <c r="M13" s="41" t="n">
        <v>926.21</v>
      </c>
      <c r="N13" s="24" t="n">
        <f aca="false">M13-L13</f>
        <v>0</v>
      </c>
      <c r="O13" s="40" t="n">
        <v>92500.19</v>
      </c>
      <c r="P13" s="41" t="n">
        <v>92500.19</v>
      </c>
      <c r="Q13" s="24" t="n">
        <f aca="false">P13-O13</f>
        <v>0</v>
      </c>
      <c r="R13" s="40" t="n">
        <v>80346</v>
      </c>
      <c r="S13" s="41" t="n">
        <v>80346.704</v>
      </c>
      <c r="T13" s="24" t="n">
        <f aca="false">S13-R13</f>
        <v>0.703999999997905</v>
      </c>
      <c r="U13" s="40" t="n">
        <v>80012.66435</v>
      </c>
      <c r="V13" s="41" t="n">
        <v>80012.66435</v>
      </c>
      <c r="W13" s="24" t="n">
        <f aca="false">V13-U13</f>
        <v>0</v>
      </c>
      <c r="X13" s="40" t="n">
        <v>333.335650000008</v>
      </c>
      <c r="Y13" s="41" t="n">
        <v>334.039650000006</v>
      </c>
      <c r="Z13" s="24" t="n">
        <f aca="false">Y13-X13</f>
        <v>0.703999999997905</v>
      </c>
      <c r="AA13" s="40" t="n">
        <v>1006.75</v>
      </c>
      <c r="AB13" s="41" t="n">
        <v>1006.75</v>
      </c>
      <c r="AC13" s="24" t="n">
        <f aca="false">AB13-AA13</f>
        <v>0</v>
      </c>
      <c r="AD13" s="40" t="n">
        <v>201.35</v>
      </c>
      <c r="AE13" s="41" t="n">
        <v>201.35</v>
      </c>
      <c r="AF13" s="24" t="n">
        <f aca="false">AE13-AD13</f>
        <v>0</v>
      </c>
      <c r="AG13" s="40" t="n">
        <v>472.064350000006</v>
      </c>
      <c r="AH13" s="41" t="n">
        <v>471.360349999994</v>
      </c>
      <c r="AI13" s="24" t="n">
        <f aca="false">AH13-AG13</f>
        <v>-0.704000000012229</v>
      </c>
      <c r="AJ13" s="4"/>
    </row>
    <row r="14" customFormat="false" ht="55.2" hidden="false" customHeight="false" outlineLevel="0" collapsed="false">
      <c r="A14" s="21" t="s">
        <v>55</v>
      </c>
      <c r="B14" s="21" t="n">
        <v>13</v>
      </c>
      <c r="C14" s="21" t="s">
        <v>61</v>
      </c>
      <c r="D14" s="22" t="s">
        <v>85</v>
      </c>
      <c r="E14" s="21" t="s">
        <v>312</v>
      </c>
      <c r="F14" s="21" t="s">
        <v>263</v>
      </c>
      <c r="G14" s="23" t="n">
        <v>34.3</v>
      </c>
      <c r="H14" s="4" t="s">
        <v>344</v>
      </c>
      <c r="I14" s="40" t="n">
        <v>84206.5</v>
      </c>
      <c r="J14" s="41" t="n">
        <v>84206.5</v>
      </c>
      <c r="K14" s="24" t="n">
        <f aca="false">J14-I14</f>
        <v>0</v>
      </c>
      <c r="L14" s="40" t="n">
        <v>788.9</v>
      </c>
      <c r="M14" s="41" t="n">
        <v>788.9</v>
      </c>
      <c r="N14" s="24" t="n">
        <f aca="false">M14-L14</f>
        <v>0</v>
      </c>
      <c r="O14" s="40" t="n">
        <v>83417.6</v>
      </c>
      <c r="P14" s="41" t="n">
        <v>83417.6</v>
      </c>
      <c r="Q14" s="24" t="n">
        <f aca="false">P14-O14</f>
        <v>0</v>
      </c>
      <c r="R14" s="40" t="n">
        <v>72417</v>
      </c>
      <c r="S14" s="41" t="n">
        <v>72417.59</v>
      </c>
      <c r="T14" s="24" t="n">
        <f aca="false">S14-R14</f>
        <v>0.589999999996508</v>
      </c>
      <c r="U14" s="40" t="n">
        <v>72156.224</v>
      </c>
      <c r="V14" s="41" t="n">
        <v>72156.224</v>
      </c>
      <c r="W14" s="24" t="n">
        <f aca="false">V14-U14</f>
        <v>0</v>
      </c>
      <c r="X14" s="40" t="n">
        <v>260.775999999998</v>
      </c>
      <c r="Y14" s="41" t="n">
        <v>261.365999999995</v>
      </c>
      <c r="Z14" s="24" t="n">
        <f aca="false">Y14-X14</f>
        <v>0.589999999996451</v>
      </c>
      <c r="AA14" s="40" t="n">
        <v>857.5</v>
      </c>
      <c r="AB14" s="41" t="n">
        <v>857.5</v>
      </c>
      <c r="AC14" s="24" t="n">
        <f aca="false">AB14-AA14</f>
        <v>0</v>
      </c>
      <c r="AD14" s="40" t="n">
        <v>171.5</v>
      </c>
      <c r="AE14" s="41" t="n">
        <v>171.5</v>
      </c>
      <c r="AF14" s="24" t="n">
        <f aca="false">AE14-AD14</f>
        <v>0</v>
      </c>
      <c r="AG14" s="40" t="n">
        <v>425.224000000002</v>
      </c>
      <c r="AH14" s="41" t="n">
        <v>424.634000000006</v>
      </c>
      <c r="AI14" s="24" t="n">
        <f aca="false">AH14-AG14</f>
        <v>-0.589999999996451</v>
      </c>
      <c r="AJ14" s="4"/>
    </row>
    <row r="15" customFormat="false" ht="55.2" hidden="false" customHeight="false" outlineLevel="0" collapsed="false">
      <c r="A15" s="21" t="s">
        <v>55</v>
      </c>
      <c r="B15" s="21" t="n">
        <v>14</v>
      </c>
      <c r="C15" s="21" t="s">
        <v>87</v>
      </c>
      <c r="D15" s="22" t="s">
        <v>86</v>
      </c>
      <c r="E15" s="21" t="s">
        <v>312</v>
      </c>
      <c r="F15" s="21" t="s">
        <v>263</v>
      </c>
      <c r="G15" s="23" t="n">
        <v>32.05</v>
      </c>
      <c r="H15" s="4" t="s">
        <v>344</v>
      </c>
      <c r="I15" s="40" t="n">
        <v>78682.75</v>
      </c>
      <c r="J15" s="41" t="n">
        <v>78682.75</v>
      </c>
      <c r="K15" s="24" t="n">
        <f aca="false">J15-I15</f>
        <v>0</v>
      </c>
      <c r="L15" s="40" t="n">
        <v>737.15</v>
      </c>
      <c r="M15" s="41" t="n">
        <v>737.15</v>
      </c>
      <c r="N15" s="24" t="n">
        <f aca="false">M15-L15</f>
        <v>0</v>
      </c>
      <c r="O15" s="40" t="n">
        <v>77945.6</v>
      </c>
      <c r="P15" s="41" t="n">
        <v>77945.6</v>
      </c>
      <c r="Q15" s="24" t="n">
        <f aca="false">P15-O15</f>
        <v>0</v>
      </c>
      <c r="R15" s="40" t="n">
        <v>67667</v>
      </c>
      <c r="S15" s="41" t="n">
        <v>67667.165</v>
      </c>
      <c r="T15" s="24" t="n">
        <f aca="false">S15-R15</f>
        <v>0.164999999993597</v>
      </c>
      <c r="U15" s="40" t="n">
        <v>67422.944</v>
      </c>
      <c r="V15" s="41" t="n">
        <v>67422.944</v>
      </c>
      <c r="W15" s="24" t="n">
        <f aca="false">V15-U15</f>
        <v>0</v>
      </c>
      <c r="X15" s="40" t="n">
        <v>244.055999999997</v>
      </c>
      <c r="Y15" s="41" t="n">
        <v>244.220999999991</v>
      </c>
      <c r="Z15" s="24" t="n">
        <f aca="false">Y15-X15</f>
        <v>0.164999999993597</v>
      </c>
      <c r="AA15" s="40" t="n">
        <v>801.25</v>
      </c>
      <c r="AB15" s="41" t="n">
        <v>801.25</v>
      </c>
      <c r="AC15" s="24" t="n">
        <f aca="false">AB15-AA15</f>
        <v>0</v>
      </c>
      <c r="AD15" s="40" t="n">
        <v>160.25</v>
      </c>
      <c r="AE15" s="41" t="n">
        <v>160.25</v>
      </c>
      <c r="AF15" s="24" t="n">
        <f aca="false">AE15-AD15</f>
        <v>0</v>
      </c>
      <c r="AG15" s="40" t="n">
        <v>396.944000000003</v>
      </c>
      <c r="AH15" s="41" t="n">
        <v>396.77900000001</v>
      </c>
      <c r="AI15" s="24" t="n">
        <f aca="false">AH15-AG15</f>
        <v>-0.164999999993483</v>
      </c>
      <c r="AJ15" s="4"/>
    </row>
    <row r="16" customFormat="false" ht="55.2" hidden="false" customHeight="false" outlineLevel="0" collapsed="false">
      <c r="A16" s="21" t="s">
        <v>55</v>
      </c>
      <c r="B16" s="21" t="n">
        <v>15</v>
      </c>
      <c r="C16" s="21" t="s">
        <v>89</v>
      </c>
      <c r="D16" s="22" t="s">
        <v>88</v>
      </c>
      <c r="E16" s="21" t="s">
        <v>312</v>
      </c>
      <c r="F16" s="21" t="s">
        <v>263</v>
      </c>
      <c r="G16" s="23" t="n">
        <v>28.47</v>
      </c>
      <c r="H16" s="4" t="s">
        <v>344</v>
      </c>
      <c r="I16" s="40" t="n">
        <v>68569.64</v>
      </c>
      <c r="J16" s="41" t="n">
        <v>68569.64</v>
      </c>
      <c r="K16" s="24" t="n">
        <f aca="false">J16-I16</f>
        <v>0</v>
      </c>
      <c r="L16" s="40" t="n">
        <v>654.81</v>
      </c>
      <c r="M16" s="41" t="n">
        <v>654.81</v>
      </c>
      <c r="N16" s="24" t="n">
        <f aca="false">M16-L16</f>
        <v>0</v>
      </c>
      <c r="O16" s="40" t="n">
        <v>67914.83</v>
      </c>
      <c r="P16" s="41" t="n">
        <v>67914.83</v>
      </c>
      <c r="Q16" s="24" t="n">
        <f aca="false">P16-O16</f>
        <v>0</v>
      </c>
      <c r="R16" s="40" t="n">
        <v>58969</v>
      </c>
      <c r="S16" s="41" t="n">
        <v>58969.8904</v>
      </c>
      <c r="T16" s="24" t="n">
        <f aca="false">S16-R16</f>
        <v>0.890399999996589</v>
      </c>
      <c r="U16" s="40" t="n">
        <v>58746.32795</v>
      </c>
      <c r="V16" s="41" t="n">
        <v>58746.32795</v>
      </c>
      <c r="W16" s="24" t="n">
        <f aca="false">V16-U16</f>
        <v>0</v>
      </c>
      <c r="X16" s="40" t="n">
        <v>222.672050000001</v>
      </c>
      <c r="Y16" s="41" t="n">
        <v>223.562449999998</v>
      </c>
      <c r="Z16" s="24" t="n">
        <f aca="false">Y16-X16</f>
        <v>0.890399999996589</v>
      </c>
      <c r="AA16" s="40" t="n">
        <v>711.75</v>
      </c>
      <c r="AB16" s="41" t="n">
        <v>711.75</v>
      </c>
      <c r="AC16" s="24" t="n">
        <f aca="false">AB16-AA16</f>
        <v>0</v>
      </c>
      <c r="AD16" s="40" t="n">
        <v>142.35</v>
      </c>
      <c r="AE16" s="41" t="n">
        <v>142.35</v>
      </c>
      <c r="AF16" s="24" t="n">
        <f aca="false">AE16-AD16</f>
        <v>0</v>
      </c>
      <c r="AG16" s="40" t="n">
        <v>346.727949999999</v>
      </c>
      <c r="AH16" s="41" t="n">
        <v>345.837550000002</v>
      </c>
      <c r="AI16" s="24" t="n">
        <f aca="false">AH16-AG16</f>
        <v>-0.890399999996589</v>
      </c>
      <c r="AJ16" s="4" t="s">
        <v>345</v>
      </c>
    </row>
    <row r="17" customFormat="false" ht="55.2" hidden="false" customHeight="false" outlineLevel="0" collapsed="false">
      <c r="A17" s="21" t="s">
        <v>55</v>
      </c>
      <c r="B17" s="21" t="n">
        <v>16</v>
      </c>
      <c r="C17" s="21" t="s">
        <v>91</v>
      </c>
      <c r="D17" s="22" t="s">
        <v>90</v>
      </c>
      <c r="E17" s="21" t="s">
        <v>312</v>
      </c>
      <c r="F17" s="21" t="s">
        <v>263</v>
      </c>
      <c r="G17" s="23" t="n">
        <v>48.38</v>
      </c>
      <c r="H17" s="4" t="s">
        <v>344</v>
      </c>
      <c r="I17" s="40" t="n">
        <v>116112</v>
      </c>
      <c r="J17" s="41" t="n">
        <v>116112</v>
      </c>
      <c r="K17" s="24" t="n">
        <f aca="false">J17-I17</f>
        <v>0</v>
      </c>
      <c r="L17" s="40" t="n">
        <v>1112.74</v>
      </c>
      <c r="M17" s="41" t="n">
        <v>1112.74</v>
      </c>
      <c r="N17" s="24" t="n">
        <f aca="false">M17-L17</f>
        <v>0</v>
      </c>
      <c r="O17" s="40" t="n">
        <v>114999.26</v>
      </c>
      <c r="P17" s="41" t="n">
        <v>114999.26</v>
      </c>
      <c r="Q17" s="24" t="n">
        <f aca="false">P17-O17</f>
        <v>0</v>
      </c>
      <c r="R17" s="40" t="n">
        <v>99856</v>
      </c>
      <c r="S17" s="41" t="n">
        <v>99856.32</v>
      </c>
      <c r="T17" s="24" t="n">
        <f aca="false">S17-R17</f>
        <v>0.319999999992433</v>
      </c>
      <c r="U17" s="40" t="n">
        <v>99474.3599</v>
      </c>
      <c r="V17" s="41" t="n">
        <v>99474.3599</v>
      </c>
      <c r="W17" s="24" t="n">
        <f aca="false">V17-U17</f>
        <v>0</v>
      </c>
      <c r="X17" s="40" t="n">
        <v>381.640100000004</v>
      </c>
      <c r="Y17" s="41" t="n">
        <v>381.960099999997</v>
      </c>
      <c r="Z17" s="24" t="n">
        <f aca="false">Y17-X17</f>
        <v>0.319999999992376</v>
      </c>
      <c r="AA17" s="40" t="n">
        <v>1209.5</v>
      </c>
      <c r="AB17" s="41" t="n">
        <v>1209.5</v>
      </c>
      <c r="AC17" s="24" t="n">
        <f aca="false">AB17-AA17</f>
        <v>0</v>
      </c>
      <c r="AD17" s="40" t="n">
        <v>241.9</v>
      </c>
      <c r="AE17" s="41" t="n">
        <v>241.9</v>
      </c>
      <c r="AF17" s="24" t="n">
        <f aca="false">AE17-AD17</f>
        <v>0</v>
      </c>
      <c r="AG17" s="40" t="n">
        <v>585.959899999996</v>
      </c>
      <c r="AH17" s="41" t="n">
        <v>585.639900000003</v>
      </c>
      <c r="AI17" s="24" t="n">
        <f aca="false">AH17-AG17</f>
        <v>-0.319999999992547</v>
      </c>
      <c r="AJ17" s="4"/>
    </row>
    <row r="18" customFormat="false" ht="55.2" hidden="false" customHeight="false" outlineLevel="0" collapsed="false">
      <c r="A18" s="21" t="s">
        <v>55</v>
      </c>
      <c r="B18" s="21" t="n">
        <v>17</v>
      </c>
      <c r="C18" s="21" t="s">
        <v>94</v>
      </c>
      <c r="D18" s="22" t="s">
        <v>93</v>
      </c>
      <c r="E18" s="21" t="s">
        <v>312</v>
      </c>
      <c r="F18" s="21" t="s">
        <v>263</v>
      </c>
      <c r="G18" s="23" t="n">
        <v>81.9</v>
      </c>
      <c r="H18" s="4" t="s">
        <v>344</v>
      </c>
      <c r="I18" s="40" t="n">
        <v>191646</v>
      </c>
      <c r="J18" s="41" t="n">
        <v>191646</v>
      </c>
      <c r="K18" s="24" t="n">
        <f aca="false">J18-I18</f>
        <v>0</v>
      </c>
      <c r="L18" s="40" t="n">
        <v>1883.7</v>
      </c>
      <c r="M18" s="41" t="n">
        <v>1883.7</v>
      </c>
      <c r="N18" s="24" t="n">
        <f aca="false">M18-L18</f>
        <v>0</v>
      </c>
      <c r="O18" s="40" t="n">
        <v>189762.3</v>
      </c>
      <c r="P18" s="41" t="n">
        <v>189762.3</v>
      </c>
      <c r="Q18" s="24" t="n">
        <f aca="false">P18-O18</f>
        <v>0</v>
      </c>
      <c r="R18" s="40" t="n">
        <v>164815</v>
      </c>
      <c r="S18" s="41" t="n">
        <v>164815.56</v>
      </c>
      <c r="T18" s="24" t="n">
        <f aca="false">S18-R18</f>
        <v>0.559999999997672</v>
      </c>
      <c r="U18" s="40" t="n">
        <v>164144.3895</v>
      </c>
      <c r="V18" s="41" t="n">
        <v>164144.3895</v>
      </c>
      <c r="W18" s="24" t="n">
        <f aca="false">V18-U18</f>
        <v>0</v>
      </c>
      <c r="X18" s="40" t="n">
        <v>670.61050000001</v>
      </c>
      <c r="Y18" s="41" t="n">
        <v>671.170500000008</v>
      </c>
      <c r="Z18" s="24" t="n">
        <f aca="false">Y18-X18</f>
        <v>0.559999999997672</v>
      </c>
      <c r="AA18" s="40" t="n">
        <v>2047.5</v>
      </c>
      <c r="AB18" s="41" t="n">
        <v>2047.5</v>
      </c>
      <c r="AC18" s="24" t="n">
        <f aca="false">AB18-AA18</f>
        <v>0</v>
      </c>
      <c r="AD18" s="40" t="n">
        <v>409.5</v>
      </c>
      <c r="AE18" s="41" t="n">
        <v>409.5</v>
      </c>
      <c r="AF18" s="24" t="n">
        <f aca="false">AE18-AD18</f>
        <v>0</v>
      </c>
      <c r="AG18" s="40" t="n">
        <v>967.38949999999</v>
      </c>
      <c r="AH18" s="41" t="n">
        <v>966.829499999993</v>
      </c>
      <c r="AI18" s="24" t="n">
        <f aca="false">AH18-AG18</f>
        <v>-0.559999999997217</v>
      </c>
      <c r="AJ18" s="4"/>
    </row>
    <row r="19" customFormat="false" ht="55.2" hidden="false" customHeight="false" outlineLevel="0" collapsed="false">
      <c r="A19" s="21" t="s">
        <v>55</v>
      </c>
      <c r="B19" s="21" t="n">
        <v>18</v>
      </c>
      <c r="C19" s="21" t="s">
        <v>96</v>
      </c>
      <c r="D19" s="22" t="s">
        <v>95</v>
      </c>
      <c r="E19" s="21" t="s">
        <v>312</v>
      </c>
      <c r="F19" s="21" t="s">
        <v>263</v>
      </c>
      <c r="G19" s="23" t="n">
        <v>18.52</v>
      </c>
      <c r="H19" s="4" t="s">
        <v>344</v>
      </c>
      <c r="I19" s="40" t="n">
        <v>44448</v>
      </c>
      <c r="J19" s="41" t="n">
        <v>44448</v>
      </c>
      <c r="K19" s="24" t="n">
        <f aca="false">J19-I19</f>
        <v>0</v>
      </c>
      <c r="L19" s="40" t="n">
        <v>425.96</v>
      </c>
      <c r="M19" s="41" t="n">
        <v>425.96</v>
      </c>
      <c r="N19" s="24" t="n">
        <f aca="false">M19-L19</f>
        <v>0</v>
      </c>
      <c r="O19" s="40" t="n">
        <v>44022.04</v>
      </c>
      <c r="P19" s="41" t="n">
        <v>44022.04</v>
      </c>
      <c r="Q19" s="24" t="n">
        <f aca="false">P19-O19</f>
        <v>0</v>
      </c>
      <c r="R19" s="40" t="n">
        <v>38225</v>
      </c>
      <c r="S19" s="41" t="n">
        <v>38225.28</v>
      </c>
      <c r="T19" s="24" t="n">
        <f aca="false">S19-R19</f>
        <v>0.279999999998836</v>
      </c>
      <c r="U19" s="40" t="n">
        <v>38079.0646</v>
      </c>
      <c r="V19" s="41" t="n">
        <v>38079.0646</v>
      </c>
      <c r="W19" s="24" t="n">
        <f aca="false">V19-U19</f>
        <v>0</v>
      </c>
      <c r="X19" s="40" t="n">
        <v>145.935400000002</v>
      </c>
      <c r="Y19" s="41" t="n">
        <v>146.215400000001</v>
      </c>
      <c r="Z19" s="24" t="n">
        <f aca="false">Y19-X19</f>
        <v>0.279999999998921</v>
      </c>
      <c r="AA19" s="40" t="n">
        <v>463</v>
      </c>
      <c r="AB19" s="41" t="n">
        <v>463</v>
      </c>
      <c r="AC19" s="24" t="n">
        <f aca="false">AB19-AA19</f>
        <v>0</v>
      </c>
      <c r="AD19" s="40" t="n">
        <v>92.6</v>
      </c>
      <c r="AE19" s="41" t="n">
        <v>92.6</v>
      </c>
      <c r="AF19" s="24" t="n">
        <f aca="false">AE19-AD19</f>
        <v>0</v>
      </c>
      <c r="AG19" s="40" t="n">
        <v>224.464599999998</v>
      </c>
      <c r="AH19" s="41" t="n">
        <v>224.184599999999</v>
      </c>
      <c r="AI19" s="24" t="n">
        <f aca="false">AH19-AG19</f>
        <v>-0.279999999998893</v>
      </c>
      <c r="AJ19" s="4"/>
    </row>
    <row r="20" customFormat="false" ht="55.2" hidden="false" customHeight="false" outlineLevel="0" collapsed="false">
      <c r="A20" s="21" t="s">
        <v>55</v>
      </c>
      <c r="B20" s="21" t="n">
        <v>19</v>
      </c>
      <c r="C20" s="21" t="s">
        <v>76</v>
      </c>
      <c r="D20" s="22" t="s">
        <v>97</v>
      </c>
      <c r="E20" s="21" t="s">
        <v>312</v>
      </c>
      <c r="F20" s="21" t="s">
        <v>263</v>
      </c>
      <c r="G20" s="23" t="n">
        <v>38.2</v>
      </c>
      <c r="H20" s="4" t="s">
        <v>344</v>
      </c>
      <c r="I20" s="40" t="n">
        <v>88624</v>
      </c>
      <c r="J20" s="41" t="n">
        <v>88624</v>
      </c>
      <c r="K20" s="24" t="n">
        <f aca="false">J20-I20</f>
        <v>0</v>
      </c>
      <c r="L20" s="40" t="n">
        <v>878.6</v>
      </c>
      <c r="M20" s="41" t="n">
        <v>878.6</v>
      </c>
      <c r="N20" s="24" t="n">
        <f aca="false">M20-L20</f>
        <v>0</v>
      </c>
      <c r="O20" s="40" t="n">
        <v>87745.4</v>
      </c>
      <c r="P20" s="41" t="n">
        <v>87745.4</v>
      </c>
      <c r="Q20" s="24" t="n">
        <f aca="false">P20-O20</f>
        <v>0</v>
      </c>
      <c r="R20" s="40" t="n">
        <v>76216</v>
      </c>
      <c r="S20" s="41" t="n">
        <v>76216.64</v>
      </c>
      <c r="T20" s="24" t="n">
        <f aca="false">S20-R20</f>
        <v>0.639999999999418</v>
      </c>
      <c r="U20" s="40" t="n">
        <v>75899.771</v>
      </c>
      <c r="V20" s="41" t="n">
        <v>75899.771</v>
      </c>
      <c r="W20" s="24" t="n">
        <f aca="false">V20-U20</f>
        <v>0</v>
      </c>
      <c r="X20" s="40" t="n">
        <v>316.229000000007</v>
      </c>
      <c r="Y20" s="41" t="n">
        <v>316.869000000006</v>
      </c>
      <c r="Z20" s="24" t="n">
        <f aca="false">Y20-X20</f>
        <v>0.639999999999532</v>
      </c>
      <c r="AA20" s="40" t="n">
        <v>955</v>
      </c>
      <c r="AB20" s="41" t="n">
        <v>955</v>
      </c>
      <c r="AC20" s="24" t="n">
        <f aca="false">AB20-AA20</f>
        <v>0</v>
      </c>
      <c r="AD20" s="40" t="n">
        <v>191</v>
      </c>
      <c r="AE20" s="41" t="n">
        <v>191</v>
      </c>
      <c r="AF20" s="24" t="n">
        <f aca="false">AE20-AD20</f>
        <v>0</v>
      </c>
      <c r="AG20" s="40" t="n">
        <v>447.770999999993</v>
      </c>
      <c r="AH20" s="41" t="n">
        <v>447.130999999994</v>
      </c>
      <c r="AI20" s="24" t="n">
        <f aca="false">AH20-AG20</f>
        <v>-0.639999999999247</v>
      </c>
      <c r="AJ20" s="4"/>
    </row>
    <row r="21" customFormat="false" ht="55.2" hidden="false" customHeight="false" outlineLevel="0" collapsed="false">
      <c r="A21" s="21" t="s">
        <v>55</v>
      </c>
      <c r="B21" s="21" t="n">
        <v>20</v>
      </c>
      <c r="C21" s="21" t="s">
        <v>61</v>
      </c>
      <c r="D21" s="22" t="s">
        <v>98</v>
      </c>
      <c r="E21" s="21" t="s">
        <v>312</v>
      </c>
      <c r="F21" s="21" t="s">
        <v>263</v>
      </c>
      <c r="G21" s="23" t="n">
        <v>55.18</v>
      </c>
      <c r="H21" s="4" t="s">
        <v>344</v>
      </c>
      <c r="I21" s="40" t="n">
        <v>130224.8</v>
      </c>
      <c r="J21" s="41" t="n">
        <v>130224.8</v>
      </c>
      <c r="K21" s="24" t="n">
        <f aca="false">J21-I21</f>
        <v>0</v>
      </c>
      <c r="L21" s="40" t="n">
        <v>1269.14</v>
      </c>
      <c r="M21" s="41" t="n">
        <v>1269.14</v>
      </c>
      <c r="N21" s="24" t="n">
        <f aca="false">M21-L21</f>
        <v>0</v>
      </c>
      <c r="O21" s="40" t="n">
        <v>128955.66</v>
      </c>
      <c r="P21" s="41" t="n">
        <v>128955.66</v>
      </c>
      <c r="Q21" s="24" t="n">
        <f aca="false">P21-O21</f>
        <v>0</v>
      </c>
      <c r="R21" s="40" t="n">
        <v>111993</v>
      </c>
      <c r="S21" s="41" t="n">
        <v>111993.328</v>
      </c>
      <c r="T21" s="24" t="n">
        <f aca="false">S21-R21</f>
        <v>0.327999999994063</v>
      </c>
      <c r="U21" s="40" t="n">
        <v>111546.6459</v>
      </c>
      <c r="V21" s="41" t="n">
        <v>111546.6459</v>
      </c>
      <c r="W21" s="24" t="n">
        <f aca="false">V21-U21</f>
        <v>0</v>
      </c>
      <c r="X21" s="40" t="n">
        <v>446.354099999997</v>
      </c>
      <c r="Y21" s="41" t="n">
        <v>446.682099999991</v>
      </c>
      <c r="Z21" s="24" t="n">
        <f aca="false">Y21-X21</f>
        <v>0.32799999999412</v>
      </c>
      <c r="AA21" s="40" t="n">
        <v>1379.5</v>
      </c>
      <c r="AB21" s="41" t="n">
        <v>1379.5</v>
      </c>
      <c r="AC21" s="24" t="n">
        <f aca="false">AB21-AA21</f>
        <v>0</v>
      </c>
      <c r="AD21" s="40" t="n">
        <v>275.9</v>
      </c>
      <c r="AE21" s="41" t="n">
        <v>275.9</v>
      </c>
      <c r="AF21" s="24" t="n">
        <f aca="false">AE21-AD21</f>
        <v>0</v>
      </c>
      <c r="AG21" s="40" t="n">
        <v>657.245900000003</v>
      </c>
      <c r="AH21" s="41" t="n">
        <v>656.917900000009</v>
      </c>
      <c r="AI21" s="24" t="n">
        <f aca="false">AH21-AG21</f>
        <v>-0.327999999993835</v>
      </c>
      <c r="AJ21" s="4"/>
    </row>
    <row r="22" customFormat="false" ht="55.2" hidden="false" customHeight="false" outlineLevel="0" collapsed="false">
      <c r="A22" s="21" t="s">
        <v>55</v>
      </c>
      <c r="B22" s="21" t="n">
        <v>21</v>
      </c>
      <c r="C22" s="21" t="s">
        <v>58</v>
      </c>
      <c r="D22" s="22" t="s">
        <v>99</v>
      </c>
      <c r="E22" s="21" t="s">
        <v>312</v>
      </c>
      <c r="F22" s="21" t="s">
        <v>263</v>
      </c>
      <c r="G22" s="23" t="n">
        <v>63.16</v>
      </c>
      <c r="H22" s="4" t="s">
        <v>344</v>
      </c>
      <c r="I22" s="40" t="n">
        <v>153352.48</v>
      </c>
      <c r="J22" s="41" t="n">
        <v>153352.48</v>
      </c>
      <c r="K22" s="24" t="n">
        <f aca="false">J22-I22</f>
        <v>0</v>
      </c>
      <c r="L22" s="40" t="n">
        <v>1452.68</v>
      </c>
      <c r="M22" s="41" t="n">
        <v>1452.68</v>
      </c>
      <c r="N22" s="24" t="n">
        <f aca="false">M22-L22</f>
        <v>0</v>
      </c>
      <c r="O22" s="40" t="n">
        <v>151899.8</v>
      </c>
      <c r="P22" s="41" t="n">
        <v>151899.8</v>
      </c>
      <c r="Q22" s="24" t="n">
        <f aca="false">P22-O22</f>
        <v>0</v>
      </c>
      <c r="R22" s="40" t="n">
        <v>131883</v>
      </c>
      <c r="S22" s="41" t="n">
        <v>131883.1328</v>
      </c>
      <c r="T22" s="24" t="n">
        <f aca="false">S22-R22</f>
        <v>0.13279999999213</v>
      </c>
      <c r="U22" s="40" t="n">
        <v>131393.327</v>
      </c>
      <c r="V22" s="41" t="n">
        <v>131393.327</v>
      </c>
      <c r="W22" s="24" t="n">
        <f aca="false">V22-U22</f>
        <v>0</v>
      </c>
      <c r="X22" s="40" t="n">
        <v>489.672999999981</v>
      </c>
      <c r="Y22" s="41" t="n">
        <v>489.805800000002</v>
      </c>
      <c r="Z22" s="24" t="n">
        <f aca="false">Y22-X22</f>
        <v>0.132800000021234</v>
      </c>
      <c r="AA22" s="40" t="n">
        <v>1579</v>
      </c>
      <c r="AB22" s="41" t="n">
        <v>1579</v>
      </c>
      <c r="AC22" s="24" t="n">
        <f aca="false">AB22-AA22</f>
        <v>0</v>
      </c>
      <c r="AD22" s="40" t="n">
        <v>315.8</v>
      </c>
      <c r="AE22" s="41" t="n">
        <v>315.8</v>
      </c>
      <c r="AF22" s="24" t="n">
        <f aca="false">AE22-AD22</f>
        <v>0</v>
      </c>
      <c r="AG22" s="40" t="n">
        <v>773.52699999999</v>
      </c>
      <c r="AH22" s="41" t="n">
        <v>773.394199999998</v>
      </c>
      <c r="AI22" s="24" t="n">
        <f aca="false">AH22-AG22</f>
        <v>-0.132799999991903</v>
      </c>
      <c r="AJ22" s="4"/>
    </row>
    <row r="23" customFormat="false" ht="55.2" hidden="false" customHeight="false" outlineLevel="0" collapsed="false">
      <c r="A23" s="21" t="s">
        <v>55</v>
      </c>
      <c r="B23" s="21" t="n">
        <v>22</v>
      </c>
      <c r="C23" s="21" t="s">
        <v>69</v>
      </c>
      <c r="D23" s="22" t="s">
        <v>100</v>
      </c>
      <c r="E23" s="21" t="s">
        <v>312</v>
      </c>
      <c r="F23" s="21" t="s">
        <v>263</v>
      </c>
      <c r="G23" s="23" t="n">
        <v>27.22</v>
      </c>
      <c r="H23" s="4" t="s">
        <v>344</v>
      </c>
      <c r="I23" s="40" t="n">
        <v>66416.8</v>
      </c>
      <c r="J23" s="41" t="n">
        <v>66416.8</v>
      </c>
      <c r="K23" s="24" t="n">
        <f aca="false">J23-I23</f>
        <v>0</v>
      </c>
      <c r="L23" s="40" t="n">
        <v>626.06</v>
      </c>
      <c r="M23" s="41" t="n">
        <v>626.06</v>
      </c>
      <c r="N23" s="24" t="n">
        <f aca="false">M23-L23</f>
        <v>0</v>
      </c>
      <c r="O23" s="40" t="n">
        <v>65790.74</v>
      </c>
      <c r="P23" s="41" t="n">
        <v>65790.74</v>
      </c>
      <c r="Q23" s="24" t="n">
        <f aca="false">P23-O23</f>
        <v>0</v>
      </c>
      <c r="R23" s="40" t="n">
        <v>57118</v>
      </c>
      <c r="S23" s="41" t="n">
        <v>57118.448</v>
      </c>
      <c r="T23" s="24" t="n">
        <f aca="false">S23-R23</f>
        <v>0.447999999996682</v>
      </c>
      <c r="U23" s="40" t="n">
        <v>56908.9901</v>
      </c>
      <c r="V23" s="41" t="n">
        <v>56908.9901</v>
      </c>
      <c r="W23" s="24" t="n">
        <f aca="false">V23-U23</f>
        <v>0</v>
      </c>
      <c r="X23" s="40" t="n">
        <v>209.009899999997</v>
      </c>
      <c r="Y23" s="41" t="n">
        <v>209.457900000001</v>
      </c>
      <c r="Z23" s="24" t="n">
        <f aca="false">Y23-X23</f>
        <v>0.448000000003901</v>
      </c>
      <c r="AA23" s="40" t="n">
        <v>680.5</v>
      </c>
      <c r="AB23" s="41" t="n">
        <v>680.5</v>
      </c>
      <c r="AC23" s="24" t="n">
        <f aca="false">AB23-AA23</f>
        <v>0</v>
      </c>
      <c r="AD23" s="40" t="n">
        <v>136.1</v>
      </c>
      <c r="AE23" s="41" t="n">
        <v>136.1</v>
      </c>
      <c r="AF23" s="24" t="n">
        <f aca="false">AE23-AD23</f>
        <v>0</v>
      </c>
      <c r="AG23" s="40" t="n">
        <v>335.390100000003</v>
      </c>
      <c r="AH23" s="41" t="n">
        <v>334.942099999999</v>
      </c>
      <c r="AI23" s="24" t="n">
        <f aca="false">AH23-AG23</f>
        <v>-0.448000000004299</v>
      </c>
      <c r="AJ23" s="4"/>
    </row>
    <row r="24" customFormat="false" ht="55.2" hidden="false" customHeight="false" outlineLevel="0" collapsed="false">
      <c r="A24" s="21" t="s">
        <v>55</v>
      </c>
      <c r="B24" s="21" t="n">
        <v>23</v>
      </c>
      <c r="C24" s="21" t="s">
        <v>87</v>
      </c>
      <c r="D24" s="22" t="s">
        <v>101</v>
      </c>
      <c r="E24" s="21" t="s">
        <v>312</v>
      </c>
      <c r="F24" s="21" t="s">
        <v>263</v>
      </c>
      <c r="G24" s="23" t="n">
        <v>34.22</v>
      </c>
      <c r="H24" s="4" t="s">
        <v>344</v>
      </c>
      <c r="I24" s="40" t="n">
        <v>83496.8</v>
      </c>
      <c r="J24" s="41" t="n">
        <v>83496.8</v>
      </c>
      <c r="K24" s="24" t="n">
        <f aca="false">J24-I24</f>
        <v>0</v>
      </c>
      <c r="L24" s="40" t="n">
        <v>787.06</v>
      </c>
      <c r="M24" s="41" t="n">
        <v>787.06</v>
      </c>
      <c r="N24" s="24" t="n">
        <f aca="false">M24-L24</f>
        <v>0</v>
      </c>
      <c r="O24" s="40" t="n">
        <v>82709.74</v>
      </c>
      <c r="P24" s="41" t="n">
        <v>82709.74</v>
      </c>
      <c r="Q24" s="24" t="n">
        <f aca="false">P24-O24</f>
        <v>0</v>
      </c>
      <c r="R24" s="40" t="n">
        <v>71807</v>
      </c>
      <c r="S24" s="41" t="n">
        <v>71807.248</v>
      </c>
      <c r="T24" s="24" t="n">
        <f aca="false">S24-R24</f>
        <v>0.248000000006869</v>
      </c>
      <c r="U24" s="40" t="n">
        <v>71543.9251</v>
      </c>
      <c r="V24" s="41" t="n">
        <v>71543.9251</v>
      </c>
      <c r="W24" s="24" t="n">
        <f aca="false">V24-U24</f>
        <v>0</v>
      </c>
      <c r="X24" s="40" t="n">
        <v>263.074899999992</v>
      </c>
      <c r="Y24" s="41" t="n">
        <v>263.322899999999</v>
      </c>
      <c r="Z24" s="24" t="n">
        <f aca="false">Y24-X24</f>
        <v>0.248000000006925</v>
      </c>
      <c r="AA24" s="40" t="n">
        <v>855.5</v>
      </c>
      <c r="AB24" s="41" t="n">
        <v>855.5</v>
      </c>
      <c r="AC24" s="24" t="n">
        <f aca="false">AB24-AA24</f>
        <v>0</v>
      </c>
      <c r="AD24" s="40" t="n">
        <v>171.1</v>
      </c>
      <c r="AE24" s="41" t="n">
        <v>171.1</v>
      </c>
      <c r="AF24" s="24" t="n">
        <f aca="false">AE24-AD24</f>
        <v>0</v>
      </c>
      <c r="AG24" s="40" t="n">
        <v>421.325100000008</v>
      </c>
      <c r="AH24" s="41" t="n">
        <v>421.077100000001</v>
      </c>
      <c r="AI24" s="24" t="n">
        <f aca="false">AH24-AG24</f>
        <v>-0.248000000007153</v>
      </c>
      <c r="AJ24" s="4"/>
    </row>
    <row r="25" customFormat="false" ht="55.2" hidden="false" customHeight="false" outlineLevel="0" collapsed="false">
      <c r="A25" s="21" t="s">
        <v>55</v>
      </c>
      <c r="B25" s="21" t="n">
        <v>24</v>
      </c>
      <c r="C25" s="21" t="s">
        <v>76</v>
      </c>
      <c r="D25" s="22" t="s">
        <v>102</v>
      </c>
      <c r="E25" s="21" t="s">
        <v>312</v>
      </c>
      <c r="F25" s="21" t="s">
        <v>263</v>
      </c>
      <c r="G25" s="23" t="n">
        <v>67.8</v>
      </c>
      <c r="H25" s="4" t="s">
        <v>344</v>
      </c>
      <c r="I25" s="40" t="n">
        <v>151872</v>
      </c>
      <c r="J25" s="41" t="n">
        <v>151872</v>
      </c>
      <c r="K25" s="24" t="n">
        <f aca="false">J25-I25</f>
        <v>0</v>
      </c>
      <c r="L25" s="40" t="n">
        <v>1559.4</v>
      </c>
      <c r="M25" s="41" t="n">
        <v>1559.4</v>
      </c>
      <c r="N25" s="24" t="n">
        <f aca="false">M25-L25</f>
        <v>0</v>
      </c>
      <c r="O25" s="40" t="n">
        <v>150312.6</v>
      </c>
      <c r="P25" s="41" t="n">
        <v>150312.6</v>
      </c>
      <c r="Q25" s="24" t="n">
        <f aca="false">P25-O25</f>
        <v>0</v>
      </c>
      <c r="R25" s="40" t="n">
        <v>130609</v>
      </c>
      <c r="S25" s="41" t="n">
        <v>130609.92</v>
      </c>
      <c r="T25" s="24" t="n">
        <f aca="false">S25-R25</f>
        <v>0.919999999998254</v>
      </c>
      <c r="U25" s="40" t="n">
        <v>130020.399</v>
      </c>
      <c r="V25" s="41" t="n">
        <v>130020.399</v>
      </c>
      <c r="W25" s="24" t="n">
        <f aca="false">V25-U25</f>
        <v>0</v>
      </c>
      <c r="X25" s="40" t="n">
        <v>588.600999999995</v>
      </c>
      <c r="Y25" s="41" t="n">
        <v>589.520999999993</v>
      </c>
      <c r="Z25" s="24" t="n">
        <f aca="false">Y25-X25</f>
        <v>0.919999999998254</v>
      </c>
      <c r="AA25" s="40" t="n">
        <v>1695</v>
      </c>
      <c r="AB25" s="41" t="n">
        <v>1695</v>
      </c>
      <c r="AC25" s="24" t="n">
        <f aca="false">AB25-AA25</f>
        <v>0</v>
      </c>
      <c r="AD25" s="40" t="n">
        <v>339</v>
      </c>
      <c r="AE25" s="41" t="n">
        <v>339</v>
      </c>
      <c r="AF25" s="24" t="n">
        <f aca="false">AE25-AD25</f>
        <v>0</v>
      </c>
      <c r="AG25" s="40" t="n">
        <v>767.399000000005</v>
      </c>
      <c r="AH25" s="41" t="n">
        <v>766.479000000007</v>
      </c>
      <c r="AI25" s="24" t="n">
        <f aca="false">AH25-AG25</f>
        <v>-0.919999999998368</v>
      </c>
      <c r="AJ25" s="4"/>
    </row>
    <row r="26" customFormat="false" ht="55.2" hidden="false" customHeight="false" outlineLevel="0" collapsed="false">
      <c r="A26" s="21" t="s">
        <v>55</v>
      </c>
      <c r="B26" s="21" t="n">
        <v>25</v>
      </c>
      <c r="C26" s="21" t="s">
        <v>104</v>
      </c>
      <c r="D26" s="22" t="s">
        <v>103</v>
      </c>
      <c r="E26" s="21" t="s">
        <v>312</v>
      </c>
      <c r="F26" s="21" t="s">
        <v>263</v>
      </c>
      <c r="G26" s="23" t="n">
        <v>32.52</v>
      </c>
      <c r="H26" s="4" t="s">
        <v>344</v>
      </c>
      <c r="I26" s="40" t="n">
        <v>78048</v>
      </c>
      <c r="J26" s="41" t="n">
        <v>78048</v>
      </c>
      <c r="K26" s="24" t="n">
        <f aca="false">J26-I26</f>
        <v>0</v>
      </c>
      <c r="L26" s="40" t="n">
        <v>747.96</v>
      </c>
      <c r="M26" s="41" t="n">
        <v>747.96</v>
      </c>
      <c r="N26" s="24" t="n">
        <f aca="false">M26-L26</f>
        <v>0</v>
      </c>
      <c r="O26" s="40" t="n">
        <v>77300.04</v>
      </c>
      <c r="P26" s="41" t="n">
        <v>77300.04</v>
      </c>
      <c r="Q26" s="24" t="n">
        <f aca="false">P26-O26</f>
        <v>0</v>
      </c>
      <c r="R26" s="40" t="n">
        <v>67121</v>
      </c>
      <c r="S26" s="41" t="n">
        <v>67121.28</v>
      </c>
      <c r="T26" s="24" t="n">
        <f aca="false">S26-R26</f>
        <v>0.279999999998836</v>
      </c>
      <c r="U26" s="40" t="n">
        <v>66864.5346</v>
      </c>
      <c r="V26" s="41" t="n">
        <v>66864.5346</v>
      </c>
      <c r="W26" s="24" t="n">
        <f aca="false">V26-U26</f>
        <v>0</v>
      </c>
      <c r="X26" s="40" t="n">
        <v>256.465400000001</v>
      </c>
      <c r="Y26" s="41" t="n">
        <v>256.7454</v>
      </c>
      <c r="Z26" s="24" t="n">
        <f aca="false">Y26-X26</f>
        <v>0.279999999998779</v>
      </c>
      <c r="AA26" s="40" t="n">
        <v>813</v>
      </c>
      <c r="AB26" s="41" t="n">
        <v>813</v>
      </c>
      <c r="AC26" s="24" t="n">
        <f aca="false">AB26-AA26</f>
        <v>0</v>
      </c>
      <c r="AD26" s="40" t="n">
        <v>162.6</v>
      </c>
      <c r="AE26" s="41" t="n">
        <v>162.6</v>
      </c>
      <c r="AF26" s="24" t="n">
        <f aca="false">AE26-AD26</f>
        <v>0</v>
      </c>
      <c r="AG26" s="40" t="n">
        <v>393.934599999999</v>
      </c>
      <c r="AH26" s="41" t="n">
        <v>393.6546</v>
      </c>
      <c r="AI26" s="24" t="n">
        <f aca="false">AH26-AG26</f>
        <v>-0.279999999998836</v>
      </c>
      <c r="AJ26" s="4"/>
    </row>
    <row r="27" customFormat="false" ht="55.2" hidden="false" customHeight="false" outlineLevel="0" collapsed="false">
      <c r="A27" s="21" t="s">
        <v>55</v>
      </c>
      <c r="B27" s="21" t="n">
        <v>26</v>
      </c>
      <c r="C27" s="21" t="s">
        <v>106</v>
      </c>
      <c r="D27" s="22" t="s">
        <v>105</v>
      </c>
      <c r="E27" s="21" t="s">
        <v>312</v>
      </c>
      <c r="F27" s="21" t="s">
        <v>263</v>
      </c>
      <c r="G27" s="23" t="n">
        <v>29</v>
      </c>
      <c r="H27" s="4" t="s">
        <v>344</v>
      </c>
      <c r="I27" s="40" t="n">
        <v>71369</v>
      </c>
      <c r="J27" s="41" t="n">
        <v>71369</v>
      </c>
      <c r="K27" s="24" t="n">
        <f aca="false">J27-I27</f>
        <v>0</v>
      </c>
      <c r="L27" s="40" t="n">
        <v>667</v>
      </c>
      <c r="M27" s="41" t="n">
        <v>667</v>
      </c>
      <c r="N27" s="24" t="n">
        <f aca="false">M27-L27</f>
        <v>0</v>
      </c>
      <c r="O27" s="40" t="n">
        <v>70702</v>
      </c>
      <c r="P27" s="41" t="n">
        <v>70702</v>
      </c>
      <c r="Q27" s="24" t="n">
        <f aca="false">P27-O27</f>
        <v>0</v>
      </c>
      <c r="R27" s="40" t="n">
        <v>61377</v>
      </c>
      <c r="S27" s="41" t="n">
        <v>61377.34</v>
      </c>
      <c r="T27" s="24" t="n">
        <f aca="false">S27-R27</f>
        <v>0.339999999996508</v>
      </c>
      <c r="U27" s="40" t="n">
        <v>61157.23</v>
      </c>
      <c r="V27" s="41" t="n">
        <v>61157.23</v>
      </c>
      <c r="W27" s="24" t="n">
        <f aca="false">V27-U27</f>
        <v>0</v>
      </c>
      <c r="X27" s="40" t="n">
        <v>219.770000000004</v>
      </c>
      <c r="Y27" s="41" t="n">
        <v>220.110000000001</v>
      </c>
      <c r="Z27" s="24" t="n">
        <f aca="false">Y27-X27</f>
        <v>0.339999999996508</v>
      </c>
      <c r="AA27" s="40" t="n">
        <v>725</v>
      </c>
      <c r="AB27" s="41" t="n">
        <v>725</v>
      </c>
      <c r="AC27" s="24" t="n">
        <f aca="false">AB27-AA27</f>
        <v>0</v>
      </c>
      <c r="AD27" s="40" t="n">
        <v>145</v>
      </c>
      <c r="AE27" s="41" t="n">
        <v>145</v>
      </c>
      <c r="AF27" s="24" t="n">
        <f aca="false">AE27-AD27</f>
        <v>0</v>
      </c>
      <c r="AG27" s="40" t="n">
        <v>360.229999999996</v>
      </c>
      <c r="AH27" s="41" t="n">
        <v>359.889999999999</v>
      </c>
      <c r="AI27" s="24" t="n">
        <f aca="false">AH27-AG27</f>
        <v>-0.339999999996564</v>
      </c>
      <c r="AJ27" s="4"/>
    </row>
    <row r="28" customFormat="false" ht="55.2" hidden="false" customHeight="false" outlineLevel="0" collapsed="false">
      <c r="A28" s="21" t="s">
        <v>55</v>
      </c>
      <c r="B28" s="21" t="n">
        <v>27</v>
      </c>
      <c r="C28" s="21" t="s">
        <v>58</v>
      </c>
      <c r="D28" s="22" t="s">
        <v>108</v>
      </c>
      <c r="E28" s="21" t="s">
        <v>312</v>
      </c>
      <c r="F28" s="21" t="s">
        <v>263</v>
      </c>
      <c r="G28" s="23" t="n">
        <v>81.36</v>
      </c>
      <c r="H28" s="4" t="s">
        <v>344</v>
      </c>
      <c r="I28" s="40" t="n">
        <v>204213.6</v>
      </c>
      <c r="J28" s="41" t="n">
        <v>204213.6</v>
      </c>
      <c r="K28" s="24" t="n">
        <f aca="false">J28-I28</f>
        <v>0</v>
      </c>
      <c r="L28" s="40" t="n">
        <v>1871.28</v>
      </c>
      <c r="M28" s="41" t="n">
        <v>1871.28</v>
      </c>
      <c r="N28" s="24" t="n">
        <f aca="false">M28-L28</f>
        <v>0</v>
      </c>
      <c r="O28" s="40" t="n">
        <v>202342.32</v>
      </c>
      <c r="P28" s="41" t="n">
        <v>202342.32</v>
      </c>
      <c r="Q28" s="24" t="n">
        <f aca="false">P28-O28</f>
        <v>0</v>
      </c>
      <c r="R28" s="40" t="n">
        <v>175623</v>
      </c>
      <c r="S28" s="41" t="n">
        <v>175623.696</v>
      </c>
      <c r="T28" s="24" t="n">
        <f aca="false">S28-R28</f>
        <v>0.695999999996275</v>
      </c>
      <c r="U28" s="40" t="n">
        <v>175026.1068</v>
      </c>
      <c r="V28" s="41" t="n">
        <v>175026.1068</v>
      </c>
      <c r="W28" s="24" t="n">
        <f aca="false">V28-U28</f>
        <v>0</v>
      </c>
      <c r="X28" s="40" t="n">
        <v>596.893199999991</v>
      </c>
      <c r="Y28" s="41" t="n">
        <v>597.589199999988</v>
      </c>
      <c r="Z28" s="24" t="n">
        <f aca="false">Y28-X28</f>
        <v>0.695999999996275</v>
      </c>
      <c r="AA28" s="40" t="n">
        <v>2034</v>
      </c>
      <c r="AB28" s="41" t="n">
        <v>2034</v>
      </c>
      <c r="AC28" s="24" t="n">
        <f aca="false">AB28-AA28</f>
        <v>0</v>
      </c>
      <c r="AD28" s="40" t="n">
        <v>406.8</v>
      </c>
      <c r="AE28" s="41" t="n">
        <v>406.8</v>
      </c>
      <c r="AF28" s="24" t="n">
        <f aca="false">AE28-AD28</f>
        <v>0</v>
      </c>
      <c r="AG28" s="40" t="n">
        <v>1030.30680000001</v>
      </c>
      <c r="AH28" s="41" t="n">
        <v>1029.61080000001</v>
      </c>
      <c r="AI28" s="24" t="n">
        <f aca="false">AH28-AG28</f>
        <v>-0.695999999998094</v>
      </c>
      <c r="AJ28" s="4"/>
    </row>
    <row r="29" customFormat="false" ht="55.2" hidden="false" customHeight="false" outlineLevel="0" collapsed="false">
      <c r="A29" s="21" t="s">
        <v>55</v>
      </c>
      <c r="B29" s="21" t="n">
        <v>28</v>
      </c>
      <c r="C29" s="21" t="s">
        <v>91</v>
      </c>
      <c r="D29" s="22" t="s">
        <v>109</v>
      </c>
      <c r="E29" s="21" t="s">
        <v>312</v>
      </c>
      <c r="F29" s="21" t="s">
        <v>263</v>
      </c>
      <c r="G29" s="23" t="n">
        <v>48.75</v>
      </c>
      <c r="H29" s="4" t="s">
        <v>344</v>
      </c>
      <c r="I29" s="40" t="n">
        <v>117000</v>
      </c>
      <c r="J29" s="41" t="n">
        <v>117000</v>
      </c>
      <c r="K29" s="24" t="n">
        <f aca="false">J29-I29</f>
        <v>0</v>
      </c>
      <c r="L29" s="40" t="n">
        <v>1121.25</v>
      </c>
      <c r="M29" s="41" t="n">
        <v>1121.25</v>
      </c>
      <c r="N29" s="24" t="n">
        <f aca="false">M29-L29</f>
        <v>0</v>
      </c>
      <c r="O29" s="40" t="n">
        <v>115878.75</v>
      </c>
      <c r="P29" s="41" t="n">
        <v>115878.75</v>
      </c>
      <c r="Q29" s="24" t="n">
        <f aca="false">P29-O29</f>
        <v>0</v>
      </c>
      <c r="R29" s="40" t="n">
        <v>100620</v>
      </c>
      <c r="S29" s="41" t="n">
        <v>100620</v>
      </c>
      <c r="T29" s="24" t="n">
        <f aca="false">S29-R29</f>
        <v>0</v>
      </c>
      <c r="U29" s="40" t="n">
        <v>100235.11875</v>
      </c>
      <c r="V29" s="41" t="n">
        <v>100235.11875</v>
      </c>
      <c r="W29" s="24" t="n">
        <f aca="false">V29-U29</f>
        <v>0</v>
      </c>
      <c r="X29" s="40" t="n">
        <v>384.881250000006</v>
      </c>
      <c r="Y29" s="41" t="n">
        <v>384.881250000006</v>
      </c>
      <c r="Z29" s="24" t="n">
        <f aca="false">Y29-X29</f>
        <v>0</v>
      </c>
      <c r="AA29" s="40" t="n">
        <v>1218.75</v>
      </c>
      <c r="AB29" s="41" t="n">
        <v>1218.75</v>
      </c>
      <c r="AC29" s="24" t="n">
        <f aca="false">AB29-AA29</f>
        <v>0</v>
      </c>
      <c r="AD29" s="40" t="n">
        <v>243.75</v>
      </c>
      <c r="AE29" s="41" t="n">
        <v>243.75</v>
      </c>
      <c r="AF29" s="24" t="n">
        <f aca="false">AE29-AD29</f>
        <v>0</v>
      </c>
      <c r="AG29" s="40" t="n">
        <v>590.118749999994</v>
      </c>
      <c r="AH29" s="41" t="n">
        <v>590.118749999994</v>
      </c>
      <c r="AI29" s="24" t="n">
        <f aca="false">AH29-AG29</f>
        <v>0</v>
      </c>
      <c r="AJ29" s="4"/>
    </row>
    <row r="30" customFormat="false" ht="55.2" hidden="false" customHeight="false" outlineLevel="0" collapsed="false">
      <c r="A30" s="21" t="s">
        <v>55</v>
      </c>
      <c r="B30" s="21" t="n">
        <v>29</v>
      </c>
      <c r="C30" s="21" t="s">
        <v>111</v>
      </c>
      <c r="D30" s="22" t="s">
        <v>110</v>
      </c>
      <c r="E30" s="21" t="s">
        <v>312</v>
      </c>
      <c r="F30" s="21" t="s">
        <v>263</v>
      </c>
      <c r="G30" s="23" t="n">
        <v>99.68</v>
      </c>
      <c r="H30" s="4" t="s">
        <v>344</v>
      </c>
      <c r="I30" s="40" t="n">
        <v>248796.8</v>
      </c>
      <c r="J30" s="41" t="n">
        <v>248796.8</v>
      </c>
      <c r="K30" s="24" t="n">
        <f aca="false">J30-I30</f>
        <v>0</v>
      </c>
      <c r="L30" s="40" t="n">
        <v>2292.64</v>
      </c>
      <c r="M30" s="41" t="n">
        <v>2292.64</v>
      </c>
      <c r="N30" s="24" t="n">
        <f aca="false">M30-L30</f>
        <v>0</v>
      </c>
      <c r="O30" s="40" t="n">
        <v>246504.16</v>
      </c>
      <c r="P30" s="41" t="n">
        <v>246504.16</v>
      </c>
      <c r="Q30" s="24" t="n">
        <f aca="false">P30-O30</f>
        <v>0</v>
      </c>
      <c r="R30" s="40" t="n">
        <v>213965</v>
      </c>
      <c r="S30" s="41" t="n">
        <v>213965.248</v>
      </c>
      <c r="T30" s="24" t="n">
        <f aca="false">S30-R30</f>
        <v>0.247999999992317</v>
      </c>
      <c r="U30" s="40" t="n">
        <v>213226.0984</v>
      </c>
      <c r="V30" s="41" t="n">
        <v>213226.0984</v>
      </c>
      <c r="W30" s="24" t="n">
        <f aca="false">V30-U30</f>
        <v>0</v>
      </c>
      <c r="X30" s="40" t="n">
        <v>738.901600000012</v>
      </c>
      <c r="Y30" s="41" t="n">
        <v>739.149600000012</v>
      </c>
      <c r="Z30" s="24" t="n">
        <f aca="false">Y30-X30</f>
        <v>0.247999999999593</v>
      </c>
      <c r="AA30" s="40" t="n">
        <v>2492</v>
      </c>
      <c r="AB30" s="41" t="n">
        <v>2492</v>
      </c>
      <c r="AC30" s="24" t="n">
        <f aca="false">AB30-AA30</f>
        <v>0</v>
      </c>
      <c r="AD30" s="40" t="n">
        <v>498.4</v>
      </c>
      <c r="AE30" s="41" t="n">
        <v>498.4</v>
      </c>
      <c r="AF30" s="24" t="n">
        <f aca="false">AE30-AD30</f>
        <v>0</v>
      </c>
      <c r="AG30" s="40" t="n">
        <v>1254.69839999999</v>
      </c>
      <c r="AH30" s="41" t="n">
        <v>1254.45039999999</v>
      </c>
      <c r="AI30" s="24" t="n">
        <f aca="false">AH30-AG30</f>
        <v>-0.248000000002094</v>
      </c>
      <c r="AJ30" s="4" t="s">
        <v>346</v>
      </c>
    </row>
    <row r="31" customFormat="false" ht="55.2" hidden="false" customHeight="false" outlineLevel="0" collapsed="false">
      <c r="A31" s="21" t="s">
        <v>55</v>
      </c>
      <c r="B31" s="21" t="n">
        <v>30</v>
      </c>
      <c r="C31" s="21" t="s">
        <v>58</v>
      </c>
      <c r="D31" s="22" t="s">
        <v>114</v>
      </c>
      <c r="E31" s="21" t="s">
        <v>312</v>
      </c>
      <c r="F31" s="21" t="s">
        <v>263</v>
      </c>
      <c r="G31" s="23" t="n">
        <v>66.06</v>
      </c>
      <c r="H31" s="4" t="s">
        <v>344</v>
      </c>
      <c r="I31" s="40" t="n">
        <v>147974.4</v>
      </c>
      <c r="J31" s="41" t="n">
        <v>147974.4</v>
      </c>
      <c r="K31" s="24" t="n">
        <f aca="false">J31-I31</f>
        <v>0</v>
      </c>
      <c r="L31" s="40" t="n">
        <v>1519.38</v>
      </c>
      <c r="M31" s="41" t="n">
        <v>1519.38</v>
      </c>
      <c r="N31" s="24" t="n">
        <f aca="false">M31-L31</f>
        <v>0</v>
      </c>
      <c r="O31" s="40" t="n">
        <v>146455.02</v>
      </c>
      <c r="P31" s="41" t="n">
        <v>146455.02</v>
      </c>
      <c r="Q31" s="24" t="n">
        <f aca="false">P31-O31</f>
        <v>0</v>
      </c>
      <c r="R31" s="40" t="n">
        <v>127257</v>
      </c>
      <c r="S31" s="41" t="n">
        <v>127257.984</v>
      </c>
      <c r="T31" s="24" t="n">
        <f aca="false">S31-R31</f>
        <v>0.98399999999674</v>
      </c>
      <c r="U31" s="40" t="n">
        <v>126683.5923</v>
      </c>
      <c r="V31" s="41" t="n">
        <v>126683.5923</v>
      </c>
      <c r="W31" s="24" t="n">
        <f aca="false">V31-U31</f>
        <v>0</v>
      </c>
      <c r="X31" s="40" t="n">
        <v>573.407700000011</v>
      </c>
      <c r="Y31" s="41" t="n">
        <v>574.391700000007</v>
      </c>
      <c r="Z31" s="24" t="n">
        <f aca="false">Y31-X31</f>
        <v>0.98399999999674</v>
      </c>
      <c r="AA31" s="40" t="n">
        <v>1651.5</v>
      </c>
      <c r="AB31" s="41" t="n">
        <v>1651.5</v>
      </c>
      <c r="AC31" s="24" t="n">
        <f aca="false">AB31-AA31</f>
        <v>0</v>
      </c>
      <c r="AD31" s="40" t="n">
        <v>330.3</v>
      </c>
      <c r="AE31" s="41" t="n">
        <v>330.3</v>
      </c>
      <c r="AF31" s="24" t="n">
        <f aca="false">AE31-AD31</f>
        <v>0</v>
      </c>
      <c r="AG31" s="40" t="n">
        <v>747.792299999989</v>
      </c>
      <c r="AH31" s="41" t="n">
        <v>746.808299999993</v>
      </c>
      <c r="AI31" s="24" t="n">
        <f aca="false">AH31-AG31</f>
        <v>-0.983999999996399</v>
      </c>
      <c r="AJ31" s="4"/>
    </row>
    <row r="32" customFormat="false" ht="55.2" hidden="false" customHeight="false" outlineLevel="0" collapsed="false">
      <c r="A32" s="21" t="s">
        <v>55</v>
      </c>
      <c r="B32" s="21" t="n">
        <v>31</v>
      </c>
      <c r="C32" s="21" t="s">
        <v>58</v>
      </c>
      <c r="D32" s="22" t="s">
        <v>116</v>
      </c>
      <c r="E32" s="21" t="s">
        <v>312</v>
      </c>
      <c r="F32" s="21" t="s">
        <v>263</v>
      </c>
      <c r="G32" s="23" t="n">
        <v>67.96</v>
      </c>
      <c r="H32" s="4" t="s">
        <v>344</v>
      </c>
      <c r="I32" s="40" t="n">
        <v>152230.4</v>
      </c>
      <c r="J32" s="41" t="n">
        <v>152230.4</v>
      </c>
      <c r="K32" s="24" t="n">
        <f aca="false">J32-I32</f>
        <v>0</v>
      </c>
      <c r="L32" s="40" t="n">
        <v>1563.08</v>
      </c>
      <c r="M32" s="41" t="n">
        <v>1563.08</v>
      </c>
      <c r="N32" s="24" t="n">
        <f aca="false">M32-L32</f>
        <v>0</v>
      </c>
      <c r="O32" s="40" t="n">
        <v>150667.32</v>
      </c>
      <c r="P32" s="41" t="n">
        <v>150667.32</v>
      </c>
      <c r="Q32" s="24" t="n">
        <f aca="false">P32-O32</f>
        <v>0</v>
      </c>
      <c r="R32" s="40" t="n">
        <v>130918</v>
      </c>
      <c r="S32" s="41" t="n">
        <v>130918.144</v>
      </c>
      <c r="T32" s="24" t="n">
        <f aca="false">S32-R32</f>
        <v>0.144000000000233</v>
      </c>
      <c r="U32" s="40" t="n">
        <v>130327.2318</v>
      </c>
      <c r="V32" s="41" t="n">
        <v>130327.2318</v>
      </c>
      <c r="W32" s="24" t="n">
        <f aca="false">V32-U32</f>
        <v>0</v>
      </c>
      <c r="X32" s="40" t="n">
        <v>590.768199999991</v>
      </c>
      <c r="Y32" s="41" t="n">
        <v>590.912199999992</v>
      </c>
      <c r="Z32" s="24" t="n">
        <f aca="false">Y32-X32</f>
        <v>0.144000000000233</v>
      </c>
      <c r="AA32" s="40" t="n">
        <v>1699</v>
      </c>
      <c r="AB32" s="41" t="n">
        <v>1699</v>
      </c>
      <c r="AC32" s="24" t="n">
        <f aca="false">AB32-AA32</f>
        <v>0</v>
      </c>
      <c r="AD32" s="40" t="n">
        <v>339.8</v>
      </c>
      <c r="AE32" s="41" t="n">
        <v>339.8</v>
      </c>
      <c r="AF32" s="24" t="n">
        <f aca="false">AE32-AD32</f>
        <v>0</v>
      </c>
      <c r="AG32" s="40" t="n">
        <v>768.431800000008</v>
      </c>
      <c r="AH32" s="41" t="n">
        <v>768.287800000009</v>
      </c>
      <c r="AI32" s="24" t="n">
        <f aca="false">AH32-AG32</f>
        <v>-0.143999999999551</v>
      </c>
      <c r="AJ32" s="4"/>
    </row>
    <row r="33" customFormat="false" ht="55.2" hidden="false" customHeight="false" outlineLevel="0" collapsed="false">
      <c r="A33" s="21" t="s">
        <v>55</v>
      </c>
      <c r="B33" s="21" t="n">
        <v>32</v>
      </c>
      <c r="C33" s="21" t="s">
        <v>106</v>
      </c>
      <c r="D33" s="22" t="s">
        <v>117</v>
      </c>
      <c r="E33" s="21" t="s">
        <v>312</v>
      </c>
      <c r="F33" s="21" t="s">
        <v>263</v>
      </c>
      <c r="G33" s="23" t="n">
        <v>46.28</v>
      </c>
      <c r="H33" s="4" t="s">
        <v>344</v>
      </c>
      <c r="I33" s="40" t="n">
        <v>107924.96</v>
      </c>
      <c r="J33" s="41" t="n">
        <v>107924.96</v>
      </c>
      <c r="K33" s="24" t="n">
        <f aca="false">J33-I33</f>
        <v>0</v>
      </c>
      <c r="L33" s="40" t="n">
        <v>1064.44</v>
      </c>
      <c r="M33" s="41" t="n">
        <v>1064.44</v>
      </c>
      <c r="N33" s="24" t="n">
        <f aca="false">M33-L33</f>
        <v>0</v>
      </c>
      <c r="O33" s="40" t="n">
        <v>106860.52</v>
      </c>
      <c r="P33" s="41" t="n">
        <v>106860.52</v>
      </c>
      <c r="Q33" s="24" t="n">
        <f aca="false">P33-O33</f>
        <v>0</v>
      </c>
      <c r="R33" s="40" t="n">
        <v>92815</v>
      </c>
      <c r="S33" s="41" t="n">
        <v>92815.4656</v>
      </c>
      <c r="T33" s="24" t="n">
        <f aca="false">S33-R33</f>
        <v>0.465600000010454</v>
      </c>
      <c r="U33" s="40" t="n">
        <v>92434.3498</v>
      </c>
      <c r="V33" s="41" t="n">
        <v>92434.3498</v>
      </c>
      <c r="W33" s="24" t="n">
        <f aca="false">V33-U33</f>
        <v>0</v>
      </c>
      <c r="X33" s="40" t="n">
        <v>380.650200000004</v>
      </c>
      <c r="Y33" s="41" t="n">
        <v>381.115800000014</v>
      </c>
      <c r="Z33" s="24" t="n">
        <f aca="false">Y33-X33</f>
        <v>0.465600000010397</v>
      </c>
      <c r="AA33" s="40" t="n">
        <v>1157</v>
      </c>
      <c r="AB33" s="41" t="n">
        <v>1157</v>
      </c>
      <c r="AC33" s="24" t="n">
        <f aca="false">AB33-AA33</f>
        <v>0</v>
      </c>
      <c r="AD33" s="40" t="n">
        <v>231.4</v>
      </c>
      <c r="AE33" s="41" t="n">
        <v>231.4</v>
      </c>
      <c r="AF33" s="24" t="n">
        <f aca="false">AE33-AD33</f>
        <v>0</v>
      </c>
      <c r="AG33" s="40" t="n">
        <v>544.949799999996</v>
      </c>
      <c r="AH33" s="41" t="n">
        <v>544.484199999986</v>
      </c>
      <c r="AI33" s="24" t="n">
        <f aca="false">AH33-AG33</f>
        <v>-0.465600000010113</v>
      </c>
      <c r="AJ33" s="4"/>
    </row>
    <row r="34" customFormat="false" ht="55.2" hidden="false" customHeight="false" outlineLevel="0" collapsed="false">
      <c r="A34" s="21" t="s">
        <v>55</v>
      </c>
      <c r="B34" s="21" t="n">
        <v>33</v>
      </c>
      <c r="C34" s="21" t="s">
        <v>58</v>
      </c>
      <c r="D34" s="22" t="s">
        <v>118</v>
      </c>
      <c r="E34" s="21" t="s">
        <v>312</v>
      </c>
      <c r="F34" s="21" t="s">
        <v>263</v>
      </c>
      <c r="G34" s="23" t="n">
        <v>83.78</v>
      </c>
      <c r="H34" s="4" t="s">
        <v>344</v>
      </c>
      <c r="I34" s="40" t="n">
        <v>211125.6</v>
      </c>
      <c r="J34" s="41" t="n">
        <v>211125.6</v>
      </c>
      <c r="K34" s="24" t="n">
        <f aca="false">J34-I34</f>
        <v>0</v>
      </c>
      <c r="L34" s="40" t="n">
        <v>1926.94</v>
      </c>
      <c r="M34" s="41" t="n">
        <v>1926.94</v>
      </c>
      <c r="N34" s="24" t="n">
        <f aca="false">M34-L34</f>
        <v>0</v>
      </c>
      <c r="O34" s="40" t="n">
        <v>209198.66</v>
      </c>
      <c r="P34" s="41" t="n">
        <v>209198.66</v>
      </c>
      <c r="Q34" s="24" t="n">
        <f aca="false">P34-O34</f>
        <v>0</v>
      </c>
      <c r="R34" s="40" t="n">
        <v>181568</v>
      </c>
      <c r="S34" s="41" t="n">
        <v>181568.016</v>
      </c>
      <c r="T34" s="24" t="n">
        <f aca="false">S34-R34</f>
        <v>0.0160000000032596</v>
      </c>
      <c r="U34" s="40" t="n">
        <v>180956.8409</v>
      </c>
      <c r="V34" s="41" t="n">
        <v>180956.8409</v>
      </c>
      <c r="W34" s="24" t="n">
        <f aca="false">V34-U34</f>
        <v>0</v>
      </c>
      <c r="X34" s="40" t="n">
        <v>611.15909999999</v>
      </c>
      <c r="Y34" s="41" t="n">
        <v>611.175099999993</v>
      </c>
      <c r="Z34" s="24" t="n">
        <f aca="false">Y34-X34</f>
        <v>0.0160000000032596</v>
      </c>
      <c r="AA34" s="40" t="n">
        <v>2094.5</v>
      </c>
      <c r="AB34" s="41" t="n">
        <v>2094.5</v>
      </c>
      <c r="AC34" s="24" t="n">
        <f aca="false">AB34-AA34</f>
        <v>0</v>
      </c>
      <c r="AD34" s="40" t="n">
        <v>418.9</v>
      </c>
      <c r="AE34" s="41" t="n">
        <v>418.9</v>
      </c>
      <c r="AF34" s="24" t="n">
        <f aca="false">AE34-AD34</f>
        <v>0</v>
      </c>
      <c r="AG34" s="40" t="n">
        <v>1064.44090000001</v>
      </c>
      <c r="AH34" s="41" t="n">
        <v>1064.42490000001</v>
      </c>
      <c r="AI34" s="24" t="n">
        <f aca="false">AH34-AG34</f>
        <v>-0.0160000000030323</v>
      </c>
      <c r="AJ34" s="4"/>
    </row>
    <row r="35" customFormat="false" ht="55.2" hidden="false" customHeight="false" outlineLevel="0" collapsed="false">
      <c r="A35" s="21" t="s">
        <v>55</v>
      </c>
      <c r="B35" s="21" t="n">
        <v>34</v>
      </c>
      <c r="C35" s="21" t="s">
        <v>120</v>
      </c>
      <c r="D35" s="22" t="s">
        <v>119</v>
      </c>
      <c r="E35" s="21" t="s">
        <v>312</v>
      </c>
      <c r="F35" s="21" t="s">
        <v>263</v>
      </c>
      <c r="G35" s="23" t="n">
        <v>43.34</v>
      </c>
      <c r="H35" s="4" t="s">
        <v>344</v>
      </c>
      <c r="I35" s="40" t="n">
        <v>101068.88</v>
      </c>
      <c r="J35" s="41" t="n">
        <v>101068.88</v>
      </c>
      <c r="K35" s="24" t="n">
        <f aca="false">J35-I35</f>
        <v>0</v>
      </c>
      <c r="L35" s="40" t="n">
        <v>996.82</v>
      </c>
      <c r="M35" s="41" t="n">
        <v>996.82</v>
      </c>
      <c r="N35" s="24" t="n">
        <f aca="false">M35-L35</f>
        <v>0</v>
      </c>
      <c r="O35" s="40" t="n">
        <v>100072.06</v>
      </c>
      <c r="P35" s="41" t="n">
        <v>100072.06</v>
      </c>
      <c r="Q35" s="24" t="n">
        <f aca="false">P35-O35</f>
        <v>0</v>
      </c>
      <c r="R35" s="40" t="n">
        <v>86919</v>
      </c>
      <c r="S35" s="41" t="n">
        <v>86919.2368</v>
      </c>
      <c r="T35" s="24" t="n">
        <f aca="false">S35-R35</f>
        <v>0.236799999998766</v>
      </c>
      <c r="U35" s="40" t="n">
        <v>86562.3319</v>
      </c>
      <c r="V35" s="41" t="n">
        <v>86562.3319</v>
      </c>
      <c r="W35" s="24" t="n">
        <f aca="false">V35-U35</f>
        <v>0</v>
      </c>
      <c r="X35" s="40" t="n">
        <v>356.66810000001</v>
      </c>
      <c r="Y35" s="41" t="n">
        <v>356.904900000009</v>
      </c>
      <c r="Z35" s="24" t="n">
        <f aca="false">Y35-X35</f>
        <v>0.236799999998709</v>
      </c>
      <c r="AA35" s="40" t="n">
        <v>1083.5</v>
      </c>
      <c r="AB35" s="41" t="n">
        <v>1083.5</v>
      </c>
      <c r="AC35" s="24" t="n">
        <f aca="false">AB35-AA35</f>
        <v>0</v>
      </c>
      <c r="AD35" s="40" t="n">
        <v>216.7</v>
      </c>
      <c r="AE35" s="41" t="n">
        <v>216.7</v>
      </c>
      <c r="AF35" s="24" t="n">
        <f aca="false">AE35-AD35</f>
        <v>0</v>
      </c>
      <c r="AG35" s="40" t="n">
        <v>510.13189999999</v>
      </c>
      <c r="AH35" s="41" t="n">
        <v>509.895099999991</v>
      </c>
      <c r="AI35" s="24" t="n">
        <f aca="false">AH35-AG35</f>
        <v>-0.236799999998709</v>
      </c>
      <c r="AJ35" s="4"/>
    </row>
    <row r="36" customFormat="false" ht="55.2" hidden="false" customHeight="false" outlineLevel="0" collapsed="false">
      <c r="A36" s="21" t="s">
        <v>55</v>
      </c>
      <c r="B36" s="21" t="n">
        <v>35</v>
      </c>
      <c r="C36" s="21" t="s">
        <v>122</v>
      </c>
      <c r="D36" s="22" t="s">
        <v>121</v>
      </c>
      <c r="E36" s="21" t="s">
        <v>312</v>
      </c>
      <c r="F36" s="21" t="s">
        <v>263</v>
      </c>
      <c r="G36" s="23" t="n">
        <v>78.64</v>
      </c>
      <c r="H36" s="4" t="s">
        <v>344</v>
      </c>
      <c r="I36" s="40" t="n">
        <v>181501.12</v>
      </c>
      <c r="J36" s="41" t="n">
        <v>181501.12</v>
      </c>
      <c r="K36" s="24" t="n">
        <f aca="false">J36-I36</f>
        <v>0</v>
      </c>
      <c r="L36" s="40" t="n">
        <v>1808.72</v>
      </c>
      <c r="M36" s="41" t="n">
        <v>1808.72</v>
      </c>
      <c r="N36" s="24" t="n">
        <f aca="false">M36-L36</f>
        <v>0</v>
      </c>
      <c r="O36" s="40" t="n">
        <v>179692.4</v>
      </c>
      <c r="P36" s="41" t="n">
        <v>179692.4</v>
      </c>
      <c r="Q36" s="24" t="n">
        <f aca="false">P36-O36</f>
        <v>0</v>
      </c>
      <c r="R36" s="40" t="n">
        <v>156090</v>
      </c>
      <c r="S36" s="41" t="n">
        <v>156090.9632</v>
      </c>
      <c r="T36" s="24" t="n">
        <f aca="false">S36-R36</f>
        <v>0.963199999998324</v>
      </c>
      <c r="U36" s="40" t="n">
        <v>155433.926</v>
      </c>
      <c r="V36" s="41" t="n">
        <v>155433.926</v>
      </c>
      <c r="W36" s="24" t="n">
        <f aca="false">V36-U36</f>
        <v>0</v>
      </c>
      <c r="X36" s="40" t="n">
        <v>656.073999999993</v>
      </c>
      <c r="Y36" s="41" t="n">
        <v>657.037199999992</v>
      </c>
      <c r="Z36" s="24" t="n">
        <f aca="false">Y36-X36</f>
        <v>0.963199999998324</v>
      </c>
      <c r="AA36" s="40" t="n">
        <v>1966</v>
      </c>
      <c r="AB36" s="41" t="n">
        <v>1966</v>
      </c>
      <c r="AC36" s="24" t="n">
        <f aca="false">AB36-AA36</f>
        <v>0</v>
      </c>
      <c r="AD36" s="40" t="n">
        <v>393.2</v>
      </c>
      <c r="AE36" s="41" t="n">
        <v>393.2</v>
      </c>
      <c r="AF36" s="24" t="n">
        <f aca="false">AE36-AD36</f>
        <v>0</v>
      </c>
      <c r="AG36" s="40" t="n">
        <v>916.726000000007</v>
      </c>
      <c r="AH36" s="41" t="n">
        <v>915.762800000008</v>
      </c>
      <c r="AI36" s="24" t="n">
        <f aca="false">AH36-AG36</f>
        <v>-0.963199999998665</v>
      </c>
      <c r="AJ36" s="4"/>
    </row>
    <row r="37" customFormat="false" ht="55.2" hidden="false" customHeight="false" outlineLevel="0" collapsed="false">
      <c r="A37" s="21" t="s">
        <v>55</v>
      </c>
      <c r="B37" s="21" t="n">
        <v>36</v>
      </c>
      <c r="C37" s="21" t="s">
        <v>94</v>
      </c>
      <c r="D37" s="22" t="s">
        <v>123</v>
      </c>
      <c r="E37" s="21" t="s">
        <v>312</v>
      </c>
      <c r="F37" s="21" t="s">
        <v>263</v>
      </c>
      <c r="G37" s="23" t="n">
        <v>83.26</v>
      </c>
      <c r="H37" s="4" t="s">
        <v>344</v>
      </c>
      <c r="I37" s="40" t="n">
        <v>192164.08</v>
      </c>
      <c r="J37" s="41" t="n">
        <v>192164.08</v>
      </c>
      <c r="K37" s="24" t="n">
        <f aca="false">J37-I37</f>
        <v>0</v>
      </c>
      <c r="L37" s="40" t="n">
        <v>1914.98</v>
      </c>
      <c r="M37" s="41" t="n">
        <v>1914.98</v>
      </c>
      <c r="N37" s="24" t="n">
        <f aca="false">M37-L37</f>
        <v>0</v>
      </c>
      <c r="O37" s="40" t="n">
        <v>190249.1</v>
      </c>
      <c r="P37" s="41" t="n">
        <v>190249.1</v>
      </c>
      <c r="Q37" s="24" t="n">
        <f aca="false">P37-O37</f>
        <v>0</v>
      </c>
      <c r="R37" s="40" t="n">
        <v>165261</v>
      </c>
      <c r="S37" s="41" t="n">
        <v>165261.1088</v>
      </c>
      <c r="T37" s="24" t="n">
        <f aca="false">S37-R37</f>
        <v>0.108799999987241</v>
      </c>
      <c r="U37" s="40" t="n">
        <v>164565.4715</v>
      </c>
      <c r="V37" s="41" t="n">
        <v>164565.4715</v>
      </c>
      <c r="W37" s="24" t="n">
        <f aca="false">V37-U37</f>
        <v>0</v>
      </c>
      <c r="X37" s="40" t="n">
        <v>695.528500000015</v>
      </c>
      <c r="Y37" s="41" t="n">
        <v>695.637300000002</v>
      </c>
      <c r="Z37" s="24" t="n">
        <f aca="false">Y37-X37</f>
        <v>0.108799999987241</v>
      </c>
      <c r="AA37" s="40" t="n">
        <v>2081.5</v>
      </c>
      <c r="AB37" s="41" t="n">
        <v>2081.5</v>
      </c>
      <c r="AC37" s="24" t="n">
        <f aca="false">AB37-AA37</f>
        <v>0</v>
      </c>
      <c r="AD37" s="40" t="n">
        <v>416.3</v>
      </c>
      <c r="AE37" s="41" t="n">
        <v>416.3</v>
      </c>
      <c r="AF37" s="24" t="n">
        <f aca="false">AE37-AD37</f>
        <v>0</v>
      </c>
      <c r="AG37" s="40" t="n">
        <v>969.671500000014</v>
      </c>
      <c r="AH37" s="41" t="n">
        <v>969.562699999998</v>
      </c>
      <c r="AI37" s="24" t="n">
        <f aca="false">AH37-AG37</f>
        <v>-0.108800000016117</v>
      </c>
      <c r="AJ37" s="4"/>
    </row>
    <row r="38" customFormat="false" ht="55.2" hidden="false" customHeight="false" outlineLevel="0" collapsed="false">
      <c r="A38" s="21" t="s">
        <v>55</v>
      </c>
      <c r="B38" s="21" t="n">
        <v>37</v>
      </c>
      <c r="C38" s="21" t="s">
        <v>76</v>
      </c>
      <c r="D38" s="22" t="s">
        <v>124</v>
      </c>
      <c r="E38" s="21" t="s">
        <v>312</v>
      </c>
      <c r="F38" s="21" t="s">
        <v>263</v>
      </c>
      <c r="G38" s="23" t="n">
        <v>81.92</v>
      </c>
      <c r="H38" s="4" t="s">
        <v>344</v>
      </c>
      <c r="I38" s="40" t="n">
        <v>205619.2</v>
      </c>
      <c r="J38" s="41" t="n">
        <v>205619.2</v>
      </c>
      <c r="K38" s="24" t="n">
        <f aca="false">J38-I38</f>
        <v>0</v>
      </c>
      <c r="L38" s="40" t="n">
        <v>1884.16</v>
      </c>
      <c r="M38" s="41" t="n">
        <v>1884.16</v>
      </c>
      <c r="N38" s="24" t="n">
        <f aca="false">M38-L38</f>
        <v>0</v>
      </c>
      <c r="O38" s="40" t="n">
        <v>203735.04</v>
      </c>
      <c r="P38" s="41" t="n">
        <v>203735.04</v>
      </c>
      <c r="Q38" s="24" t="n">
        <f aca="false">P38-O38</f>
        <v>0</v>
      </c>
      <c r="R38" s="40" t="n">
        <v>176832</v>
      </c>
      <c r="S38" s="41" t="n">
        <v>176832.512</v>
      </c>
      <c r="T38" s="24" t="n">
        <f aca="false">S38-R38</f>
        <v>0.511999999987893</v>
      </c>
      <c r="U38" s="40" t="n">
        <v>176230.8096</v>
      </c>
      <c r="V38" s="41" t="n">
        <v>176230.8096</v>
      </c>
      <c r="W38" s="24" t="n">
        <f aca="false">V38-U38</f>
        <v>0</v>
      </c>
      <c r="X38" s="40" t="n">
        <v>601.190399999992</v>
      </c>
      <c r="Y38" s="41" t="n">
        <v>601.702400000009</v>
      </c>
      <c r="Z38" s="24" t="n">
        <f aca="false">Y38-X38</f>
        <v>0.512000000016997</v>
      </c>
      <c r="AA38" s="40" t="n">
        <v>2048</v>
      </c>
      <c r="AB38" s="41" t="n">
        <v>2048</v>
      </c>
      <c r="AC38" s="24" t="n">
        <f aca="false">AB38-AA38</f>
        <v>0</v>
      </c>
      <c r="AD38" s="40" t="n">
        <v>409.6</v>
      </c>
      <c r="AE38" s="41" t="n">
        <v>409.6</v>
      </c>
      <c r="AF38" s="24" t="n">
        <f aca="false">AE38-AD38</f>
        <v>0</v>
      </c>
      <c r="AG38" s="40" t="n">
        <v>1037.20960000001</v>
      </c>
      <c r="AH38" s="41" t="n">
        <v>1036.69759999999</v>
      </c>
      <c r="AI38" s="24" t="n">
        <f aca="false">AH38-AG38</f>
        <v>-0.512000000018816</v>
      </c>
      <c r="AJ38" s="4"/>
    </row>
    <row r="39" customFormat="false" ht="55.2" hidden="false" customHeight="false" outlineLevel="0" collapsed="false">
      <c r="A39" s="21" t="s">
        <v>55</v>
      </c>
      <c r="B39" s="21" t="n">
        <v>38</v>
      </c>
      <c r="C39" s="21" t="s">
        <v>61</v>
      </c>
      <c r="D39" s="22" t="s">
        <v>126</v>
      </c>
      <c r="E39" s="21" t="s">
        <v>312</v>
      </c>
      <c r="F39" s="21" t="s">
        <v>263</v>
      </c>
      <c r="G39" s="23" t="n">
        <v>25.12</v>
      </c>
      <c r="H39" s="4" t="s">
        <v>344</v>
      </c>
      <c r="I39" s="40" t="n">
        <v>60288</v>
      </c>
      <c r="J39" s="41" t="n">
        <v>60288</v>
      </c>
      <c r="K39" s="24" t="n">
        <f aca="false">J39-I39</f>
        <v>0</v>
      </c>
      <c r="L39" s="40" t="n">
        <v>577.76</v>
      </c>
      <c r="M39" s="41" t="n">
        <v>577.76</v>
      </c>
      <c r="N39" s="24" t="n">
        <f aca="false">M39-L39</f>
        <v>0</v>
      </c>
      <c r="O39" s="40" t="n">
        <v>59710.24</v>
      </c>
      <c r="P39" s="41" t="n">
        <v>59710.24</v>
      </c>
      <c r="Q39" s="24" t="n">
        <f aca="false">P39-O39</f>
        <v>0</v>
      </c>
      <c r="R39" s="40" t="n">
        <v>51847</v>
      </c>
      <c r="S39" s="41" t="n">
        <v>51847.68</v>
      </c>
      <c r="T39" s="24" t="n">
        <f aca="false">S39-R39</f>
        <v>0.680000000000291</v>
      </c>
      <c r="U39" s="40" t="n">
        <v>51649.3576</v>
      </c>
      <c r="V39" s="41" t="n">
        <v>51649.3576</v>
      </c>
      <c r="W39" s="24" t="n">
        <f aca="false">V39-U39</f>
        <v>0</v>
      </c>
      <c r="X39" s="40" t="n">
        <v>197.642400000004</v>
      </c>
      <c r="Y39" s="41" t="n">
        <v>198.322400000005</v>
      </c>
      <c r="Z39" s="24" t="n">
        <f aca="false">Y39-X39</f>
        <v>0.680000000000291</v>
      </c>
      <c r="AA39" s="40" t="n">
        <v>628</v>
      </c>
      <c r="AB39" s="41" t="n">
        <v>628</v>
      </c>
      <c r="AC39" s="24" t="n">
        <f aca="false">AB39-AA39</f>
        <v>0</v>
      </c>
      <c r="AD39" s="40" t="n">
        <v>125.6</v>
      </c>
      <c r="AE39" s="41" t="n">
        <v>125.6</v>
      </c>
      <c r="AF39" s="24" t="n">
        <f aca="false">AE39-AD39</f>
        <v>0</v>
      </c>
      <c r="AG39" s="40" t="n">
        <v>304.757599999996</v>
      </c>
      <c r="AH39" s="41" t="n">
        <v>304.077599999995</v>
      </c>
      <c r="AI39" s="24" t="n">
        <f aca="false">AH39-AG39</f>
        <v>-0.680000000000575</v>
      </c>
      <c r="AJ39" s="4"/>
    </row>
    <row r="40" customFormat="false" ht="55.2" hidden="false" customHeight="false" outlineLevel="0" collapsed="false">
      <c r="A40" s="21" t="s">
        <v>55</v>
      </c>
      <c r="B40" s="21" t="n">
        <v>39</v>
      </c>
      <c r="C40" s="21" t="s">
        <v>106</v>
      </c>
      <c r="D40" s="22" t="s">
        <v>127</v>
      </c>
      <c r="E40" s="21" t="s">
        <v>312</v>
      </c>
      <c r="F40" s="21" t="s">
        <v>263</v>
      </c>
      <c r="G40" s="23" t="n">
        <v>29.08</v>
      </c>
      <c r="H40" s="4" t="s">
        <v>344</v>
      </c>
      <c r="I40" s="40" t="n">
        <v>71216.92</v>
      </c>
      <c r="J40" s="41" t="n">
        <v>71216.92</v>
      </c>
      <c r="K40" s="24" t="n">
        <f aca="false">J40-I40</f>
        <v>0</v>
      </c>
      <c r="L40" s="40" t="n">
        <v>668.84</v>
      </c>
      <c r="M40" s="41" t="n">
        <v>668.84</v>
      </c>
      <c r="N40" s="24" t="n">
        <f aca="false">M40-L40</f>
        <v>0</v>
      </c>
      <c r="O40" s="40" t="n">
        <v>70548.08</v>
      </c>
      <c r="P40" s="41" t="n">
        <v>70548.08</v>
      </c>
      <c r="Q40" s="24" t="n">
        <f aca="false">P40-O40</f>
        <v>0</v>
      </c>
      <c r="R40" s="40" t="n">
        <v>61246</v>
      </c>
      <c r="S40" s="41" t="n">
        <v>61246.5512</v>
      </c>
      <c r="T40" s="24" t="n">
        <f aca="false">S40-R40</f>
        <v>0.551199999987148</v>
      </c>
      <c r="U40" s="40" t="n">
        <v>61024.0892</v>
      </c>
      <c r="V40" s="41" t="n">
        <v>61024.0892</v>
      </c>
      <c r="W40" s="24" t="n">
        <f aca="false">V40-U40</f>
        <v>0</v>
      </c>
      <c r="X40" s="40" t="n">
        <v>221.910799999998</v>
      </c>
      <c r="Y40" s="41" t="n">
        <v>222.461999999992</v>
      </c>
      <c r="Z40" s="24" t="n">
        <f aca="false">Y40-X40</f>
        <v>0.551199999994481</v>
      </c>
      <c r="AA40" s="40" t="n">
        <v>727</v>
      </c>
      <c r="AB40" s="41" t="n">
        <v>727</v>
      </c>
      <c r="AC40" s="24" t="n">
        <f aca="false">AB40-AA40</f>
        <v>0</v>
      </c>
      <c r="AD40" s="40" t="n">
        <v>145.4</v>
      </c>
      <c r="AE40" s="41" t="n">
        <v>145.4</v>
      </c>
      <c r="AF40" s="24" t="n">
        <f aca="false">AE40-AD40</f>
        <v>0</v>
      </c>
      <c r="AG40" s="40" t="n">
        <v>359.689200000002</v>
      </c>
      <c r="AH40" s="41" t="n">
        <v>359.138000000008</v>
      </c>
      <c r="AI40" s="24" t="n">
        <f aca="false">AH40-AG40</f>
        <v>-0.551199999994196</v>
      </c>
      <c r="AJ40" s="4"/>
    </row>
    <row r="41" customFormat="false" ht="55.2" hidden="false" customHeight="false" outlineLevel="0" collapsed="false">
      <c r="A41" s="21" t="s">
        <v>55</v>
      </c>
      <c r="B41" s="21" t="n">
        <v>40</v>
      </c>
      <c r="C41" s="21" t="s">
        <v>61</v>
      </c>
      <c r="D41" s="22" t="s">
        <v>128</v>
      </c>
      <c r="E41" s="21" t="s">
        <v>312</v>
      </c>
      <c r="F41" s="21" t="s">
        <v>263</v>
      </c>
      <c r="G41" s="23" t="n">
        <v>56.78</v>
      </c>
      <c r="H41" s="4" t="s">
        <v>344</v>
      </c>
      <c r="I41" s="40" t="n">
        <v>137407.6</v>
      </c>
      <c r="J41" s="41" t="n">
        <v>137407.6</v>
      </c>
      <c r="K41" s="24" t="n">
        <f aca="false">J41-I41</f>
        <v>0</v>
      </c>
      <c r="L41" s="40" t="n">
        <v>1305.94</v>
      </c>
      <c r="M41" s="41" t="n">
        <v>1305.94</v>
      </c>
      <c r="N41" s="24" t="n">
        <f aca="false">M41-L41</f>
        <v>0</v>
      </c>
      <c r="O41" s="40" t="n">
        <v>136101.66</v>
      </c>
      <c r="P41" s="41" t="n">
        <v>136101.66</v>
      </c>
      <c r="Q41" s="24" t="n">
        <f aca="false">P41-O41</f>
        <v>0</v>
      </c>
      <c r="R41" s="40" t="n">
        <v>118170</v>
      </c>
      <c r="S41" s="41" t="n">
        <v>118170.536</v>
      </c>
      <c r="T41" s="24" t="n">
        <f aca="false">S41-R41</f>
        <v>0.535999999992782</v>
      </c>
      <c r="U41" s="40" t="n">
        <v>117727.9359</v>
      </c>
      <c r="V41" s="41" t="n">
        <v>117727.9359</v>
      </c>
      <c r="W41" s="24" t="n">
        <f aca="false">V41-U41</f>
        <v>0</v>
      </c>
      <c r="X41" s="40" t="n">
        <v>442.064100000003</v>
      </c>
      <c r="Y41" s="41" t="n">
        <v>442.600100000011</v>
      </c>
      <c r="Z41" s="24" t="n">
        <f aca="false">Y41-X41</f>
        <v>0.536000000007448</v>
      </c>
      <c r="AA41" s="40" t="n">
        <v>1419.5</v>
      </c>
      <c r="AB41" s="41" t="n">
        <v>1419.5</v>
      </c>
      <c r="AC41" s="24" t="n">
        <f aca="false">AB41-AA41</f>
        <v>0</v>
      </c>
      <c r="AD41" s="40" t="n">
        <v>283.9</v>
      </c>
      <c r="AE41" s="41" t="n">
        <v>283.9</v>
      </c>
      <c r="AF41" s="24" t="n">
        <f aca="false">AE41-AD41</f>
        <v>0</v>
      </c>
      <c r="AG41" s="40" t="n">
        <v>693.535899999997</v>
      </c>
      <c r="AH41" s="41" t="n">
        <v>692.99989999999</v>
      </c>
      <c r="AI41" s="24" t="n">
        <f aca="false">AH41-AG41</f>
        <v>-0.536000000007562</v>
      </c>
      <c r="AJ41" s="4"/>
    </row>
    <row r="42" customFormat="false" ht="55.2" hidden="false" customHeight="false" outlineLevel="0" collapsed="false">
      <c r="A42" s="21" t="s">
        <v>55</v>
      </c>
      <c r="B42" s="21" t="n">
        <v>41</v>
      </c>
      <c r="C42" s="21" t="s">
        <v>58</v>
      </c>
      <c r="D42" s="22" t="s">
        <v>129</v>
      </c>
      <c r="E42" s="21" t="s">
        <v>312</v>
      </c>
      <c r="F42" s="21" t="s">
        <v>263</v>
      </c>
      <c r="G42" s="23" t="n">
        <v>80.96</v>
      </c>
      <c r="H42" s="4" t="s">
        <v>344</v>
      </c>
      <c r="I42" s="40" t="n">
        <v>203209.6</v>
      </c>
      <c r="J42" s="41" t="n">
        <v>203209.6</v>
      </c>
      <c r="K42" s="24" t="n">
        <f aca="false">J42-I42</f>
        <v>0</v>
      </c>
      <c r="L42" s="40" t="n">
        <v>1862.08</v>
      </c>
      <c r="M42" s="41" t="n">
        <v>1862.08</v>
      </c>
      <c r="N42" s="24" t="n">
        <f aca="false">M42-L42</f>
        <v>0</v>
      </c>
      <c r="O42" s="40" t="n">
        <v>201347.52</v>
      </c>
      <c r="P42" s="41" t="n">
        <v>201347.52</v>
      </c>
      <c r="Q42" s="24" t="n">
        <f aca="false">P42-O42</f>
        <v>0</v>
      </c>
      <c r="R42" s="40" t="n">
        <v>174760</v>
      </c>
      <c r="S42" s="41" t="n">
        <v>174760.256</v>
      </c>
      <c r="T42" s="24" t="n">
        <f aca="false">S42-R42</f>
        <v>0.255999999993946</v>
      </c>
      <c r="U42" s="40" t="n">
        <v>174165.6048</v>
      </c>
      <c r="V42" s="41" t="n">
        <v>174165.6048</v>
      </c>
      <c r="W42" s="24" t="n">
        <f aca="false">V42-U42</f>
        <v>0</v>
      </c>
      <c r="X42" s="40" t="n">
        <v>594.395199999999</v>
      </c>
      <c r="Y42" s="41" t="n">
        <v>594.651199999993</v>
      </c>
      <c r="Z42" s="24" t="n">
        <f aca="false">Y42-X42</f>
        <v>0.255999999993946</v>
      </c>
      <c r="AA42" s="40" t="n">
        <v>2024</v>
      </c>
      <c r="AB42" s="41" t="n">
        <v>2024</v>
      </c>
      <c r="AC42" s="24" t="n">
        <f aca="false">AB42-AA42</f>
        <v>0</v>
      </c>
      <c r="AD42" s="40" t="n">
        <v>404.8</v>
      </c>
      <c r="AE42" s="41" t="n">
        <v>404.8</v>
      </c>
      <c r="AF42" s="24" t="n">
        <f aca="false">AE42-AD42</f>
        <v>0</v>
      </c>
      <c r="AG42" s="40" t="n">
        <v>1024.8048</v>
      </c>
      <c r="AH42" s="41" t="n">
        <v>1024.54880000001</v>
      </c>
      <c r="AI42" s="24" t="n">
        <f aca="false">AH42-AG42</f>
        <v>-0.25599999999281</v>
      </c>
      <c r="AJ42" s="4"/>
    </row>
    <row r="43" customFormat="false" ht="55.2" hidden="false" customHeight="false" outlineLevel="0" collapsed="false">
      <c r="A43" s="21" t="s">
        <v>55</v>
      </c>
      <c r="B43" s="21" t="n">
        <v>42</v>
      </c>
      <c r="C43" s="21" t="s">
        <v>58</v>
      </c>
      <c r="D43" s="22" t="s">
        <v>130</v>
      </c>
      <c r="E43" s="21" t="s">
        <v>312</v>
      </c>
      <c r="F43" s="21" t="s">
        <v>263</v>
      </c>
      <c r="G43" s="23" t="n">
        <v>69.66</v>
      </c>
      <c r="H43" s="4" t="s">
        <v>344</v>
      </c>
      <c r="I43" s="40" t="n">
        <v>156038.4</v>
      </c>
      <c r="J43" s="41" t="n">
        <v>156038.4</v>
      </c>
      <c r="K43" s="24" t="n">
        <f aca="false">J43-I43</f>
        <v>0</v>
      </c>
      <c r="L43" s="40" t="n">
        <v>1602.18</v>
      </c>
      <c r="M43" s="41" t="n">
        <v>1602.18</v>
      </c>
      <c r="N43" s="24" t="n">
        <f aca="false">M43-L43</f>
        <v>0</v>
      </c>
      <c r="O43" s="40" t="n">
        <v>154436.22</v>
      </c>
      <c r="P43" s="41" t="n">
        <v>154436.22</v>
      </c>
      <c r="Q43" s="24" t="n">
        <f aca="false">P43-O43</f>
        <v>0</v>
      </c>
      <c r="R43" s="40" t="n">
        <v>134193</v>
      </c>
      <c r="S43" s="41" t="n">
        <v>134193.024</v>
      </c>
      <c r="T43" s="24" t="n">
        <f aca="false">S43-R43</f>
        <v>0.0240000000048894</v>
      </c>
      <c r="U43" s="40" t="n">
        <v>133587.3303</v>
      </c>
      <c r="V43" s="41" t="n">
        <v>133587.3303</v>
      </c>
      <c r="W43" s="24" t="n">
        <f aca="false">V43-U43</f>
        <v>0</v>
      </c>
      <c r="X43" s="40" t="n">
        <v>605.669699999999</v>
      </c>
      <c r="Y43" s="41" t="n">
        <v>605.693700000003</v>
      </c>
      <c r="Z43" s="24" t="n">
        <f aca="false">Y43-X43</f>
        <v>0.0240000000048894</v>
      </c>
      <c r="AA43" s="40" t="n">
        <v>1741.5</v>
      </c>
      <c r="AB43" s="41" t="n">
        <v>1741.5</v>
      </c>
      <c r="AC43" s="24" t="n">
        <f aca="false">AB43-AA43</f>
        <v>0</v>
      </c>
      <c r="AD43" s="40" t="n">
        <v>348.3</v>
      </c>
      <c r="AE43" s="41" t="n">
        <v>348.3</v>
      </c>
      <c r="AF43" s="24" t="n">
        <f aca="false">AE43-AD43</f>
        <v>0</v>
      </c>
      <c r="AG43" s="40" t="n">
        <v>787.530300000001</v>
      </c>
      <c r="AH43" s="41" t="n">
        <v>787.506299999997</v>
      </c>
      <c r="AI43" s="24" t="n">
        <f aca="false">AH43-AG43</f>
        <v>-0.0240000000044347</v>
      </c>
      <c r="AJ43" s="4"/>
    </row>
    <row r="44" customFormat="false" ht="55.2" hidden="false" customHeight="false" outlineLevel="0" collapsed="false">
      <c r="A44" s="21" t="s">
        <v>55</v>
      </c>
      <c r="B44" s="21" t="n">
        <v>43</v>
      </c>
      <c r="C44" s="21" t="s">
        <v>91</v>
      </c>
      <c r="D44" s="22" t="s">
        <v>132</v>
      </c>
      <c r="E44" s="21" t="s">
        <v>312</v>
      </c>
      <c r="F44" s="21" t="s">
        <v>263</v>
      </c>
      <c r="G44" s="23" t="n">
        <v>49.1</v>
      </c>
      <c r="H44" s="4" t="s">
        <v>344</v>
      </c>
      <c r="I44" s="40" t="n">
        <v>117840</v>
      </c>
      <c r="J44" s="41" t="n">
        <v>117840</v>
      </c>
      <c r="K44" s="24" t="n">
        <f aca="false">J44-I44</f>
        <v>0</v>
      </c>
      <c r="L44" s="40" t="n">
        <v>1129.3</v>
      </c>
      <c r="M44" s="41" t="n">
        <v>1129.3</v>
      </c>
      <c r="N44" s="24" t="n">
        <f aca="false">M44-L44</f>
        <v>0</v>
      </c>
      <c r="O44" s="40" t="n">
        <v>116710.7</v>
      </c>
      <c r="P44" s="41" t="n">
        <v>116710.7</v>
      </c>
      <c r="Q44" s="24" t="n">
        <f aca="false">P44-O44</f>
        <v>0</v>
      </c>
      <c r="R44" s="40" t="n">
        <v>101342</v>
      </c>
      <c r="S44" s="41" t="n">
        <v>101342.4</v>
      </c>
      <c r="T44" s="24" t="n">
        <f aca="false">S44-R44</f>
        <v>0.399999999994179</v>
      </c>
      <c r="U44" s="40" t="n">
        <v>100954.7555</v>
      </c>
      <c r="V44" s="41" t="n">
        <v>100954.7555</v>
      </c>
      <c r="W44" s="24" t="n">
        <f aca="false">V44-U44</f>
        <v>0</v>
      </c>
      <c r="X44" s="40" t="n">
        <v>387.244500000001</v>
      </c>
      <c r="Y44" s="41" t="n">
        <v>387.644499999995</v>
      </c>
      <c r="Z44" s="24" t="n">
        <f aca="false">Y44-X44</f>
        <v>0.399999999994179</v>
      </c>
      <c r="AA44" s="40" t="n">
        <v>1227.5</v>
      </c>
      <c r="AB44" s="41" t="n">
        <v>1227.5</v>
      </c>
      <c r="AC44" s="24" t="n">
        <f aca="false">AB44-AA44</f>
        <v>0</v>
      </c>
      <c r="AD44" s="40" t="n">
        <v>245.5</v>
      </c>
      <c r="AE44" s="41" t="n">
        <v>245.5</v>
      </c>
      <c r="AF44" s="24" t="n">
        <f aca="false">AE44-AD44</f>
        <v>0</v>
      </c>
      <c r="AG44" s="40" t="n">
        <v>594.755499999999</v>
      </c>
      <c r="AH44" s="41" t="n">
        <v>594.355500000005</v>
      </c>
      <c r="AI44" s="24" t="n">
        <f aca="false">AH44-AG44</f>
        <v>-0.399999999993838</v>
      </c>
      <c r="AJ44" s="4"/>
    </row>
    <row r="45" customFormat="false" ht="55.2" hidden="false" customHeight="false" outlineLevel="0" collapsed="false">
      <c r="A45" s="21" t="s">
        <v>55</v>
      </c>
      <c r="B45" s="21" t="n">
        <v>44</v>
      </c>
      <c r="C45" s="21" t="s">
        <v>61</v>
      </c>
      <c r="D45" s="22" t="s">
        <v>133</v>
      </c>
      <c r="E45" s="21" t="s">
        <v>312</v>
      </c>
      <c r="F45" s="21" t="s">
        <v>263</v>
      </c>
      <c r="G45" s="23" t="n">
        <v>25.96</v>
      </c>
      <c r="H45" s="4" t="s">
        <v>344</v>
      </c>
      <c r="I45" s="40" t="n">
        <v>61265.6</v>
      </c>
      <c r="J45" s="41" t="n">
        <v>61265.6</v>
      </c>
      <c r="K45" s="24" t="n">
        <f aca="false">J45-I45</f>
        <v>0</v>
      </c>
      <c r="L45" s="40" t="n">
        <v>597.08</v>
      </c>
      <c r="M45" s="41" t="n">
        <v>597.08</v>
      </c>
      <c r="N45" s="24" t="n">
        <f aca="false">M45-L45</f>
        <v>0</v>
      </c>
      <c r="O45" s="40" t="n">
        <v>60668.52</v>
      </c>
      <c r="P45" s="41" t="n">
        <v>60668.52</v>
      </c>
      <c r="Q45" s="24" t="n">
        <f aca="false">P45-O45</f>
        <v>0</v>
      </c>
      <c r="R45" s="40" t="n">
        <v>52688</v>
      </c>
      <c r="S45" s="41" t="n">
        <v>52688.416</v>
      </c>
      <c r="T45" s="24" t="n">
        <f aca="false">S45-R45</f>
        <v>0.415999999997439</v>
      </c>
      <c r="U45" s="40" t="n">
        <v>52478.2698</v>
      </c>
      <c r="V45" s="41" t="n">
        <v>52478.2698</v>
      </c>
      <c r="W45" s="24" t="n">
        <f aca="false">V45-U45</f>
        <v>0</v>
      </c>
      <c r="X45" s="40" t="n">
        <v>209.730200000005</v>
      </c>
      <c r="Y45" s="41" t="n">
        <v>210.146200000003</v>
      </c>
      <c r="Z45" s="24" t="n">
        <f aca="false">Y45-X45</f>
        <v>0.415999999997496</v>
      </c>
      <c r="AA45" s="40" t="n">
        <v>649</v>
      </c>
      <c r="AB45" s="41" t="n">
        <v>649</v>
      </c>
      <c r="AC45" s="24" t="n">
        <f aca="false">AB45-AA45</f>
        <v>0</v>
      </c>
      <c r="AD45" s="40" t="n">
        <v>129.8</v>
      </c>
      <c r="AE45" s="41" t="n">
        <v>129.8</v>
      </c>
      <c r="AF45" s="24" t="n">
        <f aca="false">AE45-AD45</f>
        <v>0</v>
      </c>
      <c r="AG45" s="40" t="n">
        <v>309.469799999995</v>
      </c>
      <c r="AH45" s="41" t="n">
        <v>309.053799999997</v>
      </c>
      <c r="AI45" s="24" t="n">
        <f aca="false">AH45-AG45</f>
        <v>-0.415999999997894</v>
      </c>
      <c r="AJ45" s="4"/>
    </row>
    <row r="46" customFormat="false" ht="55.2" hidden="false" customHeight="false" outlineLevel="0" collapsed="false">
      <c r="A46" s="21" t="s">
        <v>55</v>
      </c>
      <c r="B46" s="21" t="n">
        <v>45</v>
      </c>
      <c r="C46" s="21" t="s">
        <v>96</v>
      </c>
      <c r="D46" s="22" t="s">
        <v>134</v>
      </c>
      <c r="E46" s="21" t="s">
        <v>312</v>
      </c>
      <c r="F46" s="21" t="s">
        <v>263</v>
      </c>
      <c r="G46" s="23" t="n">
        <v>47.51</v>
      </c>
      <c r="H46" s="4" t="s">
        <v>344</v>
      </c>
      <c r="I46" s="40" t="n">
        <v>110793.32</v>
      </c>
      <c r="J46" s="41" t="n">
        <v>110793.32</v>
      </c>
      <c r="K46" s="24" t="n">
        <f aca="false">J46-I46</f>
        <v>0</v>
      </c>
      <c r="L46" s="40" t="n">
        <v>1092.73</v>
      </c>
      <c r="M46" s="41" t="n">
        <v>1092.73</v>
      </c>
      <c r="N46" s="24" t="n">
        <f aca="false">M46-L46</f>
        <v>0</v>
      </c>
      <c r="O46" s="40" t="n">
        <v>109700.59</v>
      </c>
      <c r="P46" s="41" t="n">
        <v>109700.59</v>
      </c>
      <c r="Q46" s="24" t="n">
        <f aca="false">P46-O46</f>
        <v>0</v>
      </c>
      <c r="R46" s="40" t="n">
        <v>95282</v>
      </c>
      <c r="S46" s="41" t="n">
        <v>95282.2552</v>
      </c>
      <c r="T46" s="24" t="n">
        <f aca="false">S46-R46</f>
        <v>0.255199999999604</v>
      </c>
      <c r="U46" s="40" t="n">
        <v>94891.01035</v>
      </c>
      <c r="V46" s="41" t="n">
        <v>94891.01035</v>
      </c>
      <c r="W46" s="24" t="n">
        <f aca="false">V46-U46</f>
        <v>0</v>
      </c>
      <c r="X46" s="40" t="n">
        <v>390.989649999989</v>
      </c>
      <c r="Y46" s="41" t="n">
        <v>391.244849999988</v>
      </c>
      <c r="Z46" s="24" t="n">
        <f aca="false">Y46-X46</f>
        <v>0.255199999999604</v>
      </c>
      <c r="AA46" s="40" t="n">
        <v>1187.75</v>
      </c>
      <c r="AB46" s="41" t="n">
        <v>1187.75</v>
      </c>
      <c r="AC46" s="24" t="n">
        <f aca="false">AB46-AA46</f>
        <v>0</v>
      </c>
      <c r="AD46" s="40" t="n">
        <v>237.55</v>
      </c>
      <c r="AE46" s="41" t="n">
        <v>237.55</v>
      </c>
      <c r="AF46" s="24" t="n">
        <f aca="false">AE46-AD46</f>
        <v>0</v>
      </c>
      <c r="AG46" s="40" t="n">
        <v>559.210349999997</v>
      </c>
      <c r="AH46" s="41" t="n">
        <v>558.955150000012</v>
      </c>
      <c r="AI46" s="24" t="n">
        <f aca="false">AH46-AG46</f>
        <v>-0.255199999985166</v>
      </c>
      <c r="AJ46" s="4"/>
    </row>
    <row r="47" customFormat="false" ht="55.2" hidden="false" customHeight="false" outlineLevel="0" collapsed="false">
      <c r="A47" s="21" t="s">
        <v>55</v>
      </c>
      <c r="B47" s="21" t="n">
        <v>46</v>
      </c>
      <c r="C47" s="21" t="s">
        <v>58</v>
      </c>
      <c r="D47" s="22" t="s">
        <v>135</v>
      </c>
      <c r="E47" s="21" t="s">
        <v>312</v>
      </c>
      <c r="F47" s="21" t="s">
        <v>263</v>
      </c>
      <c r="G47" s="23" t="n">
        <v>70.76</v>
      </c>
      <c r="H47" s="4" t="s">
        <v>344</v>
      </c>
      <c r="I47" s="40" t="n">
        <v>158502.4</v>
      </c>
      <c r="J47" s="41" t="n">
        <v>158502.4</v>
      </c>
      <c r="K47" s="24" t="n">
        <f aca="false">J47-I47</f>
        <v>0</v>
      </c>
      <c r="L47" s="40" t="n">
        <v>1627.48</v>
      </c>
      <c r="M47" s="41" t="n">
        <v>1627.48</v>
      </c>
      <c r="N47" s="24" t="n">
        <f aca="false">M47-L47</f>
        <v>0</v>
      </c>
      <c r="O47" s="40" t="n">
        <v>156874.92</v>
      </c>
      <c r="P47" s="41" t="n">
        <v>156874.92</v>
      </c>
      <c r="Q47" s="24" t="n">
        <f aca="false">P47-O47</f>
        <v>0</v>
      </c>
      <c r="R47" s="40" t="n">
        <v>136312</v>
      </c>
      <c r="S47" s="41" t="n">
        <v>136312.064</v>
      </c>
      <c r="T47" s="24" t="n">
        <f aca="false">S47-R47</f>
        <v>0.0640000000130385</v>
      </c>
      <c r="U47" s="40" t="n">
        <v>135696.8058</v>
      </c>
      <c r="V47" s="41" t="n">
        <v>135696.8058</v>
      </c>
      <c r="W47" s="24" t="n">
        <f aca="false">V47-U47</f>
        <v>0</v>
      </c>
      <c r="X47" s="40" t="n">
        <v>615.194200000027</v>
      </c>
      <c r="Y47" s="41" t="n">
        <v>615.258200000011</v>
      </c>
      <c r="Z47" s="24" t="n">
        <f aca="false">Y47-X47</f>
        <v>0.0639999999839347</v>
      </c>
      <c r="AA47" s="40" t="n">
        <v>1769</v>
      </c>
      <c r="AB47" s="41" t="n">
        <v>1769</v>
      </c>
      <c r="AC47" s="24" t="n">
        <f aca="false">AB47-AA47</f>
        <v>0</v>
      </c>
      <c r="AD47" s="40" t="n">
        <v>353.8</v>
      </c>
      <c r="AE47" s="41" t="n">
        <v>353.8</v>
      </c>
      <c r="AF47" s="24" t="n">
        <f aca="false">AE47-AD47</f>
        <v>0</v>
      </c>
      <c r="AG47" s="40" t="n">
        <v>800.005800000002</v>
      </c>
      <c r="AH47" s="41" t="n">
        <v>799.941799999989</v>
      </c>
      <c r="AI47" s="24" t="n">
        <f aca="false">AH47-AG47</f>
        <v>-0.0640000000128111</v>
      </c>
      <c r="AJ47" s="4"/>
    </row>
    <row r="48" customFormat="false" ht="55.2" hidden="false" customHeight="false" outlineLevel="0" collapsed="false">
      <c r="A48" s="21" t="s">
        <v>55</v>
      </c>
      <c r="B48" s="21" t="n">
        <v>47</v>
      </c>
      <c r="C48" s="21" t="s">
        <v>138</v>
      </c>
      <c r="D48" s="22" t="s">
        <v>137</v>
      </c>
      <c r="E48" s="21" t="s">
        <v>312</v>
      </c>
      <c r="F48" s="21" t="s">
        <v>263</v>
      </c>
      <c r="G48" s="23" t="n">
        <v>719.14</v>
      </c>
      <c r="H48" s="4" t="s">
        <v>344</v>
      </c>
      <c r="I48" s="40" t="n">
        <v>1823625.4</v>
      </c>
      <c r="J48" s="41" t="n">
        <v>1823625.4</v>
      </c>
      <c r="K48" s="24" t="n">
        <f aca="false">J48-I48</f>
        <v>0</v>
      </c>
      <c r="L48" s="40" t="n">
        <v>16540.22</v>
      </c>
      <c r="M48" s="41" t="n">
        <v>16540.22</v>
      </c>
      <c r="N48" s="24" t="n">
        <f aca="false">M48-L48</f>
        <v>0</v>
      </c>
      <c r="O48" s="40" t="n">
        <v>1807085.18</v>
      </c>
      <c r="P48" s="41" t="n">
        <v>1807085.18</v>
      </c>
      <c r="Q48" s="24" t="n">
        <f aca="false">P48-O48</f>
        <v>0</v>
      </c>
      <c r="R48" s="40" t="n">
        <v>1568317</v>
      </c>
      <c r="S48" s="41" t="n">
        <v>1568317.844</v>
      </c>
      <c r="T48" s="24" t="n">
        <f aca="false">S48-R48</f>
        <v>0.844000000040978</v>
      </c>
      <c r="U48" s="40" t="n">
        <v>1563128.6807</v>
      </c>
      <c r="V48" s="41" t="n">
        <v>1563128.6807</v>
      </c>
      <c r="W48" s="24" t="n">
        <f aca="false">V48-U48</f>
        <v>0</v>
      </c>
      <c r="X48" s="40" t="n">
        <v>5188.31930000009</v>
      </c>
      <c r="Y48" s="41" t="n">
        <v>5189.1632999999</v>
      </c>
      <c r="Z48" s="24" t="n">
        <f aca="false">Y48-X48</f>
        <v>0.843999999808148</v>
      </c>
      <c r="AA48" s="40" t="n">
        <v>17978.5</v>
      </c>
      <c r="AB48" s="41" t="n">
        <v>17978.5</v>
      </c>
      <c r="AC48" s="24" t="n">
        <f aca="false">AB48-AA48</f>
        <v>0</v>
      </c>
      <c r="AD48" s="40" t="n">
        <v>0</v>
      </c>
      <c r="AE48" s="41" t="n">
        <v>0</v>
      </c>
      <c r="AF48" s="24" t="n">
        <f aca="false">AE48-AD48</f>
        <v>0</v>
      </c>
      <c r="AG48" s="40" t="n">
        <v>12790.1806999999</v>
      </c>
      <c r="AH48" s="41" t="n">
        <v>12789.3367000001</v>
      </c>
      <c r="AI48" s="24" t="n">
        <f aca="false">AH48-AG48</f>
        <v>-0.843999999800872</v>
      </c>
      <c r="AJ48" s="4"/>
    </row>
    <row r="49" customFormat="false" ht="55.2" hidden="false" customHeight="false" outlineLevel="0" collapsed="false">
      <c r="A49" s="21" t="s">
        <v>55</v>
      </c>
      <c r="B49" s="21" t="n">
        <v>48</v>
      </c>
      <c r="C49" s="21" t="s">
        <v>142</v>
      </c>
      <c r="D49" s="22" t="s">
        <v>141</v>
      </c>
      <c r="E49" s="21" t="s">
        <v>312</v>
      </c>
      <c r="F49" s="21" t="s">
        <v>296</v>
      </c>
      <c r="G49" s="23" t="n">
        <v>613.8</v>
      </c>
      <c r="H49" s="4" t="s">
        <v>347</v>
      </c>
      <c r="I49" s="40" t="n">
        <v>1467823.1</v>
      </c>
      <c r="J49" s="41" t="n">
        <v>1467823.1</v>
      </c>
      <c r="K49" s="24" t="n">
        <f aca="false">J49-I49</f>
        <v>0</v>
      </c>
      <c r="L49" s="40" t="n">
        <v>14117.4</v>
      </c>
      <c r="M49" s="41" t="n">
        <v>14117.4</v>
      </c>
      <c r="N49" s="24" t="n">
        <f aca="false">M49-L49</f>
        <v>0</v>
      </c>
      <c r="O49" s="40" t="n">
        <v>1453705.7</v>
      </c>
      <c r="P49" s="41" t="n">
        <v>1453705.7</v>
      </c>
      <c r="Q49" s="24" t="n">
        <f aca="false">P49-O49</f>
        <v>0</v>
      </c>
      <c r="R49" s="40" t="n">
        <v>1262327</v>
      </c>
      <c r="S49" s="41" t="n">
        <v>1262327.866</v>
      </c>
      <c r="T49" s="24" t="n">
        <f aca="false">S49-R49</f>
        <v>0.865999999921769</v>
      </c>
      <c r="U49" s="40" t="n">
        <v>1261816.5476</v>
      </c>
      <c r="V49" s="41" t="n">
        <v>1261816.5476</v>
      </c>
      <c r="W49" s="24" t="n">
        <f aca="false">V49-U49</f>
        <v>0</v>
      </c>
      <c r="X49" s="40" t="n">
        <v>510.452399999835</v>
      </c>
      <c r="Y49" s="41" t="n">
        <v>511.318399999989</v>
      </c>
      <c r="Z49" s="24" t="n">
        <f aca="false">Y49-X49</f>
        <v>0.8660000001546</v>
      </c>
      <c r="AA49" s="40" t="n">
        <v>15345</v>
      </c>
      <c r="AB49" s="41" t="n">
        <v>15345</v>
      </c>
      <c r="AC49" s="24" t="n">
        <f aca="false">AB49-AA49</f>
        <v>0</v>
      </c>
      <c r="AD49" s="40" t="n">
        <v>0</v>
      </c>
      <c r="AE49" s="41" t="n">
        <v>0</v>
      </c>
      <c r="AF49" s="24" t="n">
        <f aca="false">AE49-AD49</f>
        <v>0</v>
      </c>
      <c r="AG49" s="40" t="n">
        <v>14834.5475999999</v>
      </c>
      <c r="AH49" s="41" t="n">
        <v>14833.6816</v>
      </c>
      <c r="AI49" s="24" t="n">
        <f aca="false">AH49-AG49</f>
        <v>-0.865999999889027</v>
      </c>
      <c r="AJ49" s="4"/>
    </row>
    <row r="50" customFormat="false" ht="55.2" hidden="false" customHeight="false" outlineLevel="0" collapsed="false">
      <c r="A50" s="21" t="s">
        <v>55</v>
      </c>
      <c r="B50" s="21" t="n">
        <v>49</v>
      </c>
      <c r="C50" s="21" t="s">
        <v>58</v>
      </c>
      <c r="D50" s="22" t="s">
        <v>145</v>
      </c>
      <c r="E50" s="21" t="s">
        <v>312</v>
      </c>
      <c r="F50" s="21" t="s">
        <v>296</v>
      </c>
      <c r="G50" s="23" t="n">
        <v>83.74</v>
      </c>
      <c r="H50" s="4" t="s">
        <v>347</v>
      </c>
      <c r="I50" s="40" t="n">
        <v>202650.8</v>
      </c>
      <c r="J50" s="41" t="n">
        <v>202650.8</v>
      </c>
      <c r="K50" s="24" t="n">
        <f aca="false">J50-I50</f>
        <v>0</v>
      </c>
      <c r="L50" s="40" t="n">
        <v>1926.02</v>
      </c>
      <c r="M50" s="41" t="n">
        <v>1926.02</v>
      </c>
      <c r="N50" s="24" t="n">
        <f aca="false">M50-L50</f>
        <v>0</v>
      </c>
      <c r="O50" s="40" t="n">
        <v>200724.78</v>
      </c>
      <c r="P50" s="41" t="n">
        <v>200724.78</v>
      </c>
      <c r="Q50" s="24" t="n">
        <f aca="false">P50-O50</f>
        <v>0</v>
      </c>
      <c r="R50" s="40" t="n">
        <v>174279</v>
      </c>
      <c r="S50" s="41" t="n">
        <v>174279.688</v>
      </c>
      <c r="T50" s="24" t="n">
        <f aca="false">S50-R50</f>
        <v>0.687999999994645</v>
      </c>
      <c r="U50" s="40" t="n">
        <v>174229.10904</v>
      </c>
      <c r="V50" s="41" t="n">
        <v>174229.10904</v>
      </c>
      <c r="W50" s="24" t="n">
        <f aca="false">V50-U50</f>
        <v>0</v>
      </c>
      <c r="X50" s="40" t="n">
        <v>49.8909599999897</v>
      </c>
      <c r="Y50" s="41" t="n">
        <v>50.5789599999844</v>
      </c>
      <c r="Z50" s="24" t="n">
        <f aca="false">Y50-X50</f>
        <v>0.687999999994645</v>
      </c>
      <c r="AA50" s="40" t="n">
        <v>2093.5</v>
      </c>
      <c r="AB50" s="41" t="n">
        <v>2093.5</v>
      </c>
      <c r="AC50" s="24" t="n">
        <f aca="false">AB50-AA50</f>
        <v>0</v>
      </c>
      <c r="AD50" s="40" t="n">
        <v>0</v>
      </c>
      <c r="AE50" s="41" t="n">
        <v>0</v>
      </c>
      <c r="AF50" s="24" t="n">
        <f aca="false">AE50-AD50</f>
        <v>0</v>
      </c>
      <c r="AG50" s="40" t="n">
        <v>2043.60904000001</v>
      </c>
      <c r="AH50" s="41" t="n">
        <v>2042.92104000002</v>
      </c>
      <c r="AI50" s="24" t="n">
        <f aca="false">AH50-AG50</f>
        <v>-0.687999999993963</v>
      </c>
      <c r="AJ50" s="4"/>
    </row>
    <row r="51" customFormat="false" ht="55.2" hidden="false" customHeight="false" outlineLevel="0" collapsed="false">
      <c r="A51" s="21" t="s">
        <v>55</v>
      </c>
      <c r="B51" s="21" t="n">
        <v>50</v>
      </c>
      <c r="C51" s="21" t="s">
        <v>147</v>
      </c>
      <c r="D51" s="22" t="s">
        <v>146</v>
      </c>
      <c r="E51" s="21" t="s">
        <v>312</v>
      </c>
      <c r="F51" s="21" t="s">
        <v>296</v>
      </c>
      <c r="G51" s="23" t="n">
        <v>34.02</v>
      </c>
      <c r="H51" s="4" t="s">
        <v>347</v>
      </c>
      <c r="I51" s="40" t="n">
        <v>79266.6</v>
      </c>
      <c r="J51" s="41" t="n">
        <v>79266.6</v>
      </c>
      <c r="K51" s="24" t="n">
        <f aca="false">J51-I51</f>
        <v>0</v>
      </c>
      <c r="L51" s="40" t="n">
        <v>782.46</v>
      </c>
      <c r="M51" s="41" t="n">
        <v>782.46</v>
      </c>
      <c r="N51" s="24" t="n">
        <f aca="false">M51-L51</f>
        <v>0</v>
      </c>
      <c r="O51" s="40" t="n">
        <v>78484.14</v>
      </c>
      <c r="P51" s="41" t="n">
        <v>78484.14</v>
      </c>
      <c r="Q51" s="24" t="n">
        <f aca="false">P51-O51</f>
        <v>0</v>
      </c>
      <c r="R51" s="40" t="n">
        <v>68169</v>
      </c>
      <c r="S51" s="41" t="n">
        <v>68169.276</v>
      </c>
      <c r="T51" s="24" t="n">
        <f aca="false">S51-R51</f>
        <v>0.275999999998021</v>
      </c>
      <c r="U51" s="40" t="n">
        <v>68124.23352</v>
      </c>
      <c r="V51" s="41" t="n">
        <v>68124.23352</v>
      </c>
      <c r="W51" s="24" t="n">
        <f aca="false">V51-U51</f>
        <v>0</v>
      </c>
      <c r="X51" s="40" t="n">
        <v>44.7664800000057</v>
      </c>
      <c r="Y51" s="41" t="n">
        <v>45.0424800000037</v>
      </c>
      <c r="Z51" s="24" t="n">
        <f aca="false">Y51-X51</f>
        <v>0.275999999998014</v>
      </c>
      <c r="AA51" s="40" t="n">
        <v>850.5</v>
      </c>
      <c r="AB51" s="41" t="n">
        <v>850.5</v>
      </c>
      <c r="AC51" s="24" t="n">
        <f aca="false">AB51-AA51</f>
        <v>0</v>
      </c>
      <c r="AD51" s="40" t="n">
        <v>0</v>
      </c>
      <c r="AE51" s="41" t="n">
        <v>0</v>
      </c>
      <c r="AF51" s="24" t="n">
        <f aca="false">AE51-AD51</f>
        <v>0</v>
      </c>
      <c r="AG51" s="40" t="n">
        <v>805.733519999994</v>
      </c>
      <c r="AH51" s="41" t="n">
        <v>805.457519999996</v>
      </c>
      <c r="AI51" s="24" t="n">
        <f aca="false">AH51-AG51</f>
        <v>-0.275999999997566</v>
      </c>
      <c r="AJ51" s="4"/>
    </row>
    <row r="52" customFormat="false" ht="55.2" hidden="false" customHeight="false" outlineLevel="0" collapsed="false">
      <c r="A52" s="21" t="s">
        <v>55</v>
      </c>
      <c r="B52" s="21" t="n">
        <v>51</v>
      </c>
      <c r="C52" s="21" t="s">
        <v>150</v>
      </c>
      <c r="D52" s="22" t="s">
        <v>149</v>
      </c>
      <c r="E52" s="21" t="s">
        <v>312</v>
      </c>
      <c r="F52" s="21" t="s">
        <v>296</v>
      </c>
      <c r="G52" s="23" t="n">
        <v>33.86</v>
      </c>
      <c r="H52" s="4" t="s">
        <v>347</v>
      </c>
      <c r="I52" s="40" t="n">
        <v>78793.8</v>
      </c>
      <c r="J52" s="41" t="n">
        <v>78793.8</v>
      </c>
      <c r="K52" s="24" t="n">
        <f aca="false">J52-I52</f>
        <v>0</v>
      </c>
      <c r="L52" s="40" t="n">
        <v>778.78</v>
      </c>
      <c r="M52" s="41" t="n">
        <v>778.78</v>
      </c>
      <c r="N52" s="24" t="n">
        <f aca="false">M52-L52</f>
        <v>0</v>
      </c>
      <c r="O52" s="40" t="n">
        <v>78015.02</v>
      </c>
      <c r="P52" s="41" t="n">
        <v>78015.02</v>
      </c>
      <c r="Q52" s="24" t="n">
        <f aca="false">P52-O52</f>
        <v>0</v>
      </c>
      <c r="R52" s="40" t="n">
        <v>67762</v>
      </c>
      <c r="S52" s="41" t="n">
        <v>67762.668</v>
      </c>
      <c r="T52" s="24" t="n">
        <f aca="false">S52-R52</f>
        <v>0.668000000005122</v>
      </c>
      <c r="U52" s="40" t="n">
        <v>67717.03736</v>
      </c>
      <c r="V52" s="41" t="n">
        <v>67717.03736</v>
      </c>
      <c r="W52" s="24" t="n">
        <f aca="false">V52-U52</f>
        <v>0</v>
      </c>
      <c r="X52" s="40" t="n">
        <v>44.9626399999979</v>
      </c>
      <c r="Y52" s="41" t="n">
        <v>45.630640000003</v>
      </c>
      <c r="Z52" s="24" t="n">
        <f aca="false">Y52-X52</f>
        <v>0.668000000005122</v>
      </c>
      <c r="AA52" s="40" t="n">
        <v>846.5</v>
      </c>
      <c r="AB52" s="41" t="n">
        <v>846.5</v>
      </c>
      <c r="AC52" s="24" t="n">
        <f aca="false">AB52-AA52</f>
        <v>0</v>
      </c>
      <c r="AD52" s="40" t="n">
        <v>0</v>
      </c>
      <c r="AE52" s="41" t="n">
        <v>0</v>
      </c>
      <c r="AF52" s="24" t="n">
        <f aca="false">AE52-AD52</f>
        <v>0</v>
      </c>
      <c r="AG52" s="40" t="n">
        <v>801.537360000002</v>
      </c>
      <c r="AH52" s="41" t="n">
        <v>800.869359999997</v>
      </c>
      <c r="AI52" s="24" t="n">
        <f aca="false">AH52-AG52</f>
        <v>-0.668000000005009</v>
      </c>
      <c r="AJ52" s="4" t="s">
        <v>345</v>
      </c>
    </row>
    <row r="53" customFormat="false" ht="55.2" hidden="false" customHeight="false" outlineLevel="0" collapsed="false">
      <c r="A53" s="21" t="s">
        <v>55</v>
      </c>
      <c r="B53" s="21" t="n">
        <v>52</v>
      </c>
      <c r="C53" s="21" t="s">
        <v>152</v>
      </c>
      <c r="D53" s="22" t="s">
        <v>151</v>
      </c>
      <c r="E53" s="21" t="s">
        <v>312</v>
      </c>
      <c r="F53" s="21" t="s">
        <v>296</v>
      </c>
      <c r="G53" s="23" t="n">
        <v>33.96</v>
      </c>
      <c r="H53" s="4" t="s">
        <v>347</v>
      </c>
      <c r="I53" s="40" t="n">
        <v>78619.28</v>
      </c>
      <c r="J53" s="41" t="n">
        <v>78619.28</v>
      </c>
      <c r="K53" s="24" t="n">
        <f aca="false">J53-I53</f>
        <v>0</v>
      </c>
      <c r="L53" s="40" t="n">
        <v>781.08</v>
      </c>
      <c r="M53" s="41" t="n">
        <v>781.08</v>
      </c>
      <c r="N53" s="24" t="n">
        <f aca="false">M53-L53</f>
        <v>0</v>
      </c>
      <c r="O53" s="40" t="n">
        <v>77838.2</v>
      </c>
      <c r="P53" s="41" t="n">
        <v>77838.2</v>
      </c>
      <c r="Q53" s="24" t="n">
        <f aca="false">P53-O53</f>
        <v>0</v>
      </c>
      <c r="R53" s="40" t="n">
        <v>67612</v>
      </c>
      <c r="S53" s="41" t="n">
        <v>67612.5808</v>
      </c>
      <c r="T53" s="24" t="n">
        <f aca="false">S53-R53</f>
        <v>0.580799999996088</v>
      </c>
      <c r="U53" s="40" t="n">
        <v>67563.5576</v>
      </c>
      <c r="V53" s="41" t="n">
        <v>67563.5576</v>
      </c>
      <c r="W53" s="24" t="n">
        <f aca="false">V53-U53</f>
        <v>0</v>
      </c>
      <c r="X53" s="40" t="n">
        <v>48.4423999999999</v>
      </c>
      <c r="Y53" s="41" t="n">
        <v>49.023199999996</v>
      </c>
      <c r="Z53" s="24" t="n">
        <f aca="false">Y53-X53</f>
        <v>0.580799999996096</v>
      </c>
      <c r="AA53" s="40" t="n">
        <v>849</v>
      </c>
      <c r="AB53" s="41" t="n">
        <v>849</v>
      </c>
      <c r="AC53" s="24" t="n">
        <f aca="false">AB53-AA53</f>
        <v>0</v>
      </c>
      <c r="AD53" s="40" t="n">
        <v>0</v>
      </c>
      <c r="AE53" s="41" t="n">
        <v>0</v>
      </c>
      <c r="AF53" s="24" t="n">
        <f aca="false">AE53-AD53</f>
        <v>0</v>
      </c>
      <c r="AG53" s="40" t="n">
        <v>800.5576</v>
      </c>
      <c r="AH53" s="41" t="n">
        <v>799.976800000004</v>
      </c>
      <c r="AI53" s="24" t="n">
        <f aca="false">AH53-AG53</f>
        <v>-0.580799999995975</v>
      </c>
      <c r="AJ53" s="4" t="s">
        <v>345</v>
      </c>
    </row>
    <row r="54" customFormat="false" ht="29.85" hidden="false" customHeight="false" outlineLevel="0" collapsed="false">
      <c r="A54" s="21" t="s">
        <v>153</v>
      </c>
      <c r="B54" s="21" t="n">
        <v>2</v>
      </c>
      <c r="C54" s="21" t="s">
        <v>76</v>
      </c>
      <c r="D54" s="22" t="s">
        <v>155</v>
      </c>
      <c r="E54" s="21" t="s">
        <v>314</v>
      </c>
      <c r="F54" s="21" t="s">
        <v>298</v>
      </c>
      <c r="G54" s="23" t="n">
        <v>78.04</v>
      </c>
      <c r="H54" s="4" t="s">
        <v>348</v>
      </c>
      <c r="I54" s="40" t="n">
        <v>200062.8</v>
      </c>
      <c r="J54" s="41" t="n">
        <v>200062.8</v>
      </c>
      <c r="K54" s="24" t="n">
        <f aca="false">J54-I54</f>
        <v>0</v>
      </c>
      <c r="L54" s="40" t="n">
        <v>1794.92</v>
      </c>
      <c r="M54" s="41" t="n">
        <v>1794.92</v>
      </c>
      <c r="N54" s="24" t="n">
        <f aca="false">M54-L54</f>
        <v>0</v>
      </c>
      <c r="O54" s="40" t="n">
        <v>198267.88</v>
      </c>
      <c r="P54" s="41" t="n">
        <v>198267.88</v>
      </c>
      <c r="Q54" s="24" t="n">
        <f aca="false">P54-O54</f>
        <v>0</v>
      </c>
      <c r="R54" s="40" t="n">
        <v>196941</v>
      </c>
      <c r="S54" s="41" t="n">
        <v>196941.2</v>
      </c>
      <c r="T54" s="24" t="n">
        <f aca="false">S54-R54</f>
        <v>0.200000000011642</v>
      </c>
      <c r="U54" s="40" t="n">
        <v>3121.79999999999</v>
      </c>
      <c r="V54" s="41" t="n">
        <v>3121.6</v>
      </c>
      <c r="W54" s="24" t="n">
        <f aca="false">V54-U54</f>
        <v>-0.199999999987995</v>
      </c>
      <c r="X54" s="40"/>
      <c r="Y54" s="41"/>
      <c r="Z54" s="24"/>
      <c r="AA54" s="40" t="n">
        <v>1951</v>
      </c>
      <c r="AB54" s="41" t="n">
        <v>1951</v>
      </c>
      <c r="AC54" s="24" t="n">
        <f aca="false">AB54-AA54</f>
        <v>0</v>
      </c>
      <c r="AD54" s="40" t="n">
        <v>1170.6</v>
      </c>
      <c r="AE54" s="41" t="n">
        <v>1170.6</v>
      </c>
      <c r="AF54" s="24" t="n">
        <f aca="false">AE54-AD54</f>
        <v>0</v>
      </c>
      <c r="AG54" s="40" t="n">
        <v>2107.28</v>
      </c>
      <c r="AH54" s="41" t="n">
        <v>2107.08</v>
      </c>
      <c r="AI54" s="24" t="n">
        <f aca="false">AH54-AG54</f>
        <v>-0.200000000000273</v>
      </c>
      <c r="AJ54" s="4" t="s">
        <v>349</v>
      </c>
    </row>
    <row r="55" customFormat="false" ht="29.85" hidden="false" customHeight="false" outlineLevel="0" collapsed="false">
      <c r="A55" s="21" t="s">
        <v>153</v>
      </c>
      <c r="B55" s="21" t="n">
        <v>3</v>
      </c>
      <c r="C55" s="21" t="s">
        <v>58</v>
      </c>
      <c r="D55" s="22" t="s">
        <v>157</v>
      </c>
      <c r="E55" s="21" t="s">
        <v>314</v>
      </c>
      <c r="F55" s="21" t="s">
        <v>298</v>
      </c>
      <c r="G55" s="23" t="n">
        <v>71.5</v>
      </c>
      <c r="H55" s="4" t="s">
        <v>348</v>
      </c>
      <c r="I55" s="40" t="n">
        <v>169455</v>
      </c>
      <c r="J55" s="41" t="n">
        <v>169455</v>
      </c>
      <c r="K55" s="24" t="n">
        <f aca="false">J55-I55</f>
        <v>0</v>
      </c>
      <c r="L55" s="40" t="n">
        <v>1644.5</v>
      </c>
      <c r="M55" s="41" t="n">
        <v>1644.5</v>
      </c>
      <c r="N55" s="24" t="n">
        <f aca="false">M55-L55</f>
        <v>0</v>
      </c>
      <c r="O55" s="40" t="n">
        <v>167810.5</v>
      </c>
      <c r="P55" s="41" t="n">
        <v>167810.5</v>
      </c>
      <c r="Q55" s="24" t="n">
        <f aca="false">P55-O55</f>
        <v>0</v>
      </c>
      <c r="R55" s="40" t="n">
        <v>166595</v>
      </c>
      <c r="S55" s="41" t="n">
        <v>166595</v>
      </c>
      <c r="T55" s="24" t="n">
        <f aca="false">S55-R55</f>
        <v>0</v>
      </c>
      <c r="U55" s="40" t="n">
        <v>2860</v>
      </c>
      <c r="V55" s="41" t="n">
        <v>2860</v>
      </c>
      <c r="W55" s="24" t="n">
        <f aca="false">V55-U55</f>
        <v>0</v>
      </c>
      <c r="X55" s="40"/>
      <c r="Y55" s="41"/>
      <c r="Z55" s="24"/>
      <c r="AA55" s="40" t="n">
        <v>1787.5</v>
      </c>
      <c r="AB55" s="41" t="n">
        <v>1787.5</v>
      </c>
      <c r="AC55" s="24" t="n">
        <f aca="false">AB55-AA55</f>
        <v>0</v>
      </c>
      <c r="AD55" s="40" t="n">
        <v>1072.5</v>
      </c>
      <c r="AE55" s="41" t="n">
        <v>1072.5</v>
      </c>
      <c r="AF55" s="24" t="n">
        <f aca="false">AE55-AD55</f>
        <v>0</v>
      </c>
      <c r="AG55" s="40" t="n">
        <v>1930.5</v>
      </c>
      <c r="AH55" s="41" t="n">
        <v>1930.5</v>
      </c>
      <c r="AI55" s="24" t="n">
        <f aca="false">AH55-AG55</f>
        <v>0</v>
      </c>
      <c r="AJ55" s="4"/>
    </row>
    <row r="56" customFormat="false" ht="29.85" hidden="false" customHeight="false" outlineLevel="0" collapsed="false">
      <c r="A56" s="21" t="s">
        <v>158</v>
      </c>
      <c r="B56" s="21" t="n">
        <v>2</v>
      </c>
      <c r="C56" s="21" t="s">
        <v>58</v>
      </c>
      <c r="D56" s="22" t="s">
        <v>159</v>
      </c>
      <c r="E56" s="21" t="s">
        <v>314</v>
      </c>
      <c r="F56" s="21" t="s">
        <v>298</v>
      </c>
      <c r="G56" s="23" t="n">
        <v>66.22</v>
      </c>
      <c r="H56" s="4" t="s">
        <v>348</v>
      </c>
      <c r="I56" s="40" t="n">
        <v>148332.8</v>
      </c>
      <c r="J56" s="41" t="n">
        <v>148332.8</v>
      </c>
      <c r="K56" s="24" t="n">
        <f aca="false">J56-I56</f>
        <v>0</v>
      </c>
      <c r="L56" s="40" t="n">
        <v>1523.06</v>
      </c>
      <c r="M56" s="41" t="n">
        <v>1523.06</v>
      </c>
      <c r="N56" s="24" t="n">
        <f aca="false">M56-L56</f>
        <v>0</v>
      </c>
      <c r="O56" s="40" t="n">
        <v>146809.74</v>
      </c>
      <c r="P56" s="41" t="n">
        <v>146809.74</v>
      </c>
      <c r="Q56" s="24" t="n">
        <f aca="false">P56-O56</f>
        <v>0</v>
      </c>
      <c r="R56" s="40" t="n">
        <v>145684</v>
      </c>
      <c r="S56" s="41" t="n">
        <v>145684</v>
      </c>
      <c r="T56" s="24" t="n">
        <f aca="false">S56-R56</f>
        <v>0</v>
      </c>
      <c r="U56" s="40" t="n">
        <v>2648.79999999999</v>
      </c>
      <c r="V56" s="41" t="n">
        <v>2648.8</v>
      </c>
      <c r="W56" s="24" t="n">
        <f aca="false">V56-U56</f>
        <v>1.22781784739345E-011</v>
      </c>
      <c r="X56" s="40"/>
      <c r="Y56" s="41"/>
      <c r="Z56" s="24"/>
      <c r="AA56" s="40" t="n">
        <v>1655.5</v>
      </c>
      <c r="AB56" s="41" t="n">
        <v>1655.5</v>
      </c>
      <c r="AC56" s="24" t="n">
        <f aca="false">AB56-AA56</f>
        <v>0</v>
      </c>
      <c r="AD56" s="40" t="n">
        <v>993.3</v>
      </c>
      <c r="AE56" s="41" t="n">
        <v>993.3</v>
      </c>
      <c r="AF56" s="24" t="n">
        <f aca="false">AE56-AD56</f>
        <v>0</v>
      </c>
      <c r="AG56" s="40" t="n">
        <v>1787.93999999999</v>
      </c>
      <c r="AH56" s="41" t="n">
        <v>1787.94</v>
      </c>
      <c r="AI56" s="24" t="n">
        <f aca="false">AH56-AG56</f>
        <v>1.00044417195022E-011</v>
      </c>
      <c r="AJ56" s="4"/>
    </row>
    <row r="57" customFormat="false" ht="29.85" hidden="false" customHeight="false" outlineLevel="0" collapsed="false">
      <c r="A57" s="21" t="s">
        <v>158</v>
      </c>
      <c r="B57" s="21" t="n">
        <v>3</v>
      </c>
      <c r="C57" s="21" t="s">
        <v>76</v>
      </c>
      <c r="D57" s="22" t="s">
        <v>160</v>
      </c>
      <c r="E57" s="21" t="s">
        <v>314</v>
      </c>
      <c r="F57" s="21" t="s">
        <v>298</v>
      </c>
      <c r="G57" s="23" t="n">
        <v>65.44</v>
      </c>
      <c r="H57" s="4" t="s">
        <v>348</v>
      </c>
      <c r="I57" s="40" t="n">
        <v>147240</v>
      </c>
      <c r="J57" s="41" t="n">
        <v>147240</v>
      </c>
      <c r="K57" s="24" t="n">
        <f aca="false">J57-I57</f>
        <v>0</v>
      </c>
      <c r="L57" s="40" t="n">
        <v>1505.12</v>
      </c>
      <c r="M57" s="41" t="n">
        <v>1505.12</v>
      </c>
      <c r="N57" s="24" t="n">
        <f aca="false">M57-L57</f>
        <v>0</v>
      </c>
      <c r="O57" s="40" t="n">
        <v>145734.88</v>
      </c>
      <c r="P57" s="41" t="n">
        <v>145734.88</v>
      </c>
      <c r="Q57" s="24" t="n">
        <f aca="false">P57-O57</f>
        <v>0</v>
      </c>
      <c r="R57" s="40" t="n">
        <v>144622</v>
      </c>
      <c r="S57" s="41" t="n">
        <v>144622.4</v>
      </c>
      <c r="T57" s="24" t="n">
        <f aca="false">S57-R57</f>
        <v>0.399999999994179</v>
      </c>
      <c r="U57" s="40" t="n">
        <v>2618</v>
      </c>
      <c r="V57" s="41" t="n">
        <v>2617.6</v>
      </c>
      <c r="W57" s="24" t="n">
        <f aca="false">V57-U57</f>
        <v>-0.400000000000091</v>
      </c>
      <c r="X57" s="40"/>
      <c r="Y57" s="41"/>
      <c r="Z57" s="24"/>
      <c r="AA57" s="40" t="n">
        <v>1636</v>
      </c>
      <c r="AB57" s="41" t="n">
        <v>1636</v>
      </c>
      <c r="AC57" s="24" t="n">
        <f aca="false">AB57-AA57</f>
        <v>0</v>
      </c>
      <c r="AD57" s="40" t="n">
        <v>981.6</v>
      </c>
      <c r="AE57" s="41" t="n">
        <v>981.6</v>
      </c>
      <c r="AF57" s="24" t="n">
        <f aca="false">AE57-AD57</f>
        <v>0</v>
      </c>
      <c r="AG57" s="40" t="n">
        <v>1767.28</v>
      </c>
      <c r="AH57" s="41" t="n">
        <v>1766.88</v>
      </c>
      <c r="AI57" s="24" t="n">
        <f aca="false">AH57-AG57</f>
        <v>-0.399999999998954</v>
      </c>
      <c r="AJ57" s="4"/>
    </row>
    <row r="58" customFormat="false" ht="29.85" hidden="false" customHeight="false" outlineLevel="0" collapsed="false">
      <c r="A58" s="21" t="s">
        <v>158</v>
      </c>
      <c r="B58" s="21" t="n">
        <v>4</v>
      </c>
      <c r="C58" s="21" t="s">
        <v>58</v>
      </c>
      <c r="D58" s="22" t="s">
        <v>162</v>
      </c>
      <c r="E58" s="21" t="s">
        <v>314</v>
      </c>
      <c r="F58" s="21" t="s">
        <v>298</v>
      </c>
      <c r="G58" s="23" t="n">
        <v>60.9</v>
      </c>
      <c r="H58" s="4" t="s">
        <v>348</v>
      </c>
      <c r="I58" s="40" t="n">
        <v>137025</v>
      </c>
      <c r="J58" s="41" t="n">
        <v>137025</v>
      </c>
      <c r="K58" s="24" t="n">
        <f aca="false">J58-I58</f>
        <v>0</v>
      </c>
      <c r="L58" s="40" t="n">
        <v>1400.7</v>
      </c>
      <c r="M58" s="41" t="n">
        <v>1400.7</v>
      </c>
      <c r="N58" s="24" t="n">
        <f aca="false">M58-L58</f>
        <v>0</v>
      </c>
      <c r="O58" s="40" t="n">
        <v>135624.3</v>
      </c>
      <c r="P58" s="41" t="n">
        <v>135624.3</v>
      </c>
      <c r="Q58" s="24" t="n">
        <f aca="false">P58-O58</f>
        <v>0</v>
      </c>
      <c r="R58" s="40" t="n">
        <v>134589</v>
      </c>
      <c r="S58" s="41" t="n">
        <v>134589</v>
      </c>
      <c r="T58" s="24" t="n">
        <f aca="false">S58-R58</f>
        <v>0</v>
      </c>
      <c r="U58" s="40" t="n">
        <v>2436</v>
      </c>
      <c r="V58" s="41" t="n">
        <v>2436</v>
      </c>
      <c r="W58" s="24" t="n">
        <f aca="false">V58-U58</f>
        <v>0</v>
      </c>
      <c r="X58" s="40"/>
      <c r="Y58" s="41"/>
      <c r="Z58" s="24"/>
      <c r="AA58" s="40" t="n">
        <v>1522.5</v>
      </c>
      <c r="AB58" s="41" t="n">
        <v>1522.5</v>
      </c>
      <c r="AC58" s="24" t="n">
        <f aca="false">AB58-AA58</f>
        <v>0</v>
      </c>
      <c r="AD58" s="40" t="n">
        <v>913.5</v>
      </c>
      <c r="AE58" s="41" t="n">
        <v>913.5</v>
      </c>
      <c r="AF58" s="24" t="n">
        <f aca="false">AE58-AD58</f>
        <v>0</v>
      </c>
      <c r="AG58" s="40" t="n">
        <v>1644.29999999999</v>
      </c>
      <c r="AH58" s="41" t="n">
        <v>1644.3</v>
      </c>
      <c r="AI58" s="24" t="n">
        <f aca="false">AH58-AG58</f>
        <v>1.00044417195022E-011</v>
      </c>
      <c r="AJ58" s="4"/>
    </row>
    <row r="59" customFormat="false" ht="29.85" hidden="false" customHeight="false" outlineLevel="0" collapsed="false">
      <c r="A59" s="21" t="s">
        <v>158</v>
      </c>
      <c r="B59" s="21" t="n">
        <v>5</v>
      </c>
      <c r="C59" s="21" t="s">
        <v>122</v>
      </c>
      <c r="D59" s="22" t="s">
        <v>163</v>
      </c>
      <c r="E59" s="21" t="s">
        <v>314</v>
      </c>
      <c r="F59" s="21" t="s">
        <v>298</v>
      </c>
      <c r="G59" s="23" t="n">
        <v>31.38</v>
      </c>
      <c r="H59" s="4" t="s">
        <v>348</v>
      </c>
      <c r="I59" s="40" t="n">
        <v>70605</v>
      </c>
      <c r="J59" s="41" t="n">
        <v>70605</v>
      </c>
      <c r="K59" s="24" t="n">
        <f aca="false">J59-I59</f>
        <v>0</v>
      </c>
      <c r="L59" s="40" t="n">
        <v>721.74</v>
      </c>
      <c r="M59" s="41" t="n">
        <v>721.74</v>
      </c>
      <c r="N59" s="24" t="n">
        <f aca="false">M59-L59</f>
        <v>0</v>
      </c>
      <c r="O59" s="40" t="n">
        <v>69883.26</v>
      </c>
      <c r="P59" s="41" t="n">
        <v>69883.26</v>
      </c>
      <c r="Q59" s="24" t="n">
        <f aca="false">P59-O59</f>
        <v>0</v>
      </c>
      <c r="R59" s="40" t="n">
        <v>69349</v>
      </c>
      <c r="S59" s="41" t="n">
        <v>69349.8</v>
      </c>
      <c r="T59" s="24" t="n">
        <f aca="false">S59-R59</f>
        <v>0.80000000000291</v>
      </c>
      <c r="U59" s="40" t="n">
        <v>1256</v>
      </c>
      <c r="V59" s="41" t="n">
        <v>1255.2</v>
      </c>
      <c r="W59" s="24" t="n">
        <f aca="false">V59-U59</f>
        <v>-0.799999999999955</v>
      </c>
      <c r="X59" s="40"/>
      <c r="Y59" s="41"/>
      <c r="Z59" s="24"/>
      <c r="AA59" s="40" t="n">
        <v>784.5</v>
      </c>
      <c r="AB59" s="41" t="n">
        <v>784.5</v>
      </c>
      <c r="AC59" s="24" t="n">
        <f aca="false">AB59-AA59</f>
        <v>0</v>
      </c>
      <c r="AD59" s="40" t="n">
        <v>470.7</v>
      </c>
      <c r="AE59" s="41" t="n">
        <v>470.7</v>
      </c>
      <c r="AF59" s="24" t="n">
        <f aca="false">AE59-AD59</f>
        <v>0</v>
      </c>
      <c r="AG59" s="40" t="n">
        <v>848.059999999995</v>
      </c>
      <c r="AH59" s="41" t="n">
        <v>847.26</v>
      </c>
      <c r="AI59" s="24" t="n">
        <f aca="false">AH59-AG59</f>
        <v>-0.799999999994952</v>
      </c>
      <c r="AJ59" s="4"/>
    </row>
    <row r="60" customFormat="false" ht="29.85" hidden="false" customHeight="false" outlineLevel="0" collapsed="false">
      <c r="A60" s="21" t="s">
        <v>158</v>
      </c>
      <c r="B60" s="21" t="n">
        <v>6</v>
      </c>
      <c r="C60" s="21" t="s">
        <v>76</v>
      </c>
      <c r="D60" s="22" t="s">
        <v>164</v>
      </c>
      <c r="E60" s="21" t="s">
        <v>314</v>
      </c>
      <c r="F60" s="21" t="s">
        <v>298</v>
      </c>
      <c r="G60" s="23" t="n">
        <v>31.46</v>
      </c>
      <c r="H60" s="4" t="s">
        <v>348</v>
      </c>
      <c r="I60" s="40" t="n">
        <v>70785</v>
      </c>
      <c r="J60" s="41" t="n">
        <v>70785</v>
      </c>
      <c r="K60" s="24" t="n">
        <f aca="false">J60-I60</f>
        <v>0</v>
      </c>
      <c r="L60" s="40" t="n">
        <v>723.58</v>
      </c>
      <c r="M60" s="41" t="n">
        <v>723.58</v>
      </c>
      <c r="N60" s="24" t="n">
        <f aca="false">M60-L60</f>
        <v>0</v>
      </c>
      <c r="O60" s="40" t="n">
        <v>70061.42</v>
      </c>
      <c r="P60" s="41" t="n">
        <v>70061.42</v>
      </c>
      <c r="Q60" s="24" t="n">
        <f aca="false">P60-O60</f>
        <v>0</v>
      </c>
      <c r="R60" s="40" t="n">
        <v>69526</v>
      </c>
      <c r="S60" s="41" t="n">
        <v>69526.6</v>
      </c>
      <c r="T60" s="24" t="n">
        <f aca="false">S60-R60</f>
        <v>0.600000000005821</v>
      </c>
      <c r="U60" s="40" t="n">
        <v>1259</v>
      </c>
      <c r="V60" s="41" t="n">
        <v>1258.4</v>
      </c>
      <c r="W60" s="24" t="n">
        <f aca="false">V60-U60</f>
        <v>-0.599999999999909</v>
      </c>
      <c r="X60" s="40"/>
      <c r="Y60" s="41"/>
      <c r="Z60" s="24"/>
      <c r="AA60" s="40" t="n">
        <v>786.5</v>
      </c>
      <c r="AB60" s="41" t="n">
        <v>786.5</v>
      </c>
      <c r="AC60" s="24" t="n">
        <f aca="false">AB60-AA60</f>
        <v>0</v>
      </c>
      <c r="AD60" s="40" t="n">
        <v>471.9</v>
      </c>
      <c r="AE60" s="41" t="n">
        <v>471.9</v>
      </c>
      <c r="AF60" s="24" t="n">
        <f aca="false">AE60-AD60</f>
        <v>0</v>
      </c>
      <c r="AG60" s="40" t="n">
        <v>850.019999999998</v>
      </c>
      <c r="AH60" s="41" t="n">
        <v>849.42</v>
      </c>
      <c r="AI60" s="24" t="n">
        <f aca="false">AH60-AG60</f>
        <v>-0.599999999997976</v>
      </c>
      <c r="AJ60" s="4"/>
    </row>
    <row r="61" customFormat="false" ht="29.85" hidden="false" customHeight="false" outlineLevel="0" collapsed="false">
      <c r="A61" s="21" t="s">
        <v>158</v>
      </c>
      <c r="B61" s="21" t="n">
        <v>7</v>
      </c>
      <c r="C61" s="21" t="s">
        <v>58</v>
      </c>
      <c r="D61" s="22" t="s">
        <v>166</v>
      </c>
      <c r="E61" s="21" t="s">
        <v>314</v>
      </c>
      <c r="F61" s="21" t="s">
        <v>298</v>
      </c>
      <c r="G61" s="23" t="n">
        <v>28.84</v>
      </c>
      <c r="H61" s="4" t="s">
        <v>348</v>
      </c>
      <c r="I61" s="40" t="n">
        <v>66389.68</v>
      </c>
      <c r="J61" s="41" t="n">
        <v>66389.68</v>
      </c>
      <c r="K61" s="24" t="n">
        <f aca="false">J61-I61</f>
        <v>0</v>
      </c>
      <c r="L61" s="40" t="n">
        <v>663.32</v>
      </c>
      <c r="M61" s="41" t="n">
        <v>663.32</v>
      </c>
      <c r="N61" s="24" t="n">
        <f aca="false">M61-L61</f>
        <v>0</v>
      </c>
      <c r="O61" s="40" t="n">
        <v>65726.36</v>
      </c>
      <c r="P61" s="41" t="n">
        <v>65726.36</v>
      </c>
      <c r="Q61" s="24" t="n">
        <f aca="false">P61-O61</f>
        <v>0</v>
      </c>
      <c r="R61" s="40" t="n">
        <v>65236</v>
      </c>
      <c r="S61" s="41" t="n">
        <v>65236.08</v>
      </c>
      <c r="T61" s="24" t="n">
        <f aca="false">S61-R61</f>
        <v>0.0799999999871943</v>
      </c>
      <c r="U61" s="40" t="n">
        <v>1153.67999999999</v>
      </c>
      <c r="V61" s="41" t="n">
        <v>1153.6</v>
      </c>
      <c r="W61" s="24" t="n">
        <f aca="false">V61-U61</f>
        <v>-0.079999999993106</v>
      </c>
      <c r="X61" s="40"/>
      <c r="Y61" s="41"/>
      <c r="Z61" s="24"/>
      <c r="AA61" s="40" t="n">
        <v>721</v>
      </c>
      <c r="AB61" s="41" t="n">
        <v>721</v>
      </c>
      <c r="AC61" s="24" t="n">
        <f aca="false">AB61-AA61</f>
        <v>0</v>
      </c>
      <c r="AD61" s="40" t="n">
        <v>432.6</v>
      </c>
      <c r="AE61" s="41" t="n">
        <v>432.6</v>
      </c>
      <c r="AF61" s="24" t="n">
        <f aca="false">AE61-AD61</f>
        <v>0</v>
      </c>
      <c r="AG61" s="40" t="n">
        <v>778.760000000001</v>
      </c>
      <c r="AH61" s="41" t="n">
        <v>778.68</v>
      </c>
      <c r="AI61" s="24" t="n">
        <f aca="false">AH61-AG61</f>
        <v>-0.0800000000009504</v>
      </c>
      <c r="AJ61" s="4"/>
    </row>
    <row r="62" customFormat="false" ht="29.85" hidden="false" customHeight="false" outlineLevel="0" collapsed="false">
      <c r="A62" s="21" t="s">
        <v>158</v>
      </c>
      <c r="B62" s="21" t="n">
        <v>8</v>
      </c>
      <c r="C62" s="21" t="s">
        <v>76</v>
      </c>
      <c r="D62" s="22" t="s">
        <v>167</v>
      </c>
      <c r="E62" s="21" t="s">
        <v>314</v>
      </c>
      <c r="F62" s="21" t="s">
        <v>298</v>
      </c>
      <c r="G62" s="23" t="n">
        <v>30.72</v>
      </c>
      <c r="H62" s="4" t="s">
        <v>348</v>
      </c>
      <c r="I62" s="40" t="n">
        <v>70717.44</v>
      </c>
      <c r="J62" s="41" t="n">
        <v>70717.44</v>
      </c>
      <c r="K62" s="24" t="n">
        <f aca="false">J62-I62</f>
        <v>0</v>
      </c>
      <c r="L62" s="40" t="n">
        <v>706.56</v>
      </c>
      <c r="M62" s="41" t="n">
        <v>706.56</v>
      </c>
      <c r="N62" s="24" t="n">
        <f aca="false">M62-L62</f>
        <v>0</v>
      </c>
      <c r="O62" s="40" t="n">
        <v>70010.88</v>
      </c>
      <c r="P62" s="41" t="n">
        <v>70010.88</v>
      </c>
      <c r="Q62" s="24" t="n">
        <f aca="false">P62-O62</f>
        <v>0</v>
      </c>
      <c r="R62" s="40" t="n">
        <v>69488</v>
      </c>
      <c r="S62" s="41" t="n">
        <v>69488.64</v>
      </c>
      <c r="T62" s="24" t="n">
        <f aca="false">S62-R62</f>
        <v>0.639999999999418</v>
      </c>
      <c r="U62" s="40" t="n">
        <v>1229.44</v>
      </c>
      <c r="V62" s="41" t="n">
        <v>1228.8</v>
      </c>
      <c r="W62" s="24" t="n">
        <f aca="false">V62-U62</f>
        <v>-0.640000000002146</v>
      </c>
      <c r="X62" s="40"/>
      <c r="Y62" s="41"/>
      <c r="Z62" s="24"/>
      <c r="AA62" s="40" t="n">
        <v>768</v>
      </c>
      <c r="AB62" s="41" t="n">
        <v>768</v>
      </c>
      <c r="AC62" s="24" t="n">
        <f aca="false">AB62-AA62</f>
        <v>0</v>
      </c>
      <c r="AD62" s="40" t="n">
        <v>460.8</v>
      </c>
      <c r="AE62" s="41" t="n">
        <v>460.8</v>
      </c>
      <c r="AF62" s="24" t="n">
        <f aca="false">AE62-AD62</f>
        <v>0</v>
      </c>
      <c r="AG62" s="40" t="n">
        <v>830.080000000005</v>
      </c>
      <c r="AH62" s="41" t="n">
        <v>829.44</v>
      </c>
      <c r="AI62" s="24" t="n">
        <f aca="false">AH62-AG62</f>
        <v>-0.640000000004989</v>
      </c>
      <c r="AJ62" s="4"/>
    </row>
    <row r="63" customFormat="false" ht="29.85" hidden="false" customHeight="false" outlineLevel="0" collapsed="false">
      <c r="A63" s="21" t="s">
        <v>158</v>
      </c>
      <c r="B63" s="21" t="n">
        <v>9</v>
      </c>
      <c r="C63" s="21" t="s">
        <v>58</v>
      </c>
      <c r="D63" s="22" t="s">
        <v>168</v>
      </c>
      <c r="E63" s="21" t="s">
        <v>314</v>
      </c>
      <c r="F63" s="21" t="s">
        <v>298</v>
      </c>
      <c r="G63" s="23" t="n">
        <v>31.32</v>
      </c>
      <c r="H63" s="4" t="s">
        <v>348</v>
      </c>
      <c r="I63" s="40" t="n">
        <v>72098.64</v>
      </c>
      <c r="J63" s="41" t="n">
        <v>72098.64</v>
      </c>
      <c r="K63" s="24" t="n">
        <f aca="false">J63-I63</f>
        <v>0</v>
      </c>
      <c r="L63" s="40" t="n">
        <v>720.36</v>
      </c>
      <c r="M63" s="41" t="n">
        <v>720.36</v>
      </c>
      <c r="N63" s="24" t="n">
        <f aca="false">M63-L63</f>
        <v>0</v>
      </c>
      <c r="O63" s="40" t="n">
        <v>71378.28</v>
      </c>
      <c r="P63" s="41" t="n">
        <v>71378.28</v>
      </c>
      <c r="Q63" s="24" t="n">
        <f aca="false">P63-O63</f>
        <v>0</v>
      </c>
      <c r="R63" s="40" t="n">
        <v>70845</v>
      </c>
      <c r="S63" s="41" t="n">
        <v>70845.84</v>
      </c>
      <c r="T63" s="24" t="n">
        <f aca="false">S63-R63</f>
        <v>0.839999999996508</v>
      </c>
      <c r="U63" s="40" t="n">
        <v>1253.64</v>
      </c>
      <c r="V63" s="41" t="n">
        <v>1252.8</v>
      </c>
      <c r="W63" s="24" t="n">
        <f aca="false">V63-U63</f>
        <v>-0.839999999999009</v>
      </c>
      <c r="X63" s="40"/>
      <c r="Y63" s="41"/>
      <c r="Z63" s="24"/>
      <c r="AA63" s="40" t="n">
        <v>783</v>
      </c>
      <c r="AB63" s="41" t="n">
        <v>783</v>
      </c>
      <c r="AC63" s="24" t="n">
        <f aca="false">AB63-AA63</f>
        <v>0</v>
      </c>
      <c r="AD63" s="40" t="n">
        <v>469.8</v>
      </c>
      <c r="AE63" s="41" t="n">
        <v>469.8</v>
      </c>
      <c r="AF63" s="24" t="n">
        <f aca="false">AE63-AD63</f>
        <v>0</v>
      </c>
      <c r="AG63" s="40" t="n">
        <v>846.479999999999</v>
      </c>
      <c r="AH63" s="41" t="n">
        <v>845.64</v>
      </c>
      <c r="AI63" s="24" t="n">
        <f aca="false">AH63-AG63</f>
        <v>-0.839999999998895</v>
      </c>
      <c r="AJ63" s="4"/>
    </row>
    <row r="64" customFormat="false" ht="29.85" hidden="false" customHeight="false" outlineLevel="0" collapsed="false">
      <c r="A64" s="21" t="s">
        <v>158</v>
      </c>
      <c r="B64" s="21" t="n">
        <v>10</v>
      </c>
      <c r="C64" s="21" t="s">
        <v>58</v>
      </c>
      <c r="D64" s="22" t="s">
        <v>170</v>
      </c>
      <c r="E64" s="21" t="s">
        <v>314</v>
      </c>
      <c r="F64" s="21" t="s">
        <v>298</v>
      </c>
      <c r="G64" s="23" t="n">
        <v>32.12</v>
      </c>
      <c r="H64" s="4" t="s">
        <v>348</v>
      </c>
      <c r="I64" s="40" t="n">
        <v>73940.24</v>
      </c>
      <c r="J64" s="41" t="n">
        <v>73940.24</v>
      </c>
      <c r="K64" s="24" t="n">
        <f aca="false">J64-I64</f>
        <v>0</v>
      </c>
      <c r="L64" s="40" t="n">
        <v>738.76</v>
      </c>
      <c r="M64" s="41" t="n">
        <v>738.76</v>
      </c>
      <c r="N64" s="24" t="n">
        <f aca="false">M64-L64</f>
        <v>0</v>
      </c>
      <c r="O64" s="40" t="n">
        <v>73201.48</v>
      </c>
      <c r="P64" s="41" t="n">
        <v>73201.48</v>
      </c>
      <c r="Q64" s="24" t="n">
        <f aca="false">P64-O64</f>
        <v>0</v>
      </c>
      <c r="R64" s="40" t="n">
        <v>72655</v>
      </c>
      <c r="S64" s="41" t="n">
        <v>72655.44</v>
      </c>
      <c r="T64" s="24" t="n">
        <f aca="false">S64-R64</f>
        <v>0.440000000002328</v>
      </c>
      <c r="U64" s="40" t="n">
        <v>1285.24000000001</v>
      </c>
      <c r="V64" s="41" t="n">
        <v>1284.8</v>
      </c>
      <c r="W64" s="24" t="n">
        <f aca="false">V64-U64</f>
        <v>-0.440000000005057</v>
      </c>
      <c r="X64" s="40"/>
      <c r="Y64" s="41"/>
      <c r="Z64" s="24"/>
      <c r="AA64" s="40" t="n">
        <v>803</v>
      </c>
      <c r="AB64" s="41" t="n">
        <v>803</v>
      </c>
      <c r="AC64" s="24" t="n">
        <f aca="false">AB64-AA64</f>
        <v>0</v>
      </c>
      <c r="AD64" s="40" t="n">
        <v>481.8</v>
      </c>
      <c r="AE64" s="41" t="n">
        <v>481.8</v>
      </c>
      <c r="AF64" s="24" t="n">
        <f aca="false">AE64-AD64</f>
        <v>0</v>
      </c>
      <c r="AG64" s="40" t="n">
        <v>867.679999999996</v>
      </c>
      <c r="AH64" s="41" t="n">
        <v>867.24</v>
      </c>
      <c r="AI64" s="24" t="n">
        <f aca="false">AH64-AG64</f>
        <v>-0.439999999996076</v>
      </c>
      <c r="AJ64" s="4"/>
    </row>
    <row r="65" customFormat="false" ht="29.85" hidden="false" customHeight="false" outlineLevel="0" collapsed="false">
      <c r="A65" s="21" t="s">
        <v>158</v>
      </c>
      <c r="B65" s="21" t="n">
        <v>11</v>
      </c>
      <c r="C65" s="21" t="s">
        <v>76</v>
      </c>
      <c r="D65" s="22" t="s">
        <v>171</v>
      </c>
      <c r="E65" s="21" t="s">
        <v>314</v>
      </c>
      <c r="F65" s="21" t="s">
        <v>298</v>
      </c>
      <c r="G65" s="23" t="n">
        <v>32.72</v>
      </c>
      <c r="H65" s="4" t="s">
        <v>348</v>
      </c>
      <c r="I65" s="40" t="n">
        <v>75321.44</v>
      </c>
      <c r="J65" s="41" t="n">
        <v>75321.44</v>
      </c>
      <c r="K65" s="24" t="n">
        <f aca="false">J65-I65</f>
        <v>0</v>
      </c>
      <c r="L65" s="40" t="n">
        <v>752.56</v>
      </c>
      <c r="M65" s="41" t="n">
        <v>752.56</v>
      </c>
      <c r="N65" s="24" t="n">
        <f aca="false">M65-L65</f>
        <v>0</v>
      </c>
      <c r="O65" s="40" t="n">
        <v>74568.88</v>
      </c>
      <c r="P65" s="41" t="n">
        <v>74568.88</v>
      </c>
      <c r="Q65" s="24" t="n">
        <f aca="false">P65-O65</f>
        <v>0</v>
      </c>
      <c r="R65" s="40" t="n">
        <v>74012</v>
      </c>
      <c r="S65" s="41" t="n">
        <v>74012.64</v>
      </c>
      <c r="T65" s="24" t="n">
        <f aca="false">S65-R65</f>
        <v>0.639999999999418</v>
      </c>
      <c r="U65" s="40" t="n">
        <v>1309.44</v>
      </c>
      <c r="V65" s="41" t="n">
        <v>1308.8</v>
      </c>
      <c r="W65" s="24" t="n">
        <f aca="false">V65-U65</f>
        <v>-0.640000000002146</v>
      </c>
      <c r="X65" s="40"/>
      <c r="Y65" s="41"/>
      <c r="Z65" s="24"/>
      <c r="AA65" s="40" t="n">
        <v>818</v>
      </c>
      <c r="AB65" s="41" t="n">
        <v>818</v>
      </c>
      <c r="AC65" s="24" t="n">
        <f aca="false">AB65-AA65</f>
        <v>0</v>
      </c>
      <c r="AD65" s="40" t="n">
        <v>490.8</v>
      </c>
      <c r="AE65" s="41" t="n">
        <v>490.8</v>
      </c>
      <c r="AF65" s="24" t="n">
        <f aca="false">AE65-AD65</f>
        <v>0</v>
      </c>
      <c r="AG65" s="40" t="n">
        <v>884.080000000005</v>
      </c>
      <c r="AH65" s="41" t="n">
        <v>883.44</v>
      </c>
      <c r="AI65" s="24" t="n">
        <f aca="false">AH65-AG65</f>
        <v>-0.640000000004761</v>
      </c>
      <c r="AJ65" s="4"/>
    </row>
    <row r="66" customFormat="false" ht="29.85" hidden="false" customHeight="false" outlineLevel="0" collapsed="false">
      <c r="A66" s="21" t="s">
        <v>172</v>
      </c>
      <c r="B66" s="21" t="n">
        <v>2</v>
      </c>
      <c r="C66" s="21" t="s">
        <v>76</v>
      </c>
      <c r="D66" s="22" t="s">
        <v>174</v>
      </c>
      <c r="E66" s="21" t="s">
        <v>314</v>
      </c>
      <c r="F66" s="21" t="s">
        <v>298</v>
      </c>
      <c r="G66" s="23" t="n">
        <v>82.26</v>
      </c>
      <c r="H66" s="4" t="s">
        <v>348</v>
      </c>
      <c r="I66" s="40" t="n">
        <v>208117.8</v>
      </c>
      <c r="J66" s="41" t="n">
        <v>208117.8</v>
      </c>
      <c r="K66" s="24" t="n">
        <f aca="false">J66-I66</f>
        <v>0</v>
      </c>
      <c r="L66" s="40" t="n">
        <v>1891.98</v>
      </c>
      <c r="M66" s="41" t="n">
        <v>1891.98</v>
      </c>
      <c r="N66" s="24" t="n">
        <f aca="false">M66-L66</f>
        <v>0</v>
      </c>
      <c r="O66" s="40" t="n">
        <v>206225.82</v>
      </c>
      <c r="P66" s="41" t="n">
        <v>206225.82</v>
      </c>
      <c r="Q66" s="24" t="n">
        <f aca="false">P66-O66</f>
        <v>0</v>
      </c>
      <c r="R66" s="40" t="n">
        <v>204827</v>
      </c>
      <c r="S66" s="41" t="n">
        <v>204827.4</v>
      </c>
      <c r="T66" s="24" t="n">
        <f aca="false">S66-R66</f>
        <v>0.399999999994179</v>
      </c>
      <c r="U66" s="40" t="n">
        <v>3290.79999999999</v>
      </c>
      <c r="V66" s="41" t="n">
        <v>3290.4</v>
      </c>
      <c r="W66" s="24" t="n">
        <f aca="false">V66-U66</f>
        <v>-0.399999999987813</v>
      </c>
      <c r="X66" s="40"/>
      <c r="Y66" s="41"/>
      <c r="Z66" s="24"/>
      <c r="AA66" s="40" t="n">
        <v>2056.5</v>
      </c>
      <c r="AB66" s="41" t="n">
        <v>2056.5</v>
      </c>
      <c r="AC66" s="24" t="n">
        <f aca="false">AB66-AA66</f>
        <v>0</v>
      </c>
      <c r="AD66" s="40" t="n">
        <v>1233.9</v>
      </c>
      <c r="AE66" s="41" t="n">
        <v>1233.9</v>
      </c>
      <c r="AF66" s="24" t="n">
        <f aca="false">AE66-AD66</f>
        <v>0</v>
      </c>
      <c r="AG66" s="40" t="n">
        <v>2221.41999999998</v>
      </c>
      <c r="AH66" s="41" t="n">
        <v>2221.02</v>
      </c>
      <c r="AI66" s="24" t="n">
        <f aca="false">AH66-AG66</f>
        <v>-0.399999999980082</v>
      </c>
      <c r="AJ66" s="4"/>
    </row>
    <row r="67" customFormat="false" ht="29.85" hidden="false" customHeight="false" outlineLevel="0" collapsed="false">
      <c r="A67" s="21" t="s">
        <v>172</v>
      </c>
      <c r="B67" s="21" t="n">
        <v>3</v>
      </c>
      <c r="C67" s="21" t="s">
        <v>58</v>
      </c>
      <c r="D67" s="22" t="s">
        <v>176</v>
      </c>
      <c r="E67" s="21" t="s">
        <v>314</v>
      </c>
      <c r="F67" s="21" t="s">
        <v>298</v>
      </c>
      <c r="G67" s="23" t="n">
        <v>82.2</v>
      </c>
      <c r="H67" s="4" t="s">
        <v>348</v>
      </c>
      <c r="I67" s="40" t="n">
        <v>207966</v>
      </c>
      <c r="J67" s="41" t="n">
        <v>207966</v>
      </c>
      <c r="K67" s="24" t="n">
        <f aca="false">J67-I67</f>
        <v>0</v>
      </c>
      <c r="L67" s="40" t="n">
        <v>1890.6</v>
      </c>
      <c r="M67" s="41" t="n">
        <v>1890.6</v>
      </c>
      <c r="N67" s="24" t="n">
        <f aca="false">M67-L67</f>
        <v>0</v>
      </c>
      <c r="O67" s="40" t="n">
        <v>206075.4</v>
      </c>
      <c r="P67" s="41" t="n">
        <v>206075.4</v>
      </c>
      <c r="Q67" s="24" t="n">
        <f aca="false">P67-O67</f>
        <v>0</v>
      </c>
      <c r="R67" s="40" t="n">
        <v>204678</v>
      </c>
      <c r="S67" s="41" t="n">
        <v>204678</v>
      </c>
      <c r="T67" s="24" t="n">
        <f aca="false">S67-R67</f>
        <v>0</v>
      </c>
      <c r="U67" s="40" t="n">
        <v>3288</v>
      </c>
      <c r="V67" s="41" t="n">
        <v>3288</v>
      </c>
      <c r="W67" s="24" t="n">
        <f aca="false">V67-U67</f>
        <v>0</v>
      </c>
      <c r="X67" s="40"/>
      <c r="Y67" s="41"/>
      <c r="Z67" s="24"/>
      <c r="AA67" s="40" t="n">
        <v>2055</v>
      </c>
      <c r="AB67" s="41" t="n">
        <v>2055</v>
      </c>
      <c r="AC67" s="24" t="n">
        <f aca="false">AB67-AA67</f>
        <v>0</v>
      </c>
      <c r="AD67" s="40" t="n">
        <v>1233</v>
      </c>
      <c r="AE67" s="41" t="n">
        <v>1233</v>
      </c>
      <c r="AF67" s="24" t="n">
        <f aca="false">AE67-AD67</f>
        <v>0</v>
      </c>
      <c r="AG67" s="40" t="n">
        <v>2219.39999999999</v>
      </c>
      <c r="AH67" s="41" t="n">
        <v>2219.4</v>
      </c>
      <c r="AI67" s="24" t="n">
        <f aca="false">AH67-AG67</f>
        <v>1.00044417195022E-011</v>
      </c>
      <c r="AJ67" s="4"/>
    </row>
    <row r="68" customFormat="false" ht="29.85" hidden="false" customHeight="false" outlineLevel="0" collapsed="false">
      <c r="A68" s="21" t="s">
        <v>172</v>
      </c>
      <c r="B68" s="21" t="n">
        <v>4</v>
      </c>
      <c r="C68" s="21" t="s">
        <v>122</v>
      </c>
      <c r="D68" s="22" t="s">
        <v>177</v>
      </c>
      <c r="E68" s="21" t="s">
        <v>314</v>
      </c>
      <c r="F68" s="21" t="s">
        <v>298</v>
      </c>
      <c r="G68" s="23" t="n">
        <v>79.76</v>
      </c>
      <c r="H68" s="4" t="s">
        <v>348</v>
      </c>
      <c r="I68" s="40" t="n">
        <v>181852.8</v>
      </c>
      <c r="J68" s="41" t="n">
        <v>181852.8</v>
      </c>
      <c r="K68" s="24" t="n">
        <f aca="false">J68-I68</f>
        <v>0</v>
      </c>
      <c r="L68" s="40" t="n">
        <v>1834.48</v>
      </c>
      <c r="M68" s="41" t="n">
        <v>1834.48</v>
      </c>
      <c r="N68" s="24" t="n">
        <f aca="false">M68-L68</f>
        <v>0</v>
      </c>
      <c r="O68" s="40" t="n">
        <v>180018.32</v>
      </c>
      <c r="P68" s="41" t="n">
        <v>180018.32</v>
      </c>
      <c r="Q68" s="24" t="n">
        <f aca="false">P68-O68</f>
        <v>0</v>
      </c>
      <c r="R68" s="40" t="n">
        <v>178662</v>
      </c>
      <c r="S68" s="41" t="n">
        <v>178662.4</v>
      </c>
      <c r="T68" s="24" t="n">
        <f aca="false">S68-R68</f>
        <v>0.399999999994179</v>
      </c>
      <c r="U68" s="40" t="n">
        <v>3190.79999999999</v>
      </c>
      <c r="V68" s="41" t="n">
        <v>3190.4</v>
      </c>
      <c r="W68" s="24" t="n">
        <f aca="false">V68-U68</f>
        <v>-0.399999999987813</v>
      </c>
      <c r="X68" s="40"/>
      <c r="Y68" s="41"/>
      <c r="Z68" s="24"/>
      <c r="AA68" s="40" t="n">
        <v>1994</v>
      </c>
      <c r="AB68" s="41" t="n">
        <v>1994</v>
      </c>
      <c r="AC68" s="24" t="n">
        <f aca="false">AB68-AA68</f>
        <v>0</v>
      </c>
      <c r="AD68" s="40" t="n">
        <v>1196.4</v>
      </c>
      <c r="AE68" s="41" t="n">
        <v>1196.4</v>
      </c>
      <c r="AF68" s="24" t="n">
        <f aca="false">AE68-AD68</f>
        <v>0</v>
      </c>
      <c r="AG68" s="40" t="n">
        <v>2153.91999999998</v>
      </c>
      <c r="AH68" s="41" t="n">
        <v>2153.52</v>
      </c>
      <c r="AI68" s="24" t="n">
        <f aca="false">AH68-AG68</f>
        <v>-0.399999999980082</v>
      </c>
      <c r="AJ68" s="4"/>
    </row>
    <row r="69" customFormat="false" ht="29.85" hidden="false" customHeight="false" outlineLevel="0" collapsed="false">
      <c r="A69" s="21" t="s">
        <v>172</v>
      </c>
      <c r="B69" s="21" t="n">
        <v>5</v>
      </c>
      <c r="C69" s="21" t="s">
        <v>122</v>
      </c>
      <c r="D69" s="22" t="s">
        <v>179</v>
      </c>
      <c r="E69" s="21" t="s">
        <v>314</v>
      </c>
      <c r="F69" s="21" t="s">
        <v>298</v>
      </c>
      <c r="G69" s="23" t="n">
        <v>75.88</v>
      </c>
      <c r="H69" s="4" t="s">
        <v>348</v>
      </c>
      <c r="I69" s="40" t="n">
        <v>191976.4</v>
      </c>
      <c r="J69" s="41" t="n">
        <v>191976.4</v>
      </c>
      <c r="K69" s="24" t="n">
        <f aca="false">J69-I69</f>
        <v>0</v>
      </c>
      <c r="L69" s="40" t="n">
        <v>1745.24</v>
      </c>
      <c r="M69" s="41" t="n">
        <v>1745.24</v>
      </c>
      <c r="N69" s="24" t="n">
        <f aca="false">M69-L69</f>
        <v>0</v>
      </c>
      <c r="O69" s="40" t="n">
        <v>190231.16</v>
      </c>
      <c r="P69" s="41" t="n">
        <v>190231.16</v>
      </c>
      <c r="Q69" s="24" t="n">
        <f aca="false">P69-O69</f>
        <v>0</v>
      </c>
      <c r="R69" s="40" t="n">
        <v>188941</v>
      </c>
      <c r="S69" s="41" t="n">
        <v>188941.2</v>
      </c>
      <c r="T69" s="24" t="n">
        <f aca="false">S69-R69</f>
        <v>0.200000000011642</v>
      </c>
      <c r="U69" s="40" t="n">
        <v>3035.39999999999</v>
      </c>
      <c r="V69" s="41" t="n">
        <v>3035.2</v>
      </c>
      <c r="W69" s="24" t="n">
        <f aca="false">V69-U69</f>
        <v>-0.199999999994361</v>
      </c>
      <c r="X69" s="40"/>
      <c r="Y69" s="41"/>
      <c r="Z69" s="24"/>
      <c r="AA69" s="40" t="n">
        <v>1897</v>
      </c>
      <c r="AB69" s="41" t="n">
        <v>1897</v>
      </c>
      <c r="AC69" s="24" t="n">
        <f aca="false">AB69-AA69</f>
        <v>0</v>
      </c>
      <c r="AD69" s="40" t="n">
        <v>1138.2</v>
      </c>
      <c r="AE69" s="41" t="n">
        <v>1138.2</v>
      </c>
      <c r="AF69" s="24" t="n">
        <f aca="false">AE69-AD69</f>
        <v>0</v>
      </c>
      <c r="AG69" s="40" t="n">
        <v>2048.96</v>
      </c>
      <c r="AH69" s="41" t="n">
        <v>2048.76</v>
      </c>
      <c r="AI69" s="24" t="n">
        <f aca="false">AH69-AG69</f>
        <v>-0.199999999999818</v>
      </c>
      <c r="AJ69" s="4"/>
    </row>
    <row r="70" customFormat="false" ht="29.85" hidden="false" customHeight="false" outlineLevel="0" collapsed="false">
      <c r="A70" s="21" t="s">
        <v>172</v>
      </c>
      <c r="B70" s="21" t="n">
        <v>6</v>
      </c>
      <c r="C70" s="21" t="s">
        <v>76</v>
      </c>
      <c r="D70" s="22" t="s">
        <v>180</v>
      </c>
      <c r="E70" s="21" t="s">
        <v>314</v>
      </c>
      <c r="F70" s="21" t="s">
        <v>298</v>
      </c>
      <c r="G70" s="23" t="n">
        <v>29.79</v>
      </c>
      <c r="H70" s="4" t="s">
        <v>348</v>
      </c>
      <c r="I70" s="40" t="n">
        <v>68576.58</v>
      </c>
      <c r="J70" s="41" t="n">
        <v>68576.58</v>
      </c>
      <c r="K70" s="24" t="n">
        <f aca="false">J70-I70</f>
        <v>0</v>
      </c>
      <c r="L70" s="40" t="n">
        <v>685.17</v>
      </c>
      <c r="M70" s="41" t="n">
        <v>685.17</v>
      </c>
      <c r="N70" s="24" t="n">
        <f aca="false">M70-L70</f>
        <v>0</v>
      </c>
      <c r="O70" s="40" t="n">
        <v>67891.41</v>
      </c>
      <c r="P70" s="41" t="n">
        <v>67891.41</v>
      </c>
      <c r="Q70" s="24" t="n">
        <f aca="false">P70-O70</f>
        <v>0</v>
      </c>
      <c r="R70" s="40" t="n">
        <v>67384</v>
      </c>
      <c r="S70" s="41" t="n">
        <v>67384.98</v>
      </c>
      <c r="T70" s="24" t="n">
        <f aca="false">S70-R70</f>
        <v>0.979999999995926</v>
      </c>
      <c r="U70" s="40" t="n">
        <v>1192.58</v>
      </c>
      <c r="V70" s="41" t="n">
        <v>1191.6</v>
      </c>
      <c r="W70" s="24" t="n">
        <f aca="false">V70-U70</f>
        <v>-0.980000000002065</v>
      </c>
      <c r="X70" s="40"/>
      <c r="Y70" s="41"/>
      <c r="Z70" s="24"/>
      <c r="AA70" s="40" t="n">
        <v>744.75</v>
      </c>
      <c r="AB70" s="41" t="n">
        <v>744.75</v>
      </c>
      <c r="AC70" s="24" t="n">
        <f aca="false">AB70-AA70</f>
        <v>0</v>
      </c>
      <c r="AD70" s="40" t="n">
        <v>446.85</v>
      </c>
      <c r="AE70" s="41" t="n">
        <v>446.85</v>
      </c>
      <c r="AF70" s="24" t="n">
        <f aca="false">AE70-AD70</f>
        <v>0</v>
      </c>
      <c r="AG70" s="40" t="n">
        <v>805.310000000004</v>
      </c>
      <c r="AH70" s="41" t="n">
        <v>804.33</v>
      </c>
      <c r="AI70" s="24" t="n">
        <f aca="false">AH70-AG70</f>
        <v>-0.980000000004111</v>
      </c>
      <c r="AJ70" s="4"/>
    </row>
    <row r="71" customFormat="false" ht="29.85" hidden="false" customHeight="false" outlineLevel="0" collapsed="false">
      <c r="A71" s="21" t="s">
        <v>172</v>
      </c>
      <c r="B71" s="21" t="n">
        <v>7</v>
      </c>
      <c r="C71" s="21" t="s">
        <v>76</v>
      </c>
      <c r="D71" s="22" t="s">
        <v>181</v>
      </c>
      <c r="E71" s="21" t="s">
        <v>314</v>
      </c>
      <c r="F71" s="21" t="s">
        <v>298</v>
      </c>
      <c r="G71" s="23" t="n">
        <v>81.46</v>
      </c>
      <c r="H71" s="4" t="s">
        <v>348</v>
      </c>
      <c r="I71" s="40" t="n">
        <v>206093.8</v>
      </c>
      <c r="J71" s="41" t="n">
        <v>206093.8</v>
      </c>
      <c r="K71" s="24" t="n">
        <f aca="false">J71-I71</f>
        <v>0</v>
      </c>
      <c r="L71" s="40" t="n">
        <v>1873.58</v>
      </c>
      <c r="M71" s="41" t="n">
        <v>1873.58</v>
      </c>
      <c r="N71" s="24" t="n">
        <f aca="false">M71-L71</f>
        <v>0</v>
      </c>
      <c r="O71" s="40" t="n">
        <v>204220.22</v>
      </c>
      <c r="P71" s="41" t="n">
        <v>204220.22</v>
      </c>
      <c r="Q71" s="24" t="n">
        <f aca="false">P71-O71</f>
        <v>0</v>
      </c>
      <c r="R71" s="40" t="n">
        <v>202835</v>
      </c>
      <c r="S71" s="41" t="n">
        <v>202835.4</v>
      </c>
      <c r="T71" s="24" t="n">
        <f aca="false">S71-R71</f>
        <v>0.399999999994179</v>
      </c>
      <c r="U71" s="40" t="n">
        <v>3258.79999999999</v>
      </c>
      <c r="V71" s="41" t="n">
        <v>3258.4</v>
      </c>
      <c r="W71" s="24" t="n">
        <f aca="false">V71-U71</f>
        <v>-0.399999999987813</v>
      </c>
      <c r="X71" s="40"/>
      <c r="Y71" s="41"/>
      <c r="Z71" s="24"/>
      <c r="AA71" s="40" t="n">
        <v>2036.5</v>
      </c>
      <c r="AB71" s="41" t="n">
        <v>2036.5</v>
      </c>
      <c r="AC71" s="24" t="n">
        <f aca="false">AB71-AA71</f>
        <v>0</v>
      </c>
      <c r="AD71" s="40" t="n">
        <v>1221.9</v>
      </c>
      <c r="AE71" s="41" t="n">
        <v>1221.9</v>
      </c>
      <c r="AF71" s="24" t="n">
        <f aca="false">AE71-AD71</f>
        <v>0</v>
      </c>
      <c r="AG71" s="40" t="n">
        <v>2199.82</v>
      </c>
      <c r="AH71" s="41" t="n">
        <v>2199.42</v>
      </c>
      <c r="AI71" s="24" t="n">
        <f aca="false">AH71-AG71</f>
        <v>-0.400000000000091</v>
      </c>
      <c r="AJ71" s="4"/>
    </row>
    <row r="72" customFormat="false" ht="29.85" hidden="false" customHeight="false" outlineLevel="0" collapsed="false">
      <c r="A72" s="21" t="s">
        <v>182</v>
      </c>
      <c r="B72" s="21" t="n">
        <v>2</v>
      </c>
      <c r="C72" s="21" t="s">
        <v>184</v>
      </c>
      <c r="D72" s="22" t="s">
        <v>183</v>
      </c>
      <c r="E72" s="21" t="s">
        <v>314</v>
      </c>
      <c r="F72" s="21" t="s">
        <v>298</v>
      </c>
      <c r="G72" s="23" t="n">
        <v>30.06</v>
      </c>
      <c r="H72" s="4" t="s">
        <v>348</v>
      </c>
      <c r="I72" s="40" t="n">
        <v>75450.6</v>
      </c>
      <c r="J72" s="41" t="n">
        <v>75450.6</v>
      </c>
      <c r="K72" s="24" t="n">
        <f aca="false">J72-I72</f>
        <v>0</v>
      </c>
      <c r="L72" s="40" t="n">
        <v>691.38</v>
      </c>
      <c r="M72" s="41" t="n">
        <v>691.38</v>
      </c>
      <c r="N72" s="24" t="n">
        <f aca="false">M72-L72</f>
        <v>0</v>
      </c>
      <c r="O72" s="40" t="n">
        <v>74759.22</v>
      </c>
      <c r="P72" s="41" t="n">
        <v>74759.22</v>
      </c>
      <c r="Q72" s="24" t="n">
        <f aca="false">P72-O72</f>
        <v>0</v>
      </c>
      <c r="R72" s="40" t="n">
        <v>74248</v>
      </c>
      <c r="S72" s="41" t="n">
        <v>74248.2</v>
      </c>
      <c r="T72" s="24" t="n">
        <f aca="false">S72-R72</f>
        <v>0.200000000011642</v>
      </c>
      <c r="U72" s="40" t="n">
        <v>1202.60000000001</v>
      </c>
      <c r="V72" s="41" t="n">
        <v>1202.4</v>
      </c>
      <c r="W72" s="24" t="n">
        <f aca="false">V72-U72</f>
        <v>-0.200000000005957</v>
      </c>
      <c r="X72" s="40"/>
      <c r="Y72" s="41"/>
      <c r="Z72" s="24"/>
      <c r="AA72" s="40" t="n">
        <v>751.5</v>
      </c>
      <c r="AB72" s="41" t="n">
        <v>751.5</v>
      </c>
      <c r="AC72" s="24" t="n">
        <f aca="false">AB72-AA72</f>
        <v>0</v>
      </c>
      <c r="AD72" s="40" t="n">
        <v>450.9</v>
      </c>
      <c r="AE72" s="41" t="n">
        <v>450.9</v>
      </c>
      <c r="AF72" s="24" t="n">
        <f aca="false">AE72-AD72</f>
        <v>0</v>
      </c>
      <c r="AG72" s="40" t="n">
        <v>811.820000000001</v>
      </c>
      <c r="AH72" s="41" t="n">
        <v>811.62</v>
      </c>
      <c r="AI72" s="24" t="n">
        <f aca="false">AH72-AG72</f>
        <v>-0.200000000000955</v>
      </c>
      <c r="AJ72" s="4"/>
    </row>
    <row r="73" customFormat="false" ht="29.85" hidden="false" customHeight="false" outlineLevel="0" collapsed="false">
      <c r="A73" s="21" t="s">
        <v>182</v>
      </c>
      <c r="B73" s="21" t="n">
        <v>3</v>
      </c>
      <c r="C73" s="21" t="s">
        <v>186</v>
      </c>
      <c r="D73" s="22" t="s">
        <v>185</v>
      </c>
      <c r="E73" s="21" t="s">
        <v>314</v>
      </c>
      <c r="F73" s="21" t="s">
        <v>298</v>
      </c>
      <c r="G73" s="23" t="n">
        <v>57.86</v>
      </c>
      <c r="H73" s="4" t="s">
        <v>348</v>
      </c>
      <c r="I73" s="40" t="n">
        <v>147543</v>
      </c>
      <c r="J73" s="41" t="n">
        <v>147543</v>
      </c>
      <c r="K73" s="24" t="n">
        <f aca="false">J73-I73</f>
        <v>0</v>
      </c>
      <c r="L73" s="40" t="n">
        <v>1330.78</v>
      </c>
      <c r="M73" s="41" t="n">
        <v>1330.78</v>
      </c>
      <c r="N73" s="24" t="n">
        <f aca="false">M73-L73</f>
        <v>0</v>
      </c>
      <c r="O73" s="40" t="n">
        <v>146212.22</v>
      </c>
      <c r="P73" s="41" t="n">
        <v>146212.22</v>
      </c>
      <c r="Q73" s="24" t="n">
        <f aca="false">P73-O73</f>
        <v>0</v>
      </c>
      <c r="R73" s="40" t="n">
        <v>145228</v>
      </c>
      <c r="S73" s="41" t="n">
        <v>145228.6</v>
      </c>
      <c r="T73" s="24" t="n">
        <f aca="false">S73-R73</f>
        <v>0.600000000005821</v>
      </c>
      <c r="U73" s="40" t="n">
        <v>2315</v>
      </c>
      <c r="V73" s="41" t="n">
        <v>2314.4</v>
      </c>
      <c r="W73" s="24" t="n">
        <f aca="false">V73-U73</f>
        <v>-0.599999999999909</v>
      </c>
      <c r="X73" s="40"/>
      <c r="Y73" s="41"/>
      <c r="Z73" s="24"/>
      <c r="AA73" s="40" t="n">
        <v>1446.5</v>
      </c>
      <c r="AB73" s="41" t="n">
        <v>1446.5</v>
      </c>
      <c r="AC73" s="24" t="n">
        <f aca="false">AB73-AA73</f>
        <v>0</v>
      </c>
      <c r="AD73" s="40" t="n">
        <v>867.9</v>
      </c>
      <c r="AE73" s="41" t="n">
        <v>867.9</v>
      </c>
      <c r="AF73" s="24" t="n">
        <f aca="false">AE73-AD73</f>
        <v>0</v>
      </c>
      <c r="AG73" s="40" t="n">
        <v>1562.82</v>
      </c>
      <c r="AH73" s="41" t="n">
        <v>1562.22</v>
      </c>
      <c r="AI73" s="24" t="n">
        <f aca="false">AH73-AG73</f>
        <v>-0.599999999999909</v>
      </c>
      <c r="AJ73" s="4"/>
    </row>
    <row r="74" customFormat="false" ht="29.85" hidden="false" customHeight="false" outlineLevel="0" collapsed="false">
      <c r="A74" s="21" t="s">
        <v>182</v>
      </c>
      <c r="B74" s="21" t="n">
        <v>4</v>
      </c>
      <c r="C74" s="21" t="s">
        <v>106</v>
      </c>
      <c r="D74" s="22" t="s">
        <v>187</v>
      </c>
      <c r="E74" s="21" t="s">
        <v>314</v>
      </c>
      <c r="F74" s="21" t="s">
        <v>298</v>
      </c>
      <c r="G74" s="23" t="n">
        <v>42.94</v>
      </c>
      <c r="H74" s="4" t="s">
        <v>348</v>
      </c>
      <c r="I74" s="40" t="n">
        <v>109497</v>
      </c>
      <c r="J74" s="41" t="n">
        <v>109497</v>
      </c>
      <c r="K74" s="24" t="n">
        <f aca="false">J74-I74</f>
        <v>0</v>
      </c>
      <c r="L74" s="40" t="n">
        <v>987.62</v>
      </c>
      <c r="M74" s="41" t="n">
        <v>987.62</v>
      </c>
      <c r="N74" s="24" t="n">
        <f aca="false">M74-L74</f>
        <v>0</v>
      </c>
      <c r="O74" s="40" t="n">
        <v>108509.38</v>
      </c>
      <c r="P74" s="41" t="n">
        <v>108509.38</v>
      </c>
      <c r="Q74" s="24" t="n">
        <f aca="false">P74-O74</f>
        <v>0</v>
      </c>
      <c r="R74" s="40" t="n">
        <v>107779</v>
      </c>
      <c r="S74" s="41" t="n">
        <v>107779.4</v>
      </c>
      <c r="T74" s="24" t="n">
        <f aca="false">S74-R74</f>
        <v>0.399999999994179</v>
      </c>
      <c r="U74" s="40" t="n">
        <v>1718</v>
      </c>
      <c r="V74" s="41" t="n">
        <v>1717.6</v>
      </c>
      <c r="W74" s="24" t="n">
        <f aca="false">V74-U74</f>
        <v>-0.400000000000091</v>
      </c>
      <c r="X74" s="40"/>
      <c r="Y74" s="41"/>
      <c r="Z74" s="24"/>
      <c r="AA74" s="40" t="n">
        <v>1073.5</v>
      </c>
      <c r="AB74" s="41" t="n">
        <v>1073.5</v>
      </c>
      <c r="AC74" s="24" t="n">
        <f aca="false">AB74-AA74</f>
        <v>0</v>
      </c>
      <c r="AD74" s="40" t="n">
        <v>644.1</v>
      </c>
      <c r="AE74" s="41" t="n">
        <v>644.1</v>
      </c>
      <c r="AF74" s="24" t="n">
        <f aca="false">AE74-AD74</f>
        <v>0</v>
      </c>
      <c r="AG74" s="40" t="n">
        <v>1159.78</v>
      </c>
      <c r="AH74" s="41" t="n">
        <v>1159.38</v>
      </c>
      <c r="AI74" s="24" t="n">
        <f aca="false">AH74-AG74</f>
        <v>-0.399999999999864</v>
      </c>
      <c r="AJ74" s="4"/>
    </row>
    <row r="75" customFormat="false" ht="29.85" hidden="false" customHeight="false" outlineLevel="0" collapsed="false">
      <c r="A75" s="21" t="s">
        <v>182</v>
      </c>
      <c r="B75" s="21" t="n">
        <v>5</v>
      </c>
      <c r="C75" s="21" t="s">
        <v>58</v>
      </c>
      <c r="D75" s="22" t="s">
        <v>188</v>
      </c>
      <c r="E75" s="21" t="s">
        <v>314</v>
      </c>
      <c r="F75" s="21" t="s">
        <v>298</v>
      </c>
      <c r="G75" s="23" t="n">
        <v>75.44</v>
      </c>
      <c r="H75" s="4" t="s">
        <v>348</v>
      </c>
      <c r="I75" s="40" t="n">
        <v>196898.4</v>
      </c>
      <c r="J75" s="41" t="n">
        <v>196898.4</v>
      </c>
      <c r="K75" s="24" t="n">
        <f aca="false">J75-I75</f>
        <v>0</v>
      </c>
      <c r="L75" s="40" t="n">
        <v>1735.12</v>
      </c>
      <c r="M75" s="41" t="n">
        <v>1735.12</v>
      </c>
      <c r="N75" s="24" t="n">
        <f aca="false">M75-L75</f>
        <v>0</v>
      </c>
      <c r="O75" s="40" t="n">
        <v>195163.28</v>
      </c>
      <c r="P75" s="41" t="n">
        <v>195163.28</v>
      </c>
      <c r="Q75" s="24" t="n">
        <f aca="false">P75-O75</f>
        <v>0</v>
      </c>
      <c r="R75" s="40" t="n">
        <v>193880</v>
      </c>
      <c r="S75" s="41" t="n">
        <v>193880.8</v>
      </c>
      <c r="T75" s="24" t="n">
        <f aca="false">S75-R75</f>
        <v>0.799999999988359</v>
      </c>
      <c r="U75" s="40" t="n">
        <v>3018.39999999999</v>
      </c>
      <c r="V75" s="41" t="n">
        <v>3017.6</v>
      </c>
      <c r="W75" s="24" t="n">
        <f aca="false">V75-U75</f>
        <v>-0.79999999999427</v>
      </c>
      <c r="X75" s="40"/>
      <c r="Y75" s="41"/>
      <c r="Z75" s="24"/>
      <c r="AA75" s="40" t="n">
        <v>1886</v>
      </c>
      <c r="AB75" s="41" t="n">
        <v>1886</v>
      </c>
      <c r="AC75" s="24" t="n">
        <f aca="false">AB75-AA75</f>
        <v>0</v>
      </c>
      <c r="AD75" s="40" t="n">
        <v>1131.6</v>
      </c>
      <c r="AE75" s="41" t="n">
        <v>1131.6</v>
      </c>
      <c r="AF75" s="24" t="n">
        <f aca="false">AE75-AD75</f>
        <v>0</v>
      </c>
      <c r="AG75" s="40" t="n">
        <v>2037.68</v>
      </c>
      <c r="AH75" s="41" t="n">
        <v>2036.88</v>
      </c>
      <c r="AI75" s="24" t="n">
        <f aca="false">AH75-AG75</f>
        <v>-0.799999999999045</v>
      </c>
      <c r="AJ75" s="4"/>
    </row>
    <row r="76" customFormat="false" ht="55.2" hidden="false" customHeight="false" outlineLevel="0" collapsed="false">
      <c r="A76" s="21" t="s">
        <v>189</v>
      </c>
      <c r="B76" s="21" t="n">
        <v>2</v>
      </c>
      <c r="C76" s="21" t="s">
        <v>191</v>
      </c>
      <c r="D76" s="22" t="s">
        <v>190</v>
      </c>
      <c r="E76" s="21" t="s">
        <v>312</v>
      </c>
      <c r="F76" s="21" t="s">
        <v>263</v>
      </c>
      <c r="G76" s="23" t="n">
        <v>32.42</v>
      </c>
      <c r="H76" s="4" t="s">
        <v>344</v>
      </c>
      <c r="I76" s="40" t="n">
        <v>77808</v>
      </c>
      <c r="J76" s="41" t="n">
        <v>77808</v>
      </c>
      <c r="K76" s="24" t="n">
        <f aca="false">J76-I76</f>
        <v>0</v>
      </c>
      <c r="L76" s="40" t="n">
        <v>745.66</v>
      </c>
      <c r="M76" s="41" t="n">
        <v>745.66</v>
      </c>
      <c r="N76" s="24" t="n">
        <f aca="false">M76-L76</f>
        <v>0</v>
      </c>
      <c r="O76" s="40" t="n">
        <v>77062.34</v>
      </c>
      <c r="P76" s="41" t="n">
        <v>77062.34</v>
      </c>
      <c r="Q76" s="24" t="n">
        <f aca="false">P76-O76</f>
        <v>0</v>
      </c>
      <c r="R76" s="40" t="n">
        <v>66914</v>
      </c>
      <c r="S76" s="41" t="n">
        <v>66914.88</v>
      </c>
      <c r="T76" s="24" t="n">
        <f aca="false">S76-R76</f>
        <v>0.880000000004657</v>
      </c>
      <c r="U76" s="40" t="n">
        <v>66658.9241</v>
      </c>
      <c r="V76" s="41" t="n">
        <v>66658.9241</v>
      </c>
      <c r="W76" s="24" t="n">
        <f aca="false">V76-U76</f>
        <v>0</v>
      </c>
      <c r="X76" s="40" t="n">
        <v>255.075900000011</v>
      </c>
      <c r="Y76" s="41" t="n">
        <v>255.955900000015</v>
      </c>
      <c r="Z76" s="24" t="n">
        <f aca="false">Y76-X76</f>
        <v>0.880000000004685</v>
      </c>
      <c r="AA76" s="40" t="n">
        <v>810.5</v>
      </c>
      <c r="AB76" s="41" t="n">
        <v>810.5</v>
      </c>
      <c r="AC76" s="24" t="n">
        <f aca="false">AB76-AA76</f>
        <v>0</v>
      </c>
      <c r="AD76" s="40" t="n">
        <v>0</v>
      </c>
      <c r="AE76" s="41" t="n">
        <v>0</v>
      </c>
      <c r="AF76" s="24" t="n">
        <f aca="false">AE76-AD76</f>
        <v>0</v>
      </c>
      <c r="AG76" s="40" t="n">
        <v>555.424099999989</v>
      </c>
      <c r="AH76" s="41" t="n">
        <v>554.544099999985</v>
      </c>
      <c r="AI76" s="24" t="n">
        <f aca="false">AH76-AG76</f>
        <v>-0.880000000004429</v>
      </c>
      <c r="AJ76" s="4"/>
    </row>
    <row r="77" customFormat="false" ht="55.2" hidden="false" customHeight="false" outlineLevel="0" collapsed="false">
      <c r="A77" s="21" t="s">
        <v>189</v>
      </c>
      <c r="B77" s="21" t="n">
        <v>3</v>
      </c>
      <c r="C77" s="21" t="s">
        <v>194</v>
      </c>
      <c r="D77" s="22" t="s">
        <v>193</v>
      </c>
      <c r="E77" s="21" t="s">
        <v>312</v>
      </c>
      <c r="F77" s="21" t="s">
        <v>263</v>
      </c>
      <c r="G77" s="23" t="n">
        <v>35.72</v>
      </c>
      <c r="H77" s="4" t="s">
        <v>344</v>
      </c>
      <c r="I77" s="40" t="n">
        <v>86442.4</v>
      </c>
      <c r="J77" s="41" t="n">
        <v>86442.4</v>
      </c>
      <c r="K77" s="24" t="n">
        <f aca="false">J77-I77</f>
        <v>0</v>
      </c>
      <c r="L77" s="40" t="n">
        <v>821.56</v>
      </c>
      <c r="M77" s="41" t="n">
        <v>821.56</v>
      </c>
      <c r="N77" s="24" t="n">
        <f aca="false">M77-L77</f>
        <v>0</v>
      </c>
      <c r="O77" s="40" t="n">
        <v>85620.84</v>
      </c>
      <c r="P77" s="41" t="n">
        <v>85620.84</v>
      </c>
      <c r="Q77" s="24" t="n">
        <f aca="false">P77-O77</f>
        <v>0</v>
      </c>
      <c r="R77" s="40" t="n">
        <v>74340</v>
      </c>
      <c r="S77" s="41" t="n">
        <v>74340.464</v>
      </c>
      <c r="T77" s="24" t="n">
        <f aca="false">S77-R77</f>
        <v>0.463999999992666</v>
      </c>
      <c r="U77" s="40" t="n">
        <v>74062.0266</v>
      </c>
      <c r="V77" s="41" t="n">
        <v>74062.0266</v>
      </c>
      <c r="W77" s="24" t="n">
        <f aca="false">V77-U77</f>
        <v>0</v>
      </c>
      <c r="X77" s="40" t="n">
        <v>277.973400000003</v>
      </c>
      <c r="Y77" s="41" t="n">
        <v>278.437399999995</v>
      </c>
      <c r="Z77" s="24" t="n">
        <f aca="false">Y77-X77</f>
        <v>0.463999999992723</v>
      </c>
      <c r="AA77" s="40" t="n">
        <v>893</v>
      </c>
      <c r="AB77" s="41" t="n">
        <v>893</v>
      </c>
      <c r="AC77" s="24" t="n">
        <f aca="false">AB77-AA77</f>
        <v>0</v>
      </c>
      <c r="AD77" s="40" t="n">
        <v>0</v>
      </c>
      <c r="AE77" s="41" t="n">
        <v>0</v>
      </c>
      <c r="AF77" s="24" t="n">
        <f aca="false">AE77-AD77</f>
        <v>0</v>
      </c>
      <c r="AG77" s="40" t="n">
        <v>615.026599999997</v>
      </c>
      <c r="AH77" s="41" t="n">
        <v>614.562600000005</v>
      </c>
      <c r="AI77" s="24" t="n">
        <f aca="false">AH77-AG77</f>
        <v>-0.463999999992211</v>
      </c>
      <c r="AJ77" s="4"/>
    </row>
    <row r="78" customFormat="false" ht="55.2" hidden="false" customHeight="false" outlineLevel="0" collapsed="false">
      <c r="A78" s="21" t="s">
        <v>189</v>
      </c>
      <c r="B78" s="21" t="n">
        <v>4</v>
      </c>
      <c r="C78" s="21" t="s">
        <v>197</v>
      </c>
      <c r="D78" s="22" t="s">
        <v>196</v>
      </c>
      <c r="E78" s="21" t="s">
        <v>312</v>
      </c>
      <c r="F78" s="21" t="s">
        <v>263</v>
      </c>
      <c r="G78" s="23" t="n">
        <v>38.07</v>
      </c>
      <c r="H78" s="4" t="s">
        <v>344</v>
      </c>
      <c r="I78" s="40" t="n">
        <v>91748.7</v>
      </c>
      <c r="J78" s="41" t="n">
        <v>91748.7</v>
      </c>
      <c r="K78" s="24" t="n">
        <f aca="false">J78-I78</f>
        <v>0</v>
      </c>
      <c r="L78" s="40" t="n">
        <v>875.61</v>
      </c>
      <c r="M78" s="41" t="n">
        <v>875.61</v>
      </c>
      <c r="N78" s="24" t="n">
        <f aca="false">M78-L78</f>
        <v>0</v>
      </c>
      <c r="O78" s="40" t="n">
        <v>90873.09</v>
      </c>
      <c r="P78" s="41" t="n">
        <v>90873.09</v>
      </c>
      <c r="Q78" s="24" t="n">
        <f aca="false">P78-O78</f>
        <v>0</v>
      </c>
      <c r="R78" s="40" t="n">
        <v>78904</v>
      </c>
      <c r="S78" s="41" t="n">
        <v>78903.882</v>
      </c>
      <c r="T78" s="24" t="n">
        <f aca="false">S78-R78</f>
        <v>-0.118000000002212</v>
      </c>
      <c r="U78" s="40" t="n">
        <v>78605.22285</v>
      </c>
      <c r="V78" s="41" t="n">
        <v>78605.22285</v>
      </c>
      <c r="W78" s="24" t="n">
        <f aca="false">V78-U78</f>
        <v>0</v>
      </c>
      <c r="X78" s="40" t="n">
        <v>298.777150000009</v>
      </c>
      <c r="Y78" s="41" t="n">
        <v>298.659150000007</v>
      </c>
      <c r="Z78" s="24" t="n">
        <f aca="false">Y78-X78</f>
        <v>-0.118000000002212</v>
      </c>
      <c r="AA78" s="40" t="n">
        <v>951.75</v>
      </c>
      <c r="AB78" s="41" t="n">
        <v>951.75</v>
      </c>
      <c r="AC78" s="24" t="n">
        <f aca="false">AB78-AA78</f>
        <v>0</v>
      </c>
      <c r="AD78" s="40" t="n">
        <v>0</v>
      </c>
      <c r="AE78" s="41" t="n">
        <v>0</v>
      </c>
      <c r="AF78" s="24" t="n">
        <f aca="false">AE78-AD78</f>
        <v>0</v>
      </c>
      <c r="AG78" s="40" t="n">
        <v>652.972849999991</v>
      </c>
      <c r="AH78" s="41" t="n">
        <v>653.090849999993</v>
      </c>
      <c r="AI78" s="24" t="n">
        <f aca="false">AH78-AG78</f>
        <v>0.118000000002212</v>
      </c>
      <c r="AJ78" s="4"/>
    </row>
    <row r="79" customFormat="false" ht="55.2" hidden="false" customHeight="false" outlineLevel="0" collapsed="false">
      <c r="A79" s="21" t="s">
        <v>189</v>
      </c>
      <c r="B79" s="21" t="n">
        <v>5</v>
      </c>
      <c r="C79" s="21" t="s">
        <v>199</v>
      </c>
      <c r="D79" s="22" t="s">
        <v>198</v>
      </c>
      <c r="E79" s="21" t="s">
        <v>312</v>
      </c>
      <c r="F79" s="21" t="s">
        <v>263</v>
      </c>
      <c r="G79" s="23" t="n">
        <v>35.28</v>
      </c>
      <c r="H79" s="4" t="s">
        <v>344</v>
      </c>
      <c r="I79" s="40" t="n">
        <v>68714.8</v>
      </c>
      <c r="J79" s="41" t="n">
        <v>68714.8</v>
      </c>
      <c r="K79" s="24" t="n">
        <f aca="false">J79-I79</f>
        <v>0</v>
      </c>
      <c r="L79" s="40" t="n">
        <v>811.44</v>
      </c>
      <c r="M79" s="41" t="n">
        <v>811.44</v>
      </c>
      <c r="N79" s="24" t="n">
        <f aca="false">M79-L79</f>
        <v>0</v>
      </c>
      <c r="O79" s="40" t="n">
        <v>67903.36</v>
      </c>
      <c r="P79" s="41" t="n">
        <v>67903.36</v>
      </c>
      <c r="Q79" s="24" t="n">
        <f aca="false">P79-O79</f>
        <v>0</v>
      </c>
      <c r="R79" s="40" t="n">
        <v>59094</v>
      </c>
      <c r="S79" s="41" t="n">
        <v>59094.728</v>
      </c>
      <c r="T79" s="24" t="n">
        <f aca="false">S79-R79</f>
        <v>0.728000000002794</v>
      </c>
      <c r="U79" s="40" t="n">
        <v>58736.4064</v>
      </c>
      <c r="V79" s="41" t="n">
        <v>58736.4064</v>
      </c>
      <c r="W79" s="24" t="n">
        <f aca="false">V79-U79</f>
        <v>0</v>
      </c>
      <c r="X79" s="40" t="n">
        <v>357.5936</v>
      </c>
      <c r="Y79" s="41" t="n">
        <v>358.321600000003</v>
      </c>
      <c r="Z79" s="24" t="n">
        <f aca="false">Y79-X79</f>
        <v>0.72800000000268</v>
      </c>
      <c r="AA79" s="40" t="n">
        <v>882</v>
      </c>
      <c r="AB79" s="41" t="n">
        <v>882</v>
      </c>
      <c r="AC79" s="24" t="n">
        <f aca="false">AB79-AA79</f>
        <v>0</v>
      </c>
      <c r="AD79" s="40" t="n">
        <v>0</v>
      </c>
      <c r="AE79" s="41" t="n">
        <v>0</v>
      </c>
      <c r="AF79" s="24" t="n">
        <f aca="false">AE79-AD79</f>
        <v>0</v>
      </c>
      <c r="AG79" s="40" t="n">
        <v>524.4064</v>
      </c>
      <c r="AH79" s="41" t="n">
        <v>523.678399999997</v>
      </c>
      <c r="AI79" s="24" t="n">
        <f aca="false">AH79-AG79</f>
        <v>-0.728000000002908</v>
      </c>
      <c r="AJ79" s="4" t="s">
        <v>350</v>
      </c>
    </row>
    <row r="80" customFormat="false" ht="55.2" hidden="false" customHeight="false" outlineLevel="0" collapsed="false">
      <c r="A80" s="21" t="s">
        <v>200</v>
      </c>
      <c r="B80" s="21" t="n">
        <v>2</v>
      </c>
      <c r="C80" s="21" t="s">
        <v>202</v>
      </c>
      <c r="D80" s="22" t="s">
        <v>201</v>
      </c>
      <c r="E80" s="21" t="s">
        <v>312</v>
      </c>
      <c r="F80" s="21" t="s">
        <v>263</v>
      </c>
      <c r="G80" s="23" t="n">
        <v>39.16</v>
      </c>
      <c r="H80" s="4" t="s">
        <v>344</v>
      </c>
      <c r="I80" s="40" t="n">
        <v>91242.8</v>
      </c>
      <c r="J80" s="41" t="n">
        <v>91242.8</v>
      </c>
      <c r="K80" s="24" t="n">
        <f aca="false">J80-I80</f>
        <v>0</v>
      </c>
      <c r="L80" s="40" t="n">
        <v>900.68</v>
      </c>
      <c r="M80" s="41" t="n">
        <v>900.68</v>
      </c>
      <c r="N80" s="24" t="n">
        <f aca="false">M80-L80</f>
        <v>0</v>
      </c>
      <c r="O80" s="40" t="n">
        <v>90342.12</v>
      </c>
      <c r="P80" s="41" t="n">
        <v>90342.12</v>
      </c>
      <c r="Q80" s="24" t="n">
        <f aca="false">P80-O80</f>
        <v>0</v>
      </c>
      <c r="R80" s="40" t="n">
        <v>78468</v>
      </c>
      <c r="S80" s="41" t="n">
        <v>78468.808</v>
      </c>
      <c r="T80" s="24" t="n">
        <f aca="false">S80-R80</f>
        <v>0.80800000000454</v>
      </c>
      <c r="U80" s="40" t="n">
        <v>78145.9338</v>
      </c>
      <c r="V80" s="41" t="n">
        <v>78145.9338</v>
      </c>
      <c r="W80" s="24" t="n">
        <f aca="false">V80-U80</f>
        <v>0</v>
      </c>
      <c r="X80" s="40" t="n">
        <v>322.066199999987</v>
      </c>
      <c r="Y80" s="41" t="n">
        <v>322.874199999991</v>
      </c>
      <c r="Z80" s="24" t="n">
        <f aca="false">Y80-X80</f>
        <v>0.808000000004483</v>
      </c>
      <c r="AA80" s="40" t="n">
        <v>783.2</v>
      </c>
      <c r="AB80" s="41" t="n">
        <v>783.2</v>
      </c>
      <c r="AC80" s="24" t="n">
        <f aca="false">AB80-AA80</f>
        <v>0</v>
      </c>
      <c r="AD80" s="40" t="n">
        <v>0</v>
      </c>
      <c r="AE80" s="41" t="n">
        <v>0</v>
      </c>
      <c r="AF80" s="24" t="n">
        <f aca="false">AE80-AD80</f>
        <v>0</v>
      </c>
      <c r="AG80" s="40" t="n">
        <v>461.133799999996</v>
      </c>
      <c r="AH80" s="41" t="n">
        <v>460.325800000009</v>
      </c>
      <c r="AI80" s="24" t="n">
        <f aca="false">AH80-AG80</f>
        <v>-0.807999999987146</v>
      </c>
      <c r="AJ80" s="4"/>
    </row>
    <row r="81" customFormat="false" ht="55.2" hidden="false" customHeight="false" outlineLevel="0" collapsed="false">
      <c r="A81" s="21" t="s">
        <v>200</v>
      </c>
      <c r="B81" s="21" t="n">
        <v>3</v>
      </c>
      <c r="C81" s="21" t="s">
        <v>204</v>
      </c>
      <c r="D81" s="22" t="s">
        <v>203</v>
      </c>
      <c r="E81" s="21" t="s">
        <v>312</v>
      </c>
      <c r="F81" s="21" t="s">
        <v>263</v>
      </c>
      <c r="G81" s="23" t="n">
        <v>38.78</v>
      </c>
      <c r="H81" s="4" t="s">
        <v>344</v>
      </c>
      <c r="I81" s="40" t="n">
        <v>89969.6</v>
      </c>
      <c r="J81" s="41" t="n">
        <v>89969.6</v>
      </c>
      <c r="K81" s="24" t="n">
        <f aca="false">J81-I81</f>
        <v>0</v>
      </c>
      <c r="L81" s="40" t="n">
        <v>891.94</v>
      </c>
      <c r="M81" s="41" t="n">
        <v>891.94</v>
      </c>
      <c r="N81" s="24" t="n">
        <f aca="false">M81-L81</f>
        <v>0</v>
      </c>
      <c r="O81" s="40" t="n">
        <v>89077.66</v>
      </c>
      <c r="P81" s="41" t="n">
        <v>89077.66</v>
      </c>
      <c r="Q81" s="24" t="n">
        <f aca="false">P81-O81</f>
        <v>0</v>
      </c>
      <c r="R81" s="40" t="n">
        <v>77373</v>
      </c>
      <c r="S81" s="41" t="n">
        <v>77373.856</v>
      </c>
      <c r="T81" s="24" t="n">
        <f aca="false">S81-R81</f>
        <v>0.855999999999767</v>
      </c>
      <c r="U81" s="40" t="n">
        <v>77052.1759</v>
      </c>
      <c r="V81" s="41" t="n">
        <v>77052.1759</v>
      </c>
      <c r="W81" s="24" t="n">
        <f aca="false">V81-U81</f>
        <v>0</v>
      </c>
      <c r="X81" s="40" t="n">
        <v>320.824099999998</v>
      </c>
      <c r="Y81" s="41" t="n">
        <v>321.680099999998</v>
      </c>
      <c r="Z81" s="24" t="n">
        <f aca="false">Y81-X81</f>
        <v>0.855999999999824</v>
      </c>
      <c r="AA81" s="40" t="n">
        <v>969.5</v>
      </c>
      <c r="AB81" s="41" t="n">
        <v>969.5</v>
      </c>
      <c r="AC81" s="24" t="n">
        <f aca="false">AB81-AA81</f>
        <v>0</v>
      </c>
      <c r="AD81" s="40" t="n">
        <v>0</v>
      </c>
      <c r="AE81" s="41" t="n">
        <v>0</v>
      </c>
      <c r="AF81" s="24" t="n">
        <f aca="false">AE81-AD81</f>
        <v>0</v>
      </c>
      <c r="AG81" s="40" t="n">
        <v>648.675900000002</v>
      </c>
      <c r="AH81" s="41" t="n">
        <v>647.819900000002</v>
      </c>
      <c r="AI81" s="24" t="n">
        <f aca="false">AH81-AG81</f>
        <v>-0.855999999999767</v>
      </c>
      <c r="AJ81" s="4"/>
    </row>
    <row r="82" customFormat="false" ht="55.2" hidden="false" customHeight="false" outlineLevel="0" collapsed="false">
      <c r="A82" s="21" t="s">
        <v>200</v>
      </c>
      <c r="B82" s="21" t="n">
        <v>4</v>
      </c>
      <c r="C82" s="21" t="s">
        <v>206</v>
      </c>
      <c r="D82" s="22" t="s">
        <v>205</v>
      </c>
      <c r="E82" s="21" t="s">
        <v>312</v>
      </c>
      <c r="F82" s="21" t="s">
        <v>263</v>
      </c>
      <c r="G82" s="23" t="n">
        <v>39.96</v>
      </c>
      <c r="H82" s="4" t="s">
        <v>344</v>
      </c>
      <c r="I82" s="40" t="n">
        <v>93186.72</v>
      </c>
      <c r="J82" s="41" t="n">
        <v>93186.72</v>
      </c>
      <c r="K82" s="24" t="n">
        <f aca="false">J82-I82</f>
        <v>0</v>
      </c>
      <c r="L82" s="40" t="n">
        <v>919.08</v>
      </c>
      <c r="M82" s="41" t="n">
        <v>919.08</v>
      </c>
      <c r="N82" s="24" t="n">
        <f aca="false">M82-L82</f>
        <v>0</v>
      </c>
      <c r="O82" s="40" t="n">
        <v>92267.64</v>
      </c>
      <c r="P82" s="41" t="n">
        <v>92267.64</v>
      </c>
      <c r="Q82" s="24" t="n">
        <f aca="false">P82-O82</f>
        <v>0</v>
      </c>
      <c r="R82" s="40" t="n">
        <v>80140</v>
      </c>
      <c r="S82" s="41" t="n">
        <v>80140.5792</v>
      </c>
      <c r="T82" s="24" t="n">
        <f aca="false">S82-R82</f>
        <v>0.579199999992852</v>
      </c>
      <c r="U82" s="40" t="n">
        <v>79811.5086</v>
      </c>
      <c r="V82" s="41" t="n">
        <v>79811.5086</v>
      </c>
      <c r="W82" s="24" t="n">
        <f aca="false">V82-U82</f>
        <v>0</v>
      </c>
      <c r="X82" s="40" t="n">
        <v>328.491399999999</v>
      </c>
      <c r="Y82" s="41" t="n">
        <v>329.070599999992</v>
      </c>
      <c r="Z82" s="24" t="n">
        <f aca="false">Y82-X82</f>
        <v>0.579199999992852</v>
      </c>
      <c r="AA82" s="40" t="n">
        <v>999</v>
      </c>
      <c r="AB82" s="41" t="n">
        <v>999</v>
      </c>
      <c r="AC82" s="24" t="n">
        <f aca="false">AB82-AA82</f>
        <v>0</v>
      </c>
      <c r="AD82" s="40" t="n">
        <v>0</v>
      </c>
      <c r="AE82" s="41" t="n">
        <v>0</v>
      </c>
      <c r="AF82" s="24" t="n">
        <f aca="false">AE82-AD82</f>
        <v>0</v>
      </c>
      <c r="AG82" s="40" t="n">
        <v>670.508600000001</v>
      </c>
      <c r="AH82" s="41" t="n">
        <v>669.929400000008</v>
      </c>
      <c r="AI82" s="24" t="n">
        <f aca="false">AH82-AG82</f>
        <v>-0.579199999992852</v>
      </c>
      <c r="AJ82" s="4"/>
    </row>
    <row r="83" customFormat="false" ht="55.2" hidden="false" customHeight="false" outlineLevel="0" collapsed="false">
      <c r="A83" s="21" t="s">
        <v>200</v>
      </c>
      <c r="B83" s="21" t="n">
        <v>5</v>
      </c>
      <c r="C83" s="21" t="s">
        <v>208</v>
      </c>
      <c r="D83" s="22" t="s">
        <v>207</v>
      </c>
      <c r="E83" s="21" t="s">
        <v>312</v>
      </c>
      <c r="F83" s="21" t="s">
        <v>296</v>
      </c>
      <c r="G83" s="23" t="n">
        <v>39.17</v>
      </c>
      <c r="H83" s="4" t="s">
        <v>347</v>
      </c>
      <c r="I83" s="40" t="n">
        <v>94008</v>
      </c>
      <c r="J83" s="41" t="n">
        <v>94008</v>
      </c>
      <c r="K83" s="24" t="n">
        <f aca="false">J83-I83</f>
        <v>0</v>
      </c>
      <c r="L83" s="40" t="n">
        <v>900.91</v>
      </c>
      <c r="M83" s="41" t="n">
        <v>900.91</v>
      </c>
      <c r="N83" s="24" t="n">
        <f aca="false">M83-L83</f>
        <v>0</v>
      </c>
      <c r="O83" s="40" t="n">
        <v>93107.09</v>
      </c>
      <c r="P83" s="41" t="n">
        <v>93107.09</v>
      </c>
      <c r="Q83" s="24" t="n">
        <f aca="false">P83-O83</f>
        <v>0</v>
      </c>
      <c r="R83" s="40" t="n">
        <v>80846</v>
      </c>
      <c r="S83" s="41" t="n">
        <v>80846.88</v>
      </c>
      <c r="T83" s="24" t="n">
        <f aca="false">S83-R83</f>
        <v>0.880000000004657</v>
      </c>
      <c r="U83" s="40" t="n">
        <v>80816.95412</v>
      </c>
      <c r="V83" s="41" t="n">
        <v>80816.95412</v>
      </c>
      <c r="W83" s="24" t="n">
        <f aca="false">V83-U83</f>
        <v>0</v>
      </c>
      <c r="X83" s="40" t="n">
        <v>29.0458800000051</v>
      </c>
      <c r="Y83" s="41" t="n">
        <v>29.9258800000098</v>
      </c>
      <c r="Z83" s="24" t="n">
        <f aca="false">Y83-X83</f>
        <v>0.88000000000465</v>
      </c>
      <c r="AA83" s="40" t="n">
        <v>979.25</v>
      </c>
      <c r="AB83" s="41" t="n">
        <v>979.25</v>
      </c>
      <c r="AC83" s="24" t="n">
        <f aca="false">AB83-AA83</f>
        <v>0</v>
      </c>
      <c r="AD83" s="40" t="n">
        <v>0</v>
      </c>
      <c r="AE83" s="41" t="n">
        <v>0</v>
      </c>
      <c r="AF83" s="24" t="n">
        <f aca="false">AE83-AD83</f>
        <v>0</v>
      </c>
      <c r="AG83" s="40" t="n">
        <v>950.204119999995</v>
      </c>
      <c r="AH83" s="41" t="n">
        <v>949.32411999999</v>
      </c>
      <c r="AI83" s="24" t="n">
        <f aca="false">AH83-AG83</f>
        <v>-0.88000000000477</v>
      </c>
      <c r="AJ83" s="4"/>
    </row>
    <row r="84" customFormat="false" ht="55.2" hidden="false" customHeight="false" outlineLevel="0" collapsed="false">
      <c r="A84" s="21" t="s">
        <v>200</v>
      </c>
      <c r="B84" s="21" t="n">
        <v>6</v>
      </c>
      <c r="C84" s="21" t="s">
        <v>210</v>
      </c>
      <c r="D84" s="22" t="s">
        <v>209</v>
      </c>
      <c r="E84" s="21" t="s">
        <v>312</v>
      </c>
      <c r="F84" s="21" t="s">
        <v>296</v>
      </c>
      <c r="G84" s="23" t="n">
        <v>34.42</v>
      </c>
      <c r="H84" s="4" t="s">
        <v>347</v>
      </c>
      <c r="I84" s="40" t="n">
        <v>82263.8</v>
      </c>
      <c r="J84" s="41" t="n">
        <v>82263.8</v>
      </c>
      <c r="K84" s="24" t="n">
        <f aca="false">J84-I84</f>
        <v>0</v>
      </c>
      <c r="L84" s="40" t="n">
        <v>791.66</v>
      </c>
      <c r="M84" s="41" t="n">
        <v>791.66</v>
      </c>
      <c r="N84" s="24" t="n">
        <f aca="false">M84-L84</f>
        <v>0</v>
      </c>
      <c r="O84" s="40" t="n">
        <v>81472.14</v>
      </c>
      <c r="P84" s="41" t="n">
        <v>81472.14</v>
      </c>
      <c r="Q84" s="24" t="n">
        <f aca="false">P84-O84</f>
        <v>0</v>
      </c>
      <c r="R84" s="40" t="n">
        <v>70746</v>
      </c>
      <c r="S84" s="41" t="n">
        <v>70746.868</v>
      </c>
      <c r="T84" s="24" t="n">
        <f aca="false">S84-R84</f>
        <v>0.868000000002212</v>
      </c>
      <c r="U84" s="40" t="n">
        <v>70717.81752</v>
      </c>
      <c r="V84" s="41" t="n">
        <v>70717.81752</v>
      </c>
      <c r="W84" s="24" t="n">
        <f aca="false">V84-U84</f>
        <v>0</v>
      </c>
      <c r="X84" s="40" t="n">
        <v>28.1824800000031</v>
      </c>
      <c r="Y84" s="41" t="n">
        <v>29.0504800000053</v>
      </c>
      <c r="Z84" s="24" t="n">
        <f aca="false">Y84-X84</f>
        <v>0.868000000002219</v>
      </c>
      <c r="AA84" s="40" t="n">
        <v>860.5</v>
      </c>
      <c r="AB84" s="41" t="n">
        <v>860.5</v>
      </c>
      <c r="AC84" s="24" t="n">
        <f aca="false">AB84-AA84</f>
        <v>0</v>
      </c>
      <c r="AD84" s="40" t="n">
        <v>0</v>
      </c>
      <c r="AE84" s="41" t="n">
        <v>0</v>
      </c>
      <c r="AF84" s="24" t="n">
        <f aca="false">AE84-AD84</f>
        <v>0</v>
      </c>
      <c r="AG84" s="40" t="n">
        <v>832.317519999997</v>
      </c>
      <c r="AH84" s="41" t="n">
        <v>831.449519999995</v>
      </c>
      <c r="AI84" s="24" t="n">
        <f aca="false">AH84-AG84</f>
        <v>-0.868000000002326</v>
      </c>
      <c r="AJ84" s="4"/>
    </row>
    <row r="85" customFormat="false" ht="55.2" hidden="false" customHeight="false" outlineLevel="0" collapsed="false">
      <c r="A85" s="21" t="s">
        <v>200</v>
      </c>
      <c r="B85" s="21" t="n">
        <v>7</v>
      </c>
      <c r="C85" s="21" t="s">
        <v>213</v>
      </c>
      <c r="D85" s="22" t="s">
        <v>212</v>
      </c>
      <c r="E85" s="21" t="s">
        <v>312</v>
      </c>
      <c r="F85" s="21" t="s">
        <v>296</v>
      </c>
      <c r="G85" s="23" t="n">
        <v>41.42</v>
      </c>
      <c r="H85" s="4" t="s">
        <v>347</v>
      </c>
      <c r="I85" s="40" t="n">
        <v>96094.4</v>
      </c>
      <c r="J85" s="41" t="n">
        <v>96094.4</v>
      </c>
      <c r="K85" s="24" t="n">
        <f aca="false">J85-I85</f>
        <v>0</v>
      </c>
      <c r="L85" s="40" t="n">
        <v>952.66</v>
      </c>
      <c r="M85" s="41" t="n">
        <v>952.66</v>
      </c>
      <c r="N85" s="24" t="n">
        <f aca="false">M85-L85</f>
        <v>0</v>
      </c>
      <c r="O85" s="40" t="n">
        <v>95141.74</v>
      </c>
      <c r="P85" s="41" t="n">
        <v>95141.74</v>
      </c>
      <c r="Q85" s="24" t="n">
        <f aca="false">P85-O85</f>
        <v>0</v>
      </c>
      <c r="R85" s="40" t="n">
        <v>82641</v>
      </c>
      <c r="S85" s="41" t="n">
        <v>82641.184</v>
      </c>
      <c r="T85" s="24" t="n">
        <f aca="false">S85-R85</f>
        <v>0.18399999999383</v>
      </c>
      <c r="U85" s="40" t="n">
        <v>82583.03032</v>
      </c>
      <c r="V85" s="41" t="n">
        <v>82583.03032</v>
      </c>
      <c r="W85" s="24" t="n">
        <f aca="false">V85-U85</f>
        <v>0</v>
      </c>
      <c r="X85" s="40" t="n">
        <v>57.9696800000093</v>
      </c>
      <c r="Y85" s="41" t="n">
        <v>58.1536800000031</v>
      </c>
      <c r="Z85" s="24" t="n">
        <f aca="false">Y85-X85</f>
        <v>0.18399999999383</v>
      </c>
      <c r="AA85" s="40" t="n">
        <v>1035.5</v>
      </c>
      <c r="AB85" s="41" t="n">
        <v>1035.5</v>
      </c>
      <c r="AC85" s="24" t="n">
        <f aca="false">AB85-AA85</f>
        <v>0</v>
      </c>
      <c r="AD85" s="40" t="n">
        <v>0</v>
      </c>
      <c r="AE85" s="41" t="n">
        <v>0</v>
      </c>
      <c r="AF85" s="24" t="n">
        <f aca="false">AE85-AD85</f>
        <v>0</v>
      </c>
      <c r="AG85" s="40" t="n">
        <v>977.530320000005</v>
      </c>
      <c r="AH85" s="41" t="n">
        <v>977.346319999997</v>
      </c>
      <c r="AI85" s="24" t="n">
        <f aca="false">AH85-AG85</f>
        <v>-0.184000000008041</v>
      </c>
      <c r="AJ85" s="4"/>
    </row>
    <row r="86" customFormat="false" ht="55.2" hidden="false" customHeight="false" outlineLevel="0" collapsed="false">
      <c r="A86" s="21" t="s">
        <v>214</v>
      </c>
      <c r="B86" s="21" t="n">
        <v>2</v>
      </c>
      <c r="C86" s="21" t="s">
        <v>216</v>
      </c>
      <c r="D86" s="22" t="s">
        <v>215</v>
      </c>
      <c r="E86" s="21" t="s">
        <v>312</v>
      </c>
      <c r="F86" s="21" t="s">
        <v>263</v>
      </c>
      <c r="G86" s="23" t="n">
        <v>34.49</v>
      </c>
      <c r="H86" s="4" t="s">
        <v>344</v>
      </c>
      <c r="I86" s="40" t="n">
        <v>80430.68</v>
      </c>
      <c r="J86" s="41" t="n">
        <v>80430.68</v>
      </c>
      <c r="K86" s="24" t="n">
        <f aca="false">J86-I86</f>
        <v>0</v>
      </c>
      <c r="L86" s="40" t="n">
        <v>793.27</v>
      </c>
      <c r="M86" s="41" t="n">
        <v>793.27</v>
      </c>
      <c r="N86" s="24" t="n">
        <f aca="false">M86-L86</f>
        <v>0</v>
      </c>
      <c r="O86" s="40" t="n">
        <v>79637.41</v>
      </c>
      <c r="P86" s="41" t="n">
        <v>79637.41</v>
      </c>
      <c r="Q86" s="24" t="n">
        <f aca="false">P86-O86</f>
        <v>0</v>
      </c>
      <c r="R86" s="40" t="n">
        <v>69170</v>
      </c>
      <c r="S86" s="41" t="n">
        <v>69170.3848</v>
      </c>
      <c r="T86" s="24" t="n">
        <f aca="false">S86-R86</f>
        <v>0.384799999999814</v>
      </c>
      <c r="U86" s="40" t="n">
        <v>68886.35965</v>
      </c>
      <c r="V86" s="41" t="n">
        <v>68886.35965</v>
      </c>
      <c r="W86" s="24" t="n">
        <f aca="false">V86-U86</f>
        <v>0</v>
      </c>
      <c r="X86" s="40" t="n">
        <v>283.640350000016</v>
      </c>
      <c r="Y86" s="41" t="n">
        <v>284.025150000016</v>
      </c>
      <c r="Z86" s="24" t="n">
        <f aca="false">Y86-X86</f>
        <v>0.384799999999927</v>
      </c>
      <c r="AA86" s="40" t="n">
        <v>862.25</v>
      </c>
      <c r="AB86" s="41" t="n">
        <v>862.25</v>
      </c>
      <c r="AC86" s="24" t="n">
        <f aca="false">AB86-AA86</f>
        <v>0</v>
      </c>
      <c r="AD86" s="40" t="n">
        <v>0</v>
      </c>
      <c r="AE86" s="41" t="n">
        <v>0</v>
      </c>
      <c r="AF86" s="24" t="n">
        <f aca="false">AE86-AD86</f>
        <v>0</v>
      </c>
      <c r="AG86" s="40" t="n">
        <v>578.609649999999</v>
      </c>
      <c r="AH86" s="41" t="n">
        <v>578.224849999984</v>
      </c>
      <c r="AI86" s="24" t="n">
        <f aca="false">AH86-AG86</f>
        <v>-0.38480000001482</v>
      </c>
      <c r="AJ86" s="4"/>
    </row>
    <row r="87" customFormat="false" ht="55.2" hidden="false" customHeight="false" outlineLevel="0" collapsed="false">
      <c r="A87" s="21" t="s">
        <v>214</v>
      </c>
      <c r="B87" s="21" t="n">
        <v>3</v>
      </c>
      <c r="C87" s="21" t="s">
        <v>218</v>
      </c>
      <c r="D87" s="22" t="s">
        <v>217</v>
      </c>
      <c r="E87" s="21" t="s">
        <v>312</v>
      </c>
      <c r="F87" s="21" t="s">
        <v>296</v>
      </c>
      <c r="G87" s="23" t="n">
        <v>44.52</v>
      </c>
      <c r="H87" s="4" t="s">
        <v>347</v>
      </c>
      <c r="I87" s="40" t="n">
        <v>103286.4</v>
      </c>
      <c r="J87" s="41" t="n">
        <v>103286.4</v>
      </c>
      <c r="K87" s="24" t="n">
        <f aca="false">J87-I87</f>
        <v>0</v>
      </c>
      <c r="L87" s="40" t="n">
        <v>1023.96</v>
      </c>
      <c r="M87" s="41" t="n">
        <v>1023.96</v>
      </c>
      <c r="N87" s="24" t="n">
        <f aca="false">M87-L87</f>
        <v>0</v>
      </c>
      <c r="O87" s="40" t="n">
        <v>102262.44</v>
      </c>
      <c r="P87" s="41" t="n">
        <v>102262.44</v>
      </c>
      <c r="Q87" s="24" t="n">
        <f aca="false">P87-O87</f>
        <v>0</v>
      </c>
      <c r="R87" s="40" t="n">
        <v>88826</v>
      </c>
      <c r="S87" s="41" t="n">
        <v>88826.304</v>
      </c>
      <c r="T87" s="24" t="n">
        <f aca="false">S87-R87</f>
        <v>0.303999999989173</v>
      </c>
      <c r="U87" s="40" t="n">
        <v>88763.79792</v>
      </c>
      <c r="V87" s="41" t="n">
        <v>88763.79792</v>
      </c>
      <c r="W87" s="24" t="n">
        <f aca="false">V87-U87</f>
        <v>0</v>
      </c>
      <c r="X87" s="40" t="n">
        <v>62.2020800000173</v>
      </c>
      <c r="Y87" s="41" t="n">
        <v>62.5060800000065</v>
      </c>
      <c r="Z87" s="24" t="n">
        <f aca="false">Y87-X87</f>
        <v>0.303999999989181</v>
      </c>
      <c r="AA87" s="40" t="n">
        <v>1113</v>
      </c>
      <c r="AB87" s="41" t="n">
        <v>1113</v>
      </c>
      <c r="AC87" s="24" t="n">
        <f aca="false">AB87-AA87</f>
        <v>0</v>
      </c>
      <c r="AD87" s="40" t="n">
        <v>0</v>
      </c>
      <c r="AE87" s="41" t="n">
        <v>0</v>
      </c>
      <c r="AF87" s="24" t="n">
        <f aca="false">AE87-AD87</f>
        <v>0</v>
      </c>
      <c r="AG87" s="40" t="n">
        <v>1050.79792</v>
      </c>
      <c r="AH87" s="41" t="n">
        <v>1050.49391999999</v>
      </c>
      <c r="AI87" s="24" t="n">
        <f aca="false">AH87-AG87</f>
        <v>-0.304000000005999</v>
      </c>
      <c r="AJ87" s="4"/>
    </row>
    <row r="88" customFormat="false" ht="55.2" hidden="false" customHeight="false" outlineLevel="0" collapsed="false">
      <c r="A88" s="21" t="s">
        <v>214</v>
      </c>
      <c r="B88" s="21" t="n">
        <v>4</v>
      </c>
      <c r="C88" s="21" t="s">
        <v>220</v>
      </c>
      <c r="D88" s="22" t="s">
        <v>219</v>
      </c>
      <c r="E88" s="21" t="s">
        <v>312</v>
      </c>
      <c r="F88" s="21" t="s">
        <v>296</v>
      </c>
      <c r="G88" s="23" t="n">
        <v>33.02</v>
      </c>
      <c r="H88" s="4" t="s">
        <v>347</v>
      </c>
      <c r="I88" s="40" t="n">
        <v>76606.4</v>
      </c>
      <c r="J88" s="41" t="n">
        <v>76606.4</v>
      </c>
      <c r="K88" s="24" t="n">
        <f aca="false">J88-I88</f>
        <v>0</v>
      </c>
      <c r="L88" s="40" t="n">
        <v>759.46</v>
      </c>
      <c r="M88" s="41" t="n">
        <v>759.46</v>
      </c>
      <c r="N88" s="24" t="n">
        <f aca="false">M88-L88</f>
        <v>0</v>
      </c>
      <c r="O88" s="40" t="n">
        <v>75846.94</v>
      </c>
      <c r="P88" s="41" t="n">
        <v>75846.94</v>
      </c>
      <c r="Q88" s="24" t="n">
        <f aca="false">P88-O88</f>
        <v>0</v>
      </c>
      <c r="R88" s="40" t="n">
        <v>65881</v>
      </c>
      <c r="S88" s="41" t="n">
        <v>65881.504</v>
      </c>
      <c r="T88" s="24" t="n">
        <f aca="false">S88-R88</f>
        <v>0.504000000000815</v>
      </c>
      <c r="U88" s="40" t="n">
        <v>65835.14392</v>
      </c>
      <c r="V88" s="41" t="n">
        <v>65835.14392</v>
      </c>
      <c r="W88" s="24" t="n">
        <f aca="false">V88-U88</f>
        <v>0</v>
      </c>
      <c r="X88" s="40" t="n">
        <v>45.8560800000123</v>
      </c>
      <c r="Y88" s="41" t="n">
        <v>46.3600800000131</v>
      </c>
      <c r="Z88" s="24" t="n">
        <f aca="false">Y88-X88</f>
        <v>0.504000000000815</v>
      </c>
      <c r="AA88" s="40" t="n">
        <v>825.5</v>
      </c>
      <c r="AB88" s="41" t="n">
        <v>825.5</v>
      </c>
      <c r="AC88" s="24" t="n">
        <f aca="false">AB88-AA88</f>
        <v>0</v>
      </c>
      <c r="AD88" s="40" t="n">
        <v>0</v>
      </c>
      <c r="AE88" s="41" t="n">
        <v>0</v>
      </c>
      <c r="AF88" s="24" t="n">
        <f aca="false">AE88-AD88</f>
        <v>0</v>
      </c>
      <c r="AG88" s="40" t="n">
        <v>779.643920000002</v>
      </c>
      <c r="AH88" s="41" t="n">
        <v>779.139919999987</v>
      </c>
      <c r="AI88" s="24" t="n">
        <f aca="false">AH88-AG88</f>
        <v>-0.504000000015026</v>
      </c>
      <c r="AJ88" s="4"/>
    </row>
    <row r="89" customFormat="false" ht="55.2" hidden="false" customHeight="false" outlineLevel="0" collapsed="false">
      <c r="A89" s="21" t="s">
        <v>221</v>
      </c>
      <c r="B89" s="21" t="n">
        <v>2</v>
      </c>
      <c r="C89" s="21" t="s">
        <v>224</v>
      </c>
      <c r="D89" s="22" t="s">
        <v>223</v>
      </c>
      <c r="E89" s="21" t="s">
        <v>312</v>
      </c>
      <c r="F89" s="21" t="s">
        <v>263</v>
      </c>
      <c r="G89" s="23" t="n">
        <v>56.14</v>
      </c>
      <c r="H89" s="4" t="s">
        <v>344</v>
      </c>
      <c r="I89" s="40" t="n">
        <v>132939.52</v>
      </c>
      <c r="J89" s="41" t="n">
        <v>132939.52</v>
      </c>
      <c r="K89" s="24" t="n">
        <f aca="false">J89-I89</f>
        <v>0</v>
      </c>
      <c r="L89" s="40" t="n">
        <v>1291.22</v>
      </c>
      <c r="M89" s="41" t="n">
        <v>1291.22</v>
      </c>
      <c r="N89" s="24" t="n">
        <f aca="false">M89-L89</f>
        <v>0</v>
      </c>
      <c r="O89" s="40" t="n">
        <v>131648.3</v>
      </c>
      <c r="P89" s="41" t="n">
        <v>131648.3</v>
      </c>
      <c r="Q89" s="24" t="n">
        <f aca="false">P89-O89</f>
        <v>0</v>
      </c>
      <c r="R89" s="40" t="n">
        <v>114327</v>
      </c>
      <c r="S89" s="41" t="n">
        <v>114327.9872</v>
      </c>
      <c r="T89" s="24" t="n">
        <f aca="false">S89-R89</f>
        <v>0.987200000003213</v>
      </c>
      <c r="U89" s="40" t="n">
        <v>113875.7795</v>
      </c>
      <c r="V89" s="41" t="n">
        <v>113875.7795</v>
      </c>
      <c r="W89" s="24" t="n">
        <f aca="false">V89-U89</f>
        <v>0</v>
      </c>
      <c r="X89" s="40" t="n">
        <v>451.22050000001</v>
      </c>
      <c r="Y89" s="41" t="n">
        <v>452.207699999999</v>
      </c>
      <c r="Z89" s="24" t="n">
        <f aca="false">Y89-X89</f>
        <v>0.987199999988604</v>
      </c>
      <c r="AA89" s="40" t="n">
        <v>1403.5</v>
      </c>
      <c r="AB89" s="41" t="n">
        <v>1403.5</v>
      </c>
      <c r="AC89" s="24" t="n">
        <f aca="false">AB89-AA89</f>
        <v>0</v>
      </c>
      <c r="AD89" s="40" t="n">
        <v>0</v>
      </c>
      <c r="AE89" s="41" t="n">
        <v>0</v>
      </c>
      <c r="AF89" s="24" t="n">
        <f aca="false">AE89-AD89</f>
        <v>0</v>
      </c>
      <c r="AG89" s="40" t="n">
        <v>952.27949999999</v>
      </c>
      <c r="AH89" s="41" t="n">
        <v>951.292300000001</v>
      </c>
      <c r="AI89" s="24" t="n">
        <f aca="false">AH89-AG89</f>
        <v>-0.987199999989002</v>
      </c>
      <c r="AJ89" s="4"/>
    </row>
    <row r="90" customFormat="false" ht="55.2" hidden="false" customHeight="false" outlineLevel="0" collapsed="false">
      <c r="A90" s="21" t="s">
        <v>221</v>
      </c>
      <c r="B90" s="21" t="n">
        <v>3</v>
      </c>
      <c r="C90" s="21" t="s">
        <v>226</v>
      </c>
      <c r="D90" s="22" t="s">
        <v>225</v>
      </c>
      <c r="E90" s="21" t="s">
        <v>304</v>
      </c>
      <c r="F90" s="21" t="s">
        <v>305</v>
      </c>
      <c r="G90" s="23" t="n">
        <v>78.36</v>
      </c>
      <c r="H90" s="4" t="s">
        <v>351</v>
      </c>
      <c r="I90" s="40" t="n">
        <v>198250.8</v>
      </c>
      <c r="J90" s="41" t="n">
        <v>198250.8</v>
      </c>
      <c r="K90" s="24" t="n">
        <f aca="false">J90-I90</f>
        <v>0</v>
      </c>
      <c r="L90" s="40" t="n">
        <v>0</v>
      </c>
      <c r="M90" s="41" t="n">
        <v>0</v>
      </c>
      <c r="N90" s="24" t="n">
        <f aca="false">M90-L90</f>
        <v>0</v>
      </c>
      <c r="O90" s="40" t="n">
        <v>198250.8</v>
      </c>
      <c r="P90" s="41" t="n">
        <v>198250.8</v>
      </c>
      <c r="Q90" s="24" t="n">
        <f aca="false">P90-O90</f>
        <v>0</v>
      </c>
      <c r="R90" s="40" t="n">
        <v>170495</v>
      </c>
      <c r="S90" s="41" t="n">
        <v>170495.688</v>
      </c>
      <c r="T90" s="24" t="n">
        <f aca="false">S90-R90</f>
        <v>0.687999999994645</v>
      </c>
      <c r="U90" s="40" t="n">
        <v>170892.1896</v>
      </c>
      <c r="V90" s="41" t="n">
        <v>170892.1896</v>
      </c>
      <c r="W90" s="24" t="n">
        <f aca="false">V90-U90</f>
        <v>0</v>
      </c>
      <c r="X90" s="40" t="n">
        <v>-397.189599999983</v>
      </c>
      <c r="Y90" s="41" t="n">
        <v>-396.501599999989</v>
      </c>
      <c r="Z90" s="24" t="n">
        <f aca="false">Y90-X90</f>
        <v>0.687999999994588</v>
      </c>
      <c r="AA90" s="40" t="n">
        <v>1959</v>
      </c>
      <c r="AB90" s="41" t="n">
        <v>1959</v>
      </c>
      <c r="AC90" s="24" t="n">
        <f aca="false">AB90-AA90</f>
        <v>0</v>
      </c>
      <c r="AD90" s="40" t="n">
        <v>0</v>
      </c>
      <c r="AE90" s="41" t="n">
        <v>0</v>
      </c>
      <c r="AF90" s="24" t="n">
        <f aca="false">AE90-AD90</f>
        <v>0</v>
      </c>
      <c r="AG90" s="40" t="n">
        <v>2356.18959999998</v>
      </c>
      <c r="AH90" s="41" t="n">
        <v>2355.50159999999</v>
      </c>
      <c r="AI90" s="24" t="n">
        <f aca="false">AH90-AG90</f>
        <v>-0.687999999991007</v>
      </c>
      <c r="AJ90" s="4"/>
    </row>
    <row r="91" customFormat="false" ht="55.2" hidden="false" customHeight="false" outlineLevel="0" collapsed="false">
      <c r="A91" s="21" t="s">
        <v>221</v>
      </c>
      <c r="B91" s="21" t="n">
        <v>4</v>
      </c>
      <c r="C91" s="21" t="s">
        <v>226</v>
      </c>
      <c r="D91" s="22" t="s">
        <v>227</v>
      </c>
      <c r="E91" s="21" t="s">
        <v>304</v>
      </c>
      <c r="F91" s="21" t="s">
        <v>305</v>
      </c>
      <c r="G91" s="23" t="n">
        <v>79.58</v>
      </c>
      <c r="H91" s="4" t="s">
        <v>351</v>
      </c>
      <c r="I91" s="40" t="n">
        <v>199745.8</v>
      </c>
      <c r="J91" s="41" t="n">
        <v>199745.8</v>
      </c>
      <c r="K91" s="24" t="n">
        <f aca="false">J91-I91</f>
        <v>0</v>
      </c>
      <c r="L91" s="40" t="n">
        <v>0</v>
      </c>
      <c r="M91" s="41" t="n">
        <v>0</v>
      </c>
      <c r="N91" s="24" t="n">
        <f aca="false">M91-L91</f>
        <v>0</v>
      </c>
      <c r="O91" s="40" t="n">
        <v>199745.8</v>
      </c>
      <c r="P91" s="41" t="n">
        <v>199745.8</v>
      </c>
      <c r="Q91" s="24" t="n">
        <f aca="false">P91-O91</f>
        <v>0</v>
      </c>
      <c r="R91" s="40" t="n">
        <v>171781</v>
      </c>
      <c r="S91" s="41" t="n">
        <v>171781.388</v>
      </c>
      <c r="T91" s="24" t="n">
        <f aca="false">S91-R91</f>
        <v>0.388000000006286</v>
      </c>
      <c r="U91" s="40" t="n">
        <v>172180.8796</v>
      </c>
      <c r="V91" s="41" t="n">
        <v>172180.8796</v>
      </c>
      <c r="W91" s="24" t="n">
        <f aca="false">V91-U91</f>
        <v>0</v>
      </c>
      <c r="X91" s="40" t="n">
        <v>-399.879599999986</v>
      </c>
      <c r="Y91" s="41" t="n">
        <v>-399.491600000009</v>
      </c>
      <c r="Z91" s="24" t="n">
        <f aca="false">Y91-X91</f>
        <v>0.387999999977239</v>
      </c>
      <c r="AA91" s="40" t="n">
        <v>1989.5</v>
      </c>
      <c r="AB91" s="41" t="n">
        <v>1989.5</v>
      </c>
      <c r="AC91" s="24" t="n">
        <f aca="false">AB91-AA91</f>
        <v>0</v>
      </c>
      <c r="AD91" s="40" t="n">
        <v>0</v>
      </c>
      <c r="AE91" s="41" t="n">
        <v>0</v>
      </c>
      <c r="AF91" s="24" t="n">
        <f aca="false">AE91-AD91</f>
        <v>0</v>
      </c>
      <c r="AG91" s="40" t="n">
        <v>2389.37959999999</v>
      </c>
      <c r="AH91" s="41" t="n">
        <v>2388.99160000001</v>
      </c>
      <c r="AI91" s="24" t="n">
        <f aca="false">AH91-AG91</f>
        <v>-0.387999999982185</v>
      </c>
      <c r="AJ91" s="4"/>
    </row>
    <row r="92" customFormat="false" ht="55.2" hidden="false" customHeight="false" outlineLevel="0" collapsed="false">
      <c r="A92" s="21" t="s">
        <v>221</v>
      </c>
      <c r="B92" s="21" t="n">
        <v>5</v>
      </c>
      <c r="C92" s="21" t="s">
        <v>229</v>
      </c>
      <c r="D92" s="22" t="s">
        <v>228</v>
      </c>
      <c r="E92" s="21" t="s">
        <v>304</v>
      </c>
      <c r="F92" s="21" t="s">
        <v>305</v>
      </c>
      <c r="G92" s="23" t="n">
        <v>47.98</v>
      </c>
      <c r="H92" s="4" t="s">
        <v>351</v>
      </c>
      <c r="I92" s="40" t="n">
        <v>123308.6</v>
      </c>
      <c r="J92" s="41" t="n">
        <v>123308.6</v>
      </c>
      <c r="K92" s="24" t="n">
        <f aca="false">J92-I92</f>
        <v>0</v>
      </c>
      <c r="L92" s="40" t="n">
        <v>0</v>
      </c>
      <c r="M92" s="41" t="n">
        <v>0</v>
      </c>
      <c r="N92" s="24" t="n">
        <f aca="false">M92-L92</f>
        <v>0</v>
      </c>
      <c r="O92" s="40" t="n">
        <v>123308.6</v>
      </c>
      <c r="P92" s="41" t="n">
        <v>123308.6</v>
      </c>
      <c r="Q92" s="24" t="n">
        <f aca="false">P92-O92</f>
        <v>0</v>
      </c>
      <c r="R92" s="40" t="n">
        <v>106045</v>
      </c>
      <c r="S92" s="41" t="n">
        <v>106045.396</v>
      </c>
      <c r="T92" s="24" t="n">
        <f aca="false">S92-R92</f>
        <v>0.395999999993364</v>
      </c>
      <c r="U92" s="40" t="n">
        <v>106292.0132</v>
      </c>
      <c r="V92" s="41" t="n">
        <v>106292.0132</v>
      </c>
      <c r="W92" s="24" t="n">
        <f aca="false">V92-U92</f>
        <v>0</v>
      </c>
      <c r="X92" s="40" t="n">
        <v>-247.013200000001</v>
      </c>
      <c r="Y92" s="41" t="n">
        <v>-246.617199999993</v>
      </c>
      <c r="Z92" s="24" t="n">
        <f aca="false">Y92-X92</f>
        <v>0.396000000007916</v>
      </c>
      <c r="AA92" s="40" t="n">
        <v>1199.5</v>
      </c>
      <c r="AB92" s="41" t="n">
        <v>1199.5</v>
      </c>
      <c r="AC92" s="24" t="n">
        <f aca="false">AB92-AA92</f>
        <v>0</v>
      </c>
      <c r="AD92" s="40" t="n">
        <v>0</v>
      </c>
      <c r="AE92" s="41" t="n">
        <v>0</v>
      </c>
      <c r="AF92" s="24" t="n">
        <f aca="false">AE92-AD92</f>
        <v>0</v>
      </c>
      <c r="AG92" s="40" t="n">
        <v>1446.5132</v>
      </c>
      <c r="AH92" s="41" t="n">
        <v>1446.11719999999</v>
      </c>
      <c r="AI92" s="24" t="n">
        <f aca="false">AH92-AG92</f>
        <v>-0.396000000007007</v>
      </c>
      <c r="AJ92" s="4"/>
    </row>
    <row r="93" customFormat="false" ht="55.2" hidden="false" customHeight="false" outlineLevel="0" collapsed="false">
      <c r="A93" s="21" t="s">
        <v>221</v>
      </c>
      <c r="B93" s="21" t="n">
        <v>6</v>
      </c>
      <c r="C93" s="21" t="s">
        <v>231</v>
      </c>
      <c r="D93" s="22" t="s">
        <v>230</v>
      </c>
      <c r="E93" s="21" t="s">
        <v>304</v>
      </c>
      <c r="F93" s="21" t="s">
        <v>305</v>
      </c>
      <c r="G93" s="23" t="n">
        <v>50.72</v>
      </c>
      <c r="H93" s="4" t="s">
        <v>351</v>
      </c>
      <c r="I93" s="40" t="n">
        <v>128017.28</v>
      </c>
      <c r="J93" s="41" t="n">
        <v>128017.28</v>
      </c>
      <c r="K93" s="24" t="n">
        <f aca="false">J93-I93</f>
        <v>0</v>
      </c>
      <c r="L93" s="40" t="n">
        <v>0</v>
      </c>
      <c r="M93" s="41" t="n">
        <v>0</v>
      </c>
      <c r="N93" s="24" t="n">
        <f aca="false">M93-L93</f>
        <v>0</v>
      </c>
      <c r="O93" s="40" t="n">
        <v>128017.28</v>
      </c>
      <c r="P93" s="41" t="n">
        <v>128017.28</v>
      </c>
      <c r="Q93" s="24" t="n">
        <f aca="false">P93-O93</f>
        <v>0</v>
      </c>
      <c r="R93" s="40" t="n">
        <v>110094</v>
      </c>
      <c r="S93" s="41" t="n">
        <v>110094.8608</v>
      </c>
      <c r="T93" s="24" t="n">
        <f aca="false">S93-R93</f>
        <v>0.860799999994924</v>
      </c>
      <c r="U93" s="40" t="n">
        <v>110350.89536</v>
      </c>
      <c r="V93" s="41" t="n">
        <v>110350.89536</v>
      </c>
      <c r="W93" s="24" t="n">
        <f aca="false">V93-U93</f>
        <v>0</v>
      </c>
      <c r="X93" s="40" t="n">
        <v>-256.895359999995</v>
      </c>
      <c r="Y93" s="41" t="n">
        <v>-256.03456</v>
      </c>
      <c r="Z93" s="24" t="n">
        <f aca="false">Y93-X93</f>
        <v>0.860799999994867</v>
      </c>
      <c r="AA93" s="40" t="n">
        <v>1268</v>
      </c>
      <c r="AB93" s="41" t="n">
        <v>1268</v>
      </c>
      <c r="AC93" s="24" t="n">
        <f aca="false">AB93-AA93</f>
        <v>0</v>
      </c>
      <c r="AD93" s="40" t="n">
        <v>0</v>
      </c>
      <c r="AE93" s="41" t="n">
        <v>0</v>
      </c>
      <c r="AF93" s="24" t="n">
        <f aca="false">AE93-AD93</f>
        <v>0</v>
      </c>
      <c r="AG93" s="40" t="n">
        <v>1524.89535999999</v>
      </c>
      <c r="AH93" s="41" t="n">
        <v>1524.03456</v>
      </c>
      <c r="AI93" s="24" t="n">
        <f aca="false">AH93-AG93</f>
        <v>-0.860799999989922</v>
      </c>
      <c r="AJ93" s="4"/>
    </row>
    <row r="94" customFormat="false" ht="55.2" hidden="false" customHeight="false" outlineLevel="0" collapsed="false">
      <c r="A94" s="21" t="s">
        <v>221</v>
      </c>
      <c r="B94" s="21" t="n">
        <v>7</v>
      </c>
      <c r="C94" s="21" t="s">
        <v>226</v>
      </c>
      <c r="D94" s="22" t="s">
        <v>232</v>
      </c>
      <c r="E94" s="21" t="s">
        <v>304</v>
      </c>
      <c r="F94" s="21" t="s">
        <v>305</v>
      </c>
      <c r="G94" s="23" t="n">
        <v>73.54</v>
      </c>
      <c r="H94" s="4" t="s">
        <v>351</v>
      </c>
      <c r="I94" s="40" t="n">
        <v>186056.2</v>
      </c>
      <c r="J94" s="41" t="n">
        <v>186056.2</v>
      </c>
      <c r="K94" s="24" t="n">
        <f aca="false">J94-I94</f>
        <v>0</v>
      </c>
      <c r="L94" s="40" t="n">
        <v>0</v>
      </c>
      <c r="M94" s="41" t="n">
        <v>0</v>
      </c>
      <c r="N94" s="24" t="n">
        <f aca="false">M94-L94</f>
        <v>0</v>
      </c>
      <c r="O94" s="40" t="n">
        <v>186056.2</v>
      </c>
      <c r="P94" s="41" t="n">
        <v>186056.2</v>
      </c>
      <c r="Q94" s="24" t="n">
        <f aca="false">P94-O94</f>
        <v>0</v>
      </c>
      <c r="R94" s="40" t="n">
        <v>160008</v>
      </c>
      <c r="S94" s="41" t="n">
        <v>160008.332</v>
      </c>
      <c r="T94" s="24" t="n">
        <f aca="false">S94-R94</f>
        <v>0.331999999994878</v>
      </c>
      <c r="U94" s="40" t="n">
        <v>160380.4444</v>
      </c>
      <c r="V94" s="41" t="n">
        <v>160380.4444</v>
      </c>
      <c r="W94" s="24" t="n">
        <f aca="false">V94-U94</f>
        <v>0</v>
      </c>
      <c r="X94" s="40" t="n">
        <v>-372.444400000008</v>
      </c>
      <c r="Y94" s="41" t="n">
        <v>-372.112400000013</v>
      </c>
      <c r="Z94" s="24" t="n">
        <f aca="false">Y94-X94</f>
        <v>0.331999999994878</v>
      </c>
      <c r="AA94" s="40" t="n">
        <v>1838.5</v>
      </c>
      <c r="AB94" s="41" t="n">
        <v>1838.5</v>
      </c>
      <c r="AC94" s="24" t="n">
        <f aca="false">AB94-AA94</f>
        <v>0</v>
      </c>
      <c r="AD94" s="40" t="n">
        <v>0</v>
      </c>
      <c r="AE94" s="41" t="n">
        <v>0</v>
      </c>
      <c r="AF94" s="24" t="n">
        <f aca="false">AE94-AD94</f>
        <v>0</v>
      </c>
      <c r="AG94" s="40" t="n">
        <v>2210.94440000001</v>
      </c>
      <c r="AH94" s="41" t="n">
        <v>2210.61240000001</v>
      </c>
      <c r="AI94" s="24" t="n">
        <f aca="false">AH94-AG94</f>
        <v>-0.331999999996697</v>
      </c>
      <c r="AJ94" s="4"/>
    </row>
    <row r="95" customFormat="false" ht="55.2" hidden="false" customHeight="false" outlineLevel="0" collapsed="false">
      <c r="A95" s="21" t="s">
        <v>221</v>
      </c>
      <c r="B95" s="21" t="n">
        <v>8</v>
      </c>
      <c r="C95" s="21" t="s">
        <v>234</v>
      </c>
      <c r="D95" s="22" t="s">
        <v>233</v>
      </c>
      <c r="E95" s="21" t="s">
        <v>304</v>
      </c>
      <c r="F95" s="21" t="s">
        <v>305</v>
      </c>
      <c r="G95" s="23" t="n">
        <v>52</v>
      </c>
      <c r="H95" s="4" t="s">
        <v>351</v>
      </c>
      <c r="I95" s="40" t="n">
        <v>126308</v>
      </c>
      <c r="J95" s="41" t="n">
        <v>126308</v>
      </c>
      <c r="K95" s="24" t="n">
        <f aca="false">J95-I95</f>
        <v>0</v>
      </c>
      <c r="L95" s="40" t="n">
        <v>0</v>
      </c>
      <c r="M95" s="41" t="n">
        <v>0</v>
      </c>
      <c r="N95" s="24" t="n">
        <f aca="false">M95-L95</f>
        <v>0</v>
      </c>
      <c r="O95" s="40" t="n">
        <v>126308</v>
      </c>
      <c r="P95" s="41" t="n">
        <v>126308</v>
      </c>
      <c r="Q95" s="24" t="n">
        <f aca="false">P95-O95</f>
        <v>0</v>
      </c>
      <c r="R95" s="40" t="n">
        <v>108624</v>
      </c>
      <c r="S95" s="41" t="n">
        <v>108624.88</v>
      </c>
      <c r="T95" s="24" t="n">
        <f aca="false">S95-R95</f>
        <v>0.880000000004657</v>
      </c>
      <c r="U95" s="40" t="n">
        <v>108877.496</v>
      </c>
      <c r="V95" s="41" t="n">
        <v>108877.496</v>
      </c>
      <c r="W95" s="24" t="n">
        <f aca="false">V95-U95</f>
        <v>0</v>
      </c>
      <c r="X95" s="40" t="n">
        <v>-253.495999999999</v>
      </c>
      <c r="Y95" s="41" t="n">
        <v>-252.615999999995</v>
      </c>
      <c r="Z95" s="24" t="n">
        <f aca="false">Y95-X95</f>
        <v>0.880000000004714</v>
      </c>
      <c r="AA95" s="40" t="n">
        <v>1300</v>
      </c>
      <c r="AB95" s="41" t="n">
        <v>1300</v>
      </c>
      <c r="AC95" s="24" t="n">
        <f aca="false">AB95-AA95</f>
        <v>0</v>
      </c>
      <c r="AD95" s="40" t="n">
        <v>0</v>
      </c>
      <c r="AE95" s="41" t="n">
        <v>0</v>
      </c>
      <c r="AF95" s="24" t="n">
        <f aca="false">AE95-AD95</f>
        <v>0</v>
      </c>
      <c r="AG95" s="40" t="n">
        <v>1553.496</v>
      </c>
      <c r="AH95" s="41" t="n">
        <v>1552.616</v>
      </c>
      <c r="AI95" s="24" t="n">
        <f aca="false">AH95-AG95</f>
        <v>-0.880000000005111</v>
      </c>
      <c r="AJ95" s="4"/>
    </row>
    <row r="96" customFormat="false" ht="55.2" hidden="false" customHeight="false" outlineLevel="0" collapsed="false">
      <c r="A96" s="21" t="s">
        <v>221</v>
      </c>
      <c r="B96" s="21" t="n">
        <v>9</v>
      </c>
      <c r="C96" s="21" t="s">
        <v>236</v>
      </c>
      <c r="D96" s="22" t="s">
        <v>235</v>
      </c>
      <c r="E96" s="21" t="s">
        <v>304</v>
      </c>
      <c r="F96" s="21" t="s">
        <v>305</v>
      </c>
      <c r="G96" s="23" t="n">
        <v>30.22</v>
      </c>
      <c r="H96" s="4" t="s">
        <v>351</v>
      </c>
      <c r="I96" s="40" t="n">
        <v>75852.2</v>
      </c>
      <c r="J96" s="41" t="n">
        <v>75852.2</v>
      </c>
      <c r="K96" s="24" t="n">
        <f aca="false">J96-I96</f>
        <v>0</v>
      </c>
      <c r="L96" s="40" t="n">
        <v>0</v>
      </c>
      <c r="M96" s="41" t="n">
        <v>0</v>
      </c>
      <c r="N96" s="24" t="n">
        <f aca="false">M96-L96</f>
        <v>0</v>
      </c>
      <c r="O96" s="40" t="n">
        <v>75852.2</v>
      </c>
      <c r="P96" s="41" t="n">
        <v>75852.2</v>
      </c>
      <c r="Q96" s="24" t="n">
        <f aca="false">P96-O96</f>
        <v>0</v>
      </c>
      <c r="R96" s="40" t="n">
        <v>65232</v>
      </c>
      <c r="S96" s="41" t="n">
        <v>65232.892</v>
      </c>
      <c r="T96" s="24" t="n">
        <f aca="false">S96-R96</f>
        <v>0.891999999999825</v>
      </c>
      <c r="U96" s="40" t="n">
        <v>65384.5964</v>
      </c>
      <c r="V96" s="41" t="n">
        <v>65384.5964</v>
      </c>
      <c r="W96" s="24" t="n">
        <f aca="false">V96-U96</f>
        <v>0</v>
      </c>
      <c r="X96" s="40" t="n">
        <v>-152.596399999995</v>
      </c>
      <c r="Y96" s="41" t="n">
        <v>-151.704399999995</v>
      </c>
      <c r="Z96" s="24" t="n">
        <f aca="false">Y96-X96</f>
        <v>0.891999999999797</v>
      </c>
      <c r="AA96" s="40" t="n">
        <v>755.5</v>
      </c>
      <c r="AB96" s="41" t="n">
        <v>755.5</v>
      </c>
      <c r="AC96" s="24" t="n">
        <f aca="false">AB96-AA96</f>
        <v>0</v>
      </c>
      <c r="AD96" s="40" t="n">
        <v>0</v>
      </c>
      <c r="AE96" s="41" t="n">
        <v>0</v>
      </c>
      <c r="AF96" s="24" t="n">
        <f aca="false">AE96-AD96</f>
        <v>0</v>
      </c>
      <c r="AG96" s="40" t="n">
        <v>908.096399999995</v>
      </c>
      <c r="AH96" s="41" t="n">
        <v>907.204399999995</v>
      </c>
      <c r="AI96" s="24" t="n">
        <f aca="false">AH96-AG96</f>
        <v>-0.891999999999939</v>
      </c>
      <c r="AJ96" s="4"/>
    </row>
    <row r="97" customFormat="false" ht="55.2" hidden="false" customHeight="false" outlineLevel="0" collapsed="false">
      <c r="A97" s="21" t="s">
        <v>240</v>
      </c>
      <c r="B97" s="21" t="n">
        <v>2</v>
      </c>
      <c r="C97" s="21" t="s">
        <v>242</v>
      </c>
      <c r="D97" s="22" t="s">
        <v>241</v>
      </c>
      <c r="E97" s="21" t="s">
        <v>312</v>
      </c>
      <c r="F97" s="21" t="s">
        <v>306</v>
      </c>
      <c r="G97" s="23" t="n">
        <v>481.77</v>
      </c>
      <c r="H97" s="4" t="s">
        <v>344</v>
      </c>
      <c r="I97" s="40" t="n">
        <v>1181813.6</v>
      </c>
      <c r="J97" s="41" t="n">
        <v>1181813.6</v>
      </c>
      <c r="K97" s="24" t="n">
        <f aca="false">J97-I97</f>
        <v>0</v>
      </c>
      <c r="L97" s="40" t="n">
        <v>11080.71</v>
      </c>
      <c r="M97" s="41" t="n">
        <v>11080.71</v>
      </c>
      <c r="N97" s="24" t="n">
        <f aca="false">M97-L97</f>
        <v>0</v>
      </c>
      <c r="O97" s="40" t="n">
        <v>1170732.89</v>
      </c>
      <c r="P97" s="41" t="n">
        <v>1170732.89</v>
      </c>
      <c r="Q97" s="24" t="n">
        <f aca="false">P97-O97</f>
        <v>0</v>
      </c>
      <c r="R97" s="40" t="n">
        <v>1016359</v>
      </c>
      <c r="S97" s="41" t="n">
        <v>1016359.696</v>
      </c>
      <c r="T97" s="24" t="n">
        <f aca="false">S97-R97</f>
        <v>0.695999999996275</v>
      </c>
      <c r="U97" s="40" t="n">
        <v>1012683.94985</v>
      </c>
      <c r="V97" s="41" t="n">
        <v>1012683.94985</v>
      </c>
      <c r="W97" s="24" t="n">
        <f aca="false">V97-U97</f>
        <v>0</v>
      </c>
      <c r="X97" s="40" t="n">
        <v>3675.05014999991</v>
      </c>
      <c r="Y97" s="41" t="n">
        <v>3675.74615000002</v>
      </c>
      <c r="Z97" s="24" t="n">
        <f aca="false">Y97-X97</f>
        <v>0.69600000011269</v>
      </c>
      <c r="AA97" s="40" t="n">
        <v>12044.25</v>
      </c>
      <c r="AB97" s="41" t="n">
        <v>12044.25</v>
      </c>
      <c r="AC97" s="24" t="n">
        <f aca="false">AB97-AA97</f>
        <v>0</v>
      </c>
      <c r="AD97" s="40" t="n">
        <v>0</v>
      </c>
      <c r="AE97" s="41" t="n">
        <v>0</v>
      </c>
      <c r="AF97" s="24" t="n">
        <f aca="false">AE97-AD97</f>
        <v>0</v>
      </c>
      <c r="AG97" s="40" t="n">
        <v>8369.19985000009</v>
      </c>
      <c r="AH97" s="41" t="n">
        <v>8368.50384999998</v>
      </c>
      <c r="AI97" s="24" t="n">
        <f aca="false">AH97-AG97</f>
        <v>-0.696000000110871</v>
      </c>
      <c r="AJ97" s="4"/>
    </row>
    <row r="98" customFormat="false" ht="55.2" hidden="false" customHeight="false" outlineLevel="0" collapsed="false">
      <c r="A98" s="21" t="s">
        <v>240</v>
      </c>
      <c r="B98" s="21" t="n">
        <v>3</v>
      </c>
      <c r="C98" s="21" t="s">
        <v>245</v>
      </c>
      <c r="D98" s="22" t="s">
        <v>244</v>
      </c>
      <c r="E98" s="21" t="s">
        <v>312</v>
      </c>
      <c r="F98" s="21" t="s">
        <v>296</v>
      </c>
      <c r="G98" s="23" t="n">
        <v>560.21</v>
      </c>
      <c r="H98" s="4" t="s">
        <v>347</v>
      </c>
      <c r="I98" s="40" t="n">
        <v>1381864.15</v>
      </c>
      <c r="J98" s="41" t="n">
        <v>1381864.15</v>
      </c>
      <c r="K98" s="24" t="n">
        <f aca="false">J98-I98</f>
        <v>0</v>
      </c>
      <c r="L98" s="40" t="n">
        <v>12884.83</v>
      </c>
      <c r="M98" s="41" t="n">
        <v>12884.83</v>
      </c>
      <c r="N98" s="24" t="n">
        <f aca="false">M98-L98</f>
        <v>0</v>
      </c>
      <c r="O98" s="40" t="n">
        <v>1368979.32</v>
      </c>
      <c r="P98" s="41" t="n">
        <v>1368979.32</v>
      </c>
      <c r="Q98" s="24" t="n">
        <f aca="false">P98-O98</f>
        <v>0</v>
      </c>
      <c r="R98" s="40" t="n">
        <v>1188403</v>
      </c>
      <c r="S98" s="41" t="n">
        <v>1188403.169</v>
      </c>
      <c r="T98" s="24" t="n">
        <f aca="false">S98-R98</f>
        <v>0.168999999994412</v>
      </c>
      <c r="U98" s="40" t="n">
        <v>1188274.04976</v>
      </c>
      <c r="V98" s="41" t="n">
        <v>1188274.04976</v>
      </c>
      <c r="W98" s="24" t="n">
        <f aca="false">V98-U98</f>
        <v>0</v>
      </c>
      <c r="X98" s="40" t="n">
        <v>128.950240000151</v>
      </c>
      <c r="Y98" s="41" t="n">
        <v>129.119240000146</v>
      </c>
      <c r="Z98" s="24" t="n">
        <f aca="false">Y98-X98</f>
        <v>0.168999999994412</v>
      </c>
      <c r="AA98" s="40" t="n">
        <v>14005.25</v>
      </c>
      <c r="AB98" s="41" t="n">
        <v>14005.25</v>
      </c>
      <c r="AC98" s="24" t="n">
        <f aca="false">AB98-AA98</f>
        <v>0</v>
      </c>
      <c r="AD98" s="40" t="n">
        <v>0</v>
      </c>
      <c r="AE98" s="41" t="n">
        <v>0</v>
      </c>
      <c r="AF98" s="24" t="n">
        <f aca="false">AE98-AD98</f>
        <v>0</v>
      </c>
      <c r="AG98" s="40" t="n">
        <v>13876.2997600001</v>
      </c>
      <c r="AH98" s="41" t="n">
        <v>13876.1307599999</v>
      </c>
      <c r="AI98" s="24" t="n">
        <f aca="false">AH98-AG98</f>
        <v>-0.169000000249071</v>
      </c>
      <c r="AJ98" s="4"/>
    </row>
    <row r="99" customFormat="false" ht="55.2" hidden="false" customHeight="false" outlineLevel="0" collapsed="false">
      <c r="A99" s="21" t="s">
        <v>240</v>
      </c>
      <c r="B99" s="21" t="n">
        <v>4</v>
      </c>
      <c r="C99" s="21" t="s">
        <v>247</v>
      </c>
      <c r="D99" s="22" t="s">
        <v>246</v>
      </c>
      <c r="E99" s="21" t="s">
        <v>312</v>
      </c>
      <c r="F99" s="21" t="s">
        <v>296</v>
      </c>
      <c r="G99" s="23" t="n">
        <v>589.24</v>
      </c>
      <c r="H99" s="4" t="s">
        <v>347</v>
      </c>
      <c r="I99" s="40" t="n">
        <v>1444596.08</v>
      </c>
      <c r="J99" s="41" t="n">
        <v>1444596.08</v>
      </c>
      <c r="K99" s="24" t="n">
        <f aca="false">J99-I99</f>
        <v>0</v>
      </c>
      <c r="L99" s="40" t="n">
        <v>13552.52</v>
      </c>
      <c r="M99" s="41" t="n">
        <v>13552.52</v>
      </c>
      <c r="N99" s="24" t="n">
        <f aca="false">M99-L99</f>
        <v>0</v>
      </c>
      <c r="O99" s="40" t="n">
        <v>1431043.56</v>
      </c>
      <c r="P99" s="41" t="n">
        <v>1431043.56</v>
      </c>
      <c r="Q99" s="24" t="n">
        <f aca="false">P99-O99</f>
        <v>0</v>
      </c>
      <c r="R99" s="40" t="n">
        <v>1242352</v>
      </c>
      <c r="S99" s="41" t="n">
        <v>1242352.6288</v>
      </c>
      <c r="T99" s="24" t="n">
        <f aca="false">S99-R99</f>
        <v>0.628800000064075</v>
      </c>
      <c r="U99" s="40" t="n">
        <v>1242145.81008</v>
      </c>
      <c r="V99" s="41" t="n">
        <v>1242145.81008</v>
      </c>
      <c r="W99" s="24" t="n">
        <f aca="false">V99-U99</f>
        <v>0</v>
      </c>
      <c r="X99" s="40" t="n">
        <v>206.189920000034</v>
      </c>
      <c r="Y99" s="41" t="n">
        <v>206.818720000098</v>
      </c>
      <c r="Z99" s="24" t="n">
        <f aca="false">Y99-X99</f>
        <v>0.62880000006399</v>
      </c>
      <c r="AA99" s="40" t="n">
        <v>14731</v>
      </c>
      <c r="AB99" s="41" t="n">
        <v>14731</v>
      </c>
      <c r="AC99" s="24" t="n">
        <f aca="false">AB99-AA99</f>
        <v>0</v>
      </c>
      <c r="AD99" s="40" t="n">
        <v>0</v>
      </c>
      <c r="AE99" s="41" t="n">
        <v>0</v>
      </c>
      <c r="AF99" s="24" t="n">
        <f aca="false">AE99-AD99</f>
        <v>0</v>
      </c>
      <c r="AG99" s="40" t="n">
        <v>14524.81008</v>
      </c>
      <c r="AH99" s="41" t="n">
        <v>14524.1812799999</v>
      </c>
      <c r="AI99" s="24" t="n">
        <f aca="false">AH99-AG99</f>
        <v>-0.628800000098636</v>
      </c>
      <c r="AJ99" s="4"/>
    </row>
    <row r="100" customFormat="false" ht="55.2" hidden="false" customHeight="false" outlineLevel="0" collapsed="false">
      <c r="A100" s="21" t="s">
        <v>240</v>
      </c>
      <c r="B100" s="21" t="n">
        <v>5</v>
      </c>
      <c r="C100" s="21" t="s">
        <v>249</v>
      </c>
      <c r="D100" s="22" t="s">
        <v>248</v>
      </c>
      <c r="E100" s="21" t="s">
        <v>304</v>
      </c>
      <c r="F100" s="21" t="s">
        <v>308</v>
      </c>
      <c r="G100" s="23" t="n">
        <v>646.85</v>
      </c>
      <c r="H100" s="4" t="s">
        <v>351</v>
      </c>
      <c r="I100" s="40" t="n">
        <v>1563945.84</v>
      </c>
      <c r="J100" s="41" t="n">
        <v>1563945.84</v>
      </c>
      <c r="K100" s="24" t="n">
        <f aca="false">J100-I100</f>
        <v>0</v>
      </c>
      <c r="L100" s="40" t="n">
        <v>0</v>
      </c>
      <c r="M100" s="41" t="n">
        <v>0</v>
      </c>
      <c r="N100" s="24" t="n">
        <f aca="false">M100-L100</f>
        <v>0</v>
      </c>
      <c r="O100" s="40" t="n">
        <v>1563945.84</v>
      </c>
      <c r="P100" s="41" t="n">
        <v>1563945.84</v>
      </c>
      <c r="Q100" s="24" t="n">
        <f aca="false">P100-O100</f>
        <v>0</v>
      </c>
      <c r="R100" s="40" t="n">
        <v>1344993</v>
      </c>
      <c r="S100" s="41" t="n">
        <v>1344993.4224</v>
      </c>
      <c r="T100" s="24" t="n">
        <f aca="false">S100-R100</f>
        <v>0.422400000039488</v>
      </c>
      <c r="U100" s="40" t="n">
        <v>1348121.31408</v>
      </c>
      <c r="V100" s="41" t="n">
        <v>1348121.31408</v>
      </c>
      <c r="W100" s="24" t="n">
        <f aca="false">V100-U100</f>
        <v>0</v>
      </c>
      <c r="X100" s="40" t="n">
        <v>-3128.31408000016</v>
      </c>
      <c r="Y100" s="41" t="n">
        <v>-3127.89168000012</v>
      </c>
      <c r="Z100" s="24" t="n">
        <f aca="false">Y100-X100</f>
        <v>0.422400000039943</v>
      </c>
      <c r="AA100" s="40" t="n">
        <v>16171.25</v>
      </c>
      <c r="AB100" s="41" t="n">
        <v>16171.25</v>
      </c>
      <c r="AC100" s="24" t="n">
        <f aca="false">AB100-AA100</f>
        <v>0</v>
      </c>
      <c r="AD100" s="40" t="n">
        <v>0</v>
      </c>
      <c r="AE100" s="41" t="n">
        <v>0</v>
      </c>
      <c r="AF100" s="24" t="n">
        <f aca="false">AE100-AD100</f>
        <v>0</v>
      </c>
      <c r="AG100" s="40" t="n">
        <v>19299.5640800002</v>
      </c>
      <c r="AH100" s="41" t="n">
        <v>19299.1416800001</v>
      </c>
      <c r="AI100" s="24" t="n">
        <f aca="false">AH100-AG100</f>
        <v>-0.422400000079506</v>
      </c>
      <c r="AJ100" s="4"/>
    </row>
    <row r="101" customFormat="false" ht="55.2" hidden="false" customHeight="false" outlineLevel="0" collapsed="false">
      <c r="A101" s="21" t="s">
        <v>250</v>
      </c>
      <c r="B101" s="21" t="n">
        <v>2</v>
      </c>
      <c r="C101" s="21" t="s">
        <v>252</v>
      </c>
      <c r="D101" s="22" t="s">
        <v>251</v>
      </c>
      <c r="E101" s="21" t="s">
        <v>312</v>
      </c>
      <c r="F101" s="21" t="s">
        <v>263</v>
      </c>
      <c r="G101" s="23" t="n">
        <v>518.48</v>
      </c>
      <c r="H101" s="4" t="s">
        <v>352</v>
      </c>
      <c r="I101" s="40" t="n">
        <v>1271258.96</v>
      </c>
      <c r="J101" s="41" t="n">
        <v>1271258.96</v>
      </c>
      <c r="K101" s="24" t="n">
        <f aca="false">J101-I101</f>
        <v>0</v>
      </c>
      <c r="L101" s="40" t="n">
        <v>11925.04</v>
      </c>
      <c r="M101" s="41" t="n">
        <v>11925.04</v>
      </c>
      <c r="N101" s="24" t="n">
        <f aca="false">M101-L101</f>
        <v>0</v>
      </c>
      <c r="O101" s="40" t="n">
        <v>1259333.92</v>
      </c>
      <c r="P101" s="41" t="n">
        <v>1259333.92</v>
      </c>
      <c r="Q101" s="24" t="n">
        <f aca="false">P101-O101</f>
        <v>0</v>
      </c>
      <c r="R101" s="40" t="n">
        <v>1095825</v>
      </c>
      <c r="S101" s="41" t="n">
        <v>1095825.22352</v>
      </c>
      <c r="T101" s="24" t="n">
        <f aca="false">S101-R101</f>
        <v>0.223519999999553</v>
      </c>
      <c r="U101" s="40" t="n">
        <v>1089323.8408</v>
      </c>
      <c r="V101" s="41" t="n">
        <v>1089323.8408</v>
      </c>
      <c r="W101" s="24" t="n">
        <f aca="false">V101-U101</f>
        <v>0</v>
      </c>
      <c r="X101" s="40" t="n">
        <v>6501.15920000011</v>
      </c>
      <c r="Y101" s="41" t="n">
        <v>6501.38272000011</v>
      </c>
      <c r="Z101" s="24" t="n">
        <f aca="false">Y101-X101</f>
        <v>0.223519999999553</v>
      </c>
      <c r="AA101" s="40" t="n">
        <v>12962</v>
      </c>
      <c r="AB101" s="41" t="n">
        <v>12962</v>
      </c>
      <c r="AC101" s="24" t="n">
        <f aca="false">AB101-AA101</f>
        <v>0</v>
      </c>
      <c r="AD101" s="40" t="n">
        <v>0</v>
      </c>
      <c r="AE101" s="41" t="n">
        <v>0</v>
      </c>
      <c r="AF101" s="24" t="n">
        <f aca="false">AE101-AD101</f>
        <v>0</v>
      </c>
      <c r="AG101" s="40" t="n">
        <v>6460.84079999989</v>
      </c>
      <c r="AH101" s="41" t="n">
        <v>6460.61727999989</v>
      </c>
      <c r="AI101" s="24" t="n">
        <f aca="false">AH101-AG101</f>
        <v>-0.223520000000462</v>
      </c>
      <c r="AJ101" s="4" t="s">
        <v>353</v>
      </c>
    </row>
    <row r="102" customFormat="false" ht="55.2" hidden="false" customHeight="false" outlineLevel="0" collapsed="false">
      <c r="A102" s="21" t="s">
        <v>253</v>
      </c>
      <c r="B102" s="21" t="n">
        <v>2</v>
      </c>
      <c r="C102" s="21" t="s">
        <v>255</v>
      </c>
      <c r="D102" s="22" t="s">
        <v>254</v>
      </c>
      <c r="E102" s="21" t="s">
        <v>312</v>
      </c>
      <c r="F102" s="21" t="s">
        <v>296</v>
      </c>
      <c r="G102" s="23" t="n">
        <v>39.12</v>
      </c>
      <c r="H102" s="4" t="s">
        <v>347</v>
      </c>
      <c r="I102" s="40" t="n">
        <v>89584.8</v>
      </c>
      <c r="J102" s="41" t="n">
        <v>89584.8</v>
      </c>
      <c r="K102" s="24" t="n">
        <f aca="false">J102-I102</f>
        <v>0</v>
      </c>
      <c r="L102" s="40" t="n">
        <v>899.76</v>
      </c>
      <c r="M102" s="41" t="n">
        <v>899.76</v>
      </c>
      <c r="N102" s="24" t="n">
        <f aca="false">M102-L102</f>
        <v>0</v>
      </c>
      <c r="O102" s="40" t="n">
        <v>88685.04</v>
      </c>
      <c r="P102" s="41" t="n">
        <v>88685.04</v>
      </c>
      <c r="Q102" s="24" t="n">
        <f aca="false">P102-O102</f>
        <v>0</v>
      </c>
      <c r="R102" s="40" t="n">
        <v>77042</v>
      </c>
      <c r="S102" s="41" t="n">
        <v>77042.928</v>
      </c>
      <c r="T102" s="24" t="n">
        <f aca="false">S102-R102</f>
        <v>0.927999999999884</v>
      </c>
      <c r="U102" s="40" t="n">
        <v>76978.61472</v>
      </c>
      <c r="V102" s="41" t="n">
        <v>76978.61472</v>
      </c>
      <c r="W102" s="24" t="n">
        <f aca="false">V102-U102</f>
        <v>0</v>
      </c>
      <c r="X102" s="40" t="n">
        <v>63.3852799999877</v>
      </c>
      <c r="Y102" s="41" t="n">
        <v>64.3132799999876</v>
      </c>
      <c r="Z102" s="24" t="n">
        <f aca="false">Y102-X102</f>
        <v>0.927999999999884</v>
      </c>
      <c r="AA102" s="40" t="n">
        <v>978</v>
      </c>
      <c r="AB102" s="41" t="n">
        <v>978</v>
      </c>
      <c r="AC102" s="24" t="n">
        <f aca="false">AB102-AA102</f>
        <v>0</v>
      </c>
      <c r="AD102" s="40" t="n">
        <v>0</v>
      </c>
      <c r="AE102" s="41" t="n">
        <v>0</v>
      </c>
      <c r="AF102" s="24" t="n">
        <f aca="false">AE102-AD102</f>
        <v>0</v>
      </c>
      <c r="AG102" s="40" t="n">
        <v>914.614719999998</v>
      </c>
      <c r="AH102" s="41" t="n">
        <v>913.686720000012</v>
      </c>
      <c r="AI102" s="24" t="n">
        <f aca="false">AH102-AG102</f>
        <v>-0.927999999985673</v>
      </c>
      <c r="AJ102" s="4"/>
    </row>
    <row r="103" customFormat="false" ht="15" hidden="false" customHeight="false" outlineLevel="0" collapsed="false">
      <c r="A103" s="6" t="s">
        <v>354</v>
      </c>
      <c r="G103" s="42" t="n">
        <f aca="false">SUM(G3:G102)</f>
        <v>9403</v>
      </c>
      <c r="I103" s="43" t="n">
        <f aca="false">SUM(I3:I102)</f>
        <v>22746516.85</v>
      </c>
      <c r="J103" s="43" t="n">
        <f aca="false">SUM(J3:J102)</f>
        <v>22746516.85</v>
      </c>
      <c r="K103" s="43" t="n">
        <f aca="false">SUM(K3:K102)</f>
        <v>0</v>
      </c>
      <c r="L103" s="43" t="n">
        <f aca="false">SUM(L3:L102)</f>
        <v>191906.25</v>
      </c>
      <c r="M103" s="43" t="n">
        <f aca="false">SUM(M3:M102)</f>
        <v>191906.25</v>
      </c>
      <c r="N103" s="43" t="n">
        <f aca="false">SUM(N3:N102)</f>
        <v>0</v>
      </c>
      <c r="O103" s="43" t="n">
        <f aca="false">SUM(O3:O102)</f>
        <v>22554610.6</v>
      </c>
      <c r="P103" s="43" t="n">
        <f aca="false">SUM(P3:P102)</f>
        <v>22554610.6</v>
      </c>
      <c r="Q103" s="43" t="n">
        <f aca="false">SUM(Q3:Q102)</f>
        <v>0</v>
      </c>
      <c r="R103" s="43" t="n">
        <f aca="false">SUM(R3:R102)</f>
        <v>19922002</v>
      </c>
      <c r="S103" s="43" t="n">
        <f aca="false">SUM(S3:S102)</f>
        <v>19922046.96772</v>
      </c>
      <c r="T103" s="43" t="n">
        <f aca="false">SUM(T3:T102)</f>
        <v>44.9677199999642</v>
      </c>
      <c r="U103" s="43" t="n">
        <f aca="false">SUM(U3:U102)</f>
        <v>17084398.64232</v>
      </c>
      <c r="V103" s="43" t="n">
        <f aca="false">SUM(V3:V102)</f>
        <v>17084389.62232</v>
      </c>
      <c r="W103" s="43" t="n">
        <f aca="false">SUM(W3:W102)</f>
        <v>-9.01999999993723</v>
      </c>
      <c r="X103" s="43" t="n">
        <f aca="false">SUM(X3:X102)</f>
        <v>37540.7776800001</v>
      </c>
      <c r="Y103" s="43" t="n">
        <f aca="false">SUM(Y3:Y102)</f>
        <v>37576.7254</v>
      </c>
      <c r="Z103" s="43" t="n">
        <f aca="false">SUM(Z3:Z102)</f>
        <v>35.947719999888</v>
      </c>
      <c r="AA103" s="43" t="n">
        <f aca="false">SUM(AA3:AA102)</f>
        <v>232539.25</v>
      </c>
      <c r="AB103" s="43" t="n">
        <f aca="false">SUM(AB3:AB102)</f>
        <v>232539.25</v>
      </c>
      <c r="AC103" s="43" t="n">
        <f aca="false">SUM(AC3:AC102)</f>
        <v>0</v>
      </c>
      <c r="AD103" s="43" t="n">
        <f aca="false">SUM(AD3:AD102)</f>
        <v>32452.3</v>
      </c>
      <c r="AE103" s="43" t="n">
        <f aca="false">SUM(AE3:AE102)</f>
        <v>32452.3</v>
      </c>
      <c r="AF103" s="43" t="n">
        <f aca="false">SUM(AF3:AF102)</f>
        <v>0</v>
      </c>
      <c r="AG103" s="43" t="n">
        <f aca="false">SUM(AG3:AG102)</f>
        <v>182926.46232</v>
      </c>
      <c r="AH103" s="43" t="n">
        <f aca="false">SUM(AH3:AH102)</f>
        <v>182881.4946</v>
      </c>
      <c r="AI103" s="43" t="n">
        <f aca="false">SUM(AI3:AI102)</f>
        <v>-44.9677199998839</v>
      </c>
    </row>
  </sheetData>
  <autoFilter ref="A2:AJ102"/>
  <mergeCells count="1">
    <mergeCell ref="A1:AH1"/>
  </mergeCells>
  <conditionalFormatting sqref="K3:K102">
    <cfRule type="expression" priority="2" aboveAverage="0" equalAverage="0" bottom="0" percent="0" rank="0" text="" dxfId="15">
      <formula>AND(ISNUMBER(K3),ABS(K3)&gt;1)</formula>
    </cfRule>
    <cfRule type="expression" priority="3" aboveAverage="0" equalAverage="0" bottom="0" percent="0" rank="0" text="" dxfId="16">
      <formula>AND(ISNUMBER(K3),ABS(K3)&gt;0.005,ABS(K3)&lt;=1)</formula>
    </cfRule>
  </conditionalFormatting>
  <conditionalFormatting sqref="N3:N102">
    <cfRule type="expression" priority="4" aboveAverage="0" equalAverage="0" bottom="0" percent="0" rank="0" text="" dxfId="15">
      <formula>AND(ISNUMBER(N3),ABS(N3)&gt;1)</formula>
    </cfRule>
    <cfRule type="expression" priority="5" aboveAverage="0" equalAverage="0" bottom="0" percent="0" rank="0" text="" dxfId="16">
      <formula>AND(ISNUMBER(N3),ABS(N3)&gt;0.005,ABS(N3)&lt;=1)</formula>
    </cfRule>
  </conditionalFormatting>
  <conditionalFormatting sqref="Q3:Q102">
    <cfRule type="expression" priority="6" aboveAverage="0" equalAverage="0" bottom="0" percent="0" rank="0" text="" dxfId="15">
      <formula>AND(ISNUMBER(Q3),ABS(Q3)&gt;1)</formula>
    </cfRule>
    <cfRule type="expression" priority="7" aboveAverage="0" equalAverage="0" bottom="0" percent="0" rank="0" text="" dxfId="16">
      <formula>AND(ISNUMBER(Q3),ABS(Q3)&gt;0.005,ABS(Q3)&lt;=1)</formula>
    </cfRule>
  </conditionalFormatting>
  <conditionalFormatting sqref="T3:T102">
    <cfRule type="expression" priority="8" aboveAverage="0" equalAverage="0" bottom="0" percent="0" rank="0" text="" dxfId="15">
      <formula>AND(ISNUMBER(T3),ABS(T3)&gt;1)</formula>
    </cfRule>
    <cfRule type="expression" priority="9" aboveAverage="0" equalAverage="0" bottom="0" percent="0" rank="0" text="" dxfId="16">
      <formula>AND(ISNUMBER(T3),ABS(T3)&gt;0.005,ABS(T3)&lt;=1)</formula>
    </cfRule>
  </conditionalFormatting>
  <conditionalFormatting sqref="W3:W102">
    <cfRule type="expression" priority="10" aboveAverage="0" equalAverage="0" bottom="0" percent="0" rank="0" text="" dxfId="15">
      <formula>AND(ISNUMBER(W3),ABS(W3)&gt;1)</formula>
    </cfRule>
    <cfRule type="expression" priority="11" aboveAverage="0" equalAverage="0" bottom="0" percent="0" rank="0" text="" dxfId="16">
      <formula>AND(ISNUMBER(W3),ABS(W3)&gt;0.005,ABS(W3)&lt;=1)</formula>
    </cfRule>
  </conditionalFormatting>
  <conditionalFormatting sqref="Z3:Z102">
    <cfRule type="expression" priority="12" aboveAverage="0" equalAverage="0" bottom="0" percent="0" rank="0" text="" dxfId="15">
      <formula>AND(ISNUMBER(Z3),ABS(Z3)&gt;1)</formula>
    </cfRule>
    <cfRule type="expression" priority="13" aboveAverage="0" equalAverage="0" bottom="0" percent="0" rank="0" text="" dxfId="16">
      <formula>AND(ISNUMBER(Z3),ABS(Z3)&gt;0.005,ABS(Z3)&lt;=1)</formula>
    </cfRule>
  </conditionalFormatting>
  <conditionalFormatting sqref="AC3:AC102">
    <cfRule type="expression" priority="14" aboveAverage="0" equalAverage="0" bottom="0" percent="0" rank="0" text="" dxfId="15">
      <formula>AND(ISNUMBER(AC3),ABS(AC3)&gt;1)</formula>
    </cfRule>
    <cfRule type="expression" priority="15" aboveAverage="0" equalAverage="0" bottom="0" percent="0" rank="0" text="" dxfId="16">
      <formula>AND(ISNUMBER(AC3),ABS(AC3)&gt;0.005,ABS(AC3)&lt;=1)</formula>
    </cfRule>
  </conditionalFormatting>
  <conditionalFormatting sqref="AF3:AF102">
    <cfRule type="expression" priority="16" aboveAverage="0" equalAverage="0" bottom="0" percent="0" rank="0" text="" dxfId="15">
      <formula>AND(ISNUMBER(AF3),ABS(AF3)&gt;1)</formula>
    </cfRule>
    <cfRule type="expression" priority="17" aboveAverage="0" equalAverage="0" bottom="0" percent="0" rank="0" text="" dxfId="16">
      <formula>AND(ISNUMBER(AF3),ABS(AF3)&gt;0.005,ABS(AF3)&lt;=1)</formula>
    </cfRule>
  </conditionalFormatting>
  <conditionalFormatting sqref="AI3:AI102">
    <cfRule type="expression" priority="18" aboveAverage="0" equalAverage="0" bottom="0" percent="0" rank="0" text="" dxfId="15">
      <formula>AND(ISNUMBER(AI3),ABS(AI3)&gt;1)</formula>
    </cfRule>
    <cfRule type="expression" priority="19" aboveAverage="0" equalAverage="0" bottom="0" percent="0" rank="0" text="" dxfId="16">
      <formula>AND(ISNUMBER(AI3),ABS(AI3)&gt;0.005,ABS(AI3)&lt;=1)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6" t="s">
        <v>355</v>
      </c>
    </row>
    <row r="3" customFormat="false" ht="31.5" hidden="false" customHeight="true" outlineLevel="0" collapsed="false">
      <c r="A3" s="3" t="s">
        <v>321</v>
      </c>
      <c r="B3" s="3" t="s">
        <v>322</v>
      </c>
      <c r="C3" s="3" t="s">
        <v>356</v>
      </c>
      <c r="D3" s="3" t="s">
        <v>323</v>
      </c>
      <c r="E3" s="3" t="s">
        <v>357</v>
      </c>
      <c r="F3" s="3" t="s">
        <v>358</v>
      </c>
      <c r="G3" s="3" t="s">
        <v>359</v>
      </c>
      <c r="H3" s="3" t="s">
        <v>360</v>
      </c>
      <c r="I3" s="3" t="s">
        <v>361</v>
      </c>
      <c r="J3" s="3" t="s">
        <v>23</v>
      </c>
    </row>
    <row r="4" customFormat="false" ht="15" hidden="false" customHeight="false" outlineLevel="0" collapsed="false">
      <c r="A4" s="21" t="s">
        <v>312</v>
      </c>
      <c r="B4" s="21" t="s">
        <v>263</v>
      </c>
      <c r="C4" s="21" t="n">
        <v>57</v>
      </c>
      <c r="D4" s="23" t="n">
        <v>4483.17</v>
      </c>
      <c r="E4" s="24" t="n">
        <v>10791815.5</v>
      </c>
      <c r="F4" s="24" t="n">
        <v>57312.5903499997</v>
      </c>
      <c r="G4" s="24" t="n">
        <v>57289.7424300001</v>
      </c>
      <c r="H4" s="24" t="n">
        <f aca="false">G4-F4</f>
        <v>-22.8479199995563</v>
      </c>
      <c r="I4" s="24" t="n">
        <f aca="false">IF(D4=0,"",G4/D4)</f>
        <v>12.7788467602166</v>
      </c>
      <c r="J4" s="4"/>
    </row>
    <row r="5" customFormat="false" ht="15" hidden="false" customHeight="false" outlineLevel="0" collapsed="false">
      <c r="A5" s="21" t="s">
        <v>312</v>
      </c>
      <c r="B5" s="21" t="s">
        <v>296</v>
      </c>
      <c r="C5" s="21" t="n">
        <v>13</v>
      </c>
      <c r="D5" s="23" t="n">
        <v>2180.5</v>
      </c>
      <c r="E5" s="24" t="n">
        <v>5275457.61</v>
      </c>
      <c r="F5" s="24" t="n">
        <v>53192.20348</v>
      </c>
      <c r="G5" s="24" t="n">
        <v>53184.6588799998</v>
      </c>
      <c r="H5" s="24" t="n">
        <f aca="false">G5-F5</f>
        <v>-7.54460000023391</v>
      </c>
      <c r="I5" s="24" t="n">
        <f aca="false">IF(D5=0,"",G5/D5)</f>
        <v>24.3910382389359</v>
      </c>
      <c r="J5" s="4"/>
    </row>
    <row r="6" customFormat="false" ht="15" hidden="false" customHeight="false" outlineLevel="0" collapsed="false">
      <c r="A6" s="21" t="s">
        <v>312</v>
      </c>
      <c r="B6" s="21" t="s">
        <v>306</v>
      </c>
      <c r="C6" s="21" t="n">
        <v>1</v>
      </c>
      <c r="D6" s="23" t="n">
        <v>481.77</v>
      </c>
      <c r="E6" s="24" t="n">
        <v>1181813.6</v>
      </c>
      <c r="F6" s="24" t="n">
        <v>8369.19985000009</v>
      </c>
      <c r="G6" s="24" t="n">
        <v>8368.50384999998</v>
      </c>
      <c r="H6" s="24" t="n">
        <f aca="false">G6-F6</f>
        <v>-0.696000000110871</v>
      </c>
      <c r="I6" s="24" t="n">
        <f aca="false">IF(D6=0,"",G6/D6)</f>
        <v>17.3703299292193</v>
      </c>
      <c r="J6" s="4"/>
    </row>
    <row r="7" customFormat="false" ht="29.85" hidden="false" customHeight="false" outlineLevel="0" collapsed="false">
      <c r="A7" s="44" t="s">
        <v>362</v>
      </c>
      <c r="B7" s="44"/>
      <c r="C7" s="44" t="n">
        <f aca="false">SUM(C4:C6)</f>
        <v>71</v>
      </c>
      <c r="D7" s="45" t="n">
        <f aca="false">SUM(D4:D6)</f>
        <v>7145.44</v>
      </c>
      <c r="E7" s="46" t="n">
        <f aca="false">SUM(E4:E6)</f>
        <v>17249086.71</v>
      </c>
      <c r="F7" s="46" t="n">
        <f aca="false">SUM(F4:F6)</f>
        <v>118873.99368</v>
      </c>
      <c r="G7" s="46" t="n">
        <f aca="false">SUM(G4:G6)</f>
        <v>118842.90516</v>
      </c>
      <c r="H7" s="46" t="n">
        <f aca="false">G7-F7</f>
        <v>-31.0885199999029</v>
      </c>
      <c r="I7" s="46" t="n">
        <f aca="false">IF(D7=0,"",G7/D7)</f>
        <v>16.631992593878</v>
      </c>
      <c r="J7" s="47" t="s">
        <v>363</v>
      </c>
    </row>
    <row r="8" customFormat="false" ht="15" hidden="false" customHeight="false" outlineLevel="0" collapsed="false">
      <c r="A8" s="21" t="s">
        <v>304</v>
      </c>
      <c r="B8" s="21" t="s">
        <v>308</v>
      </c>
      <c r="C8" s="21" t="n">
        <v>1</v>
      </c>
      <c r="D8" s="23" t="n">
        <v>646.85</v>
      </c>
      <c r="E8" s="24" t="n">
        <v>1563945.84</v>
      </c>
      <c r="F8" s="24" t="n">
        <v>19299.5640800002</v>
      </c>
      <c r="G8" s="24" t="n">
        <v>19299.1416800001</v>
      </c>
      <c r="H8" s="24" t="n">
        <f aca="false">G8-F8</f>
        <v>-0.422400000079506</v>
      </c>
      <c r="I8" s="24" t="n">
        <f aca="false">IF(D8=0,"",G8/D8)</f>
        <v>29.8355749864731</v>
      </c>
      <c r="J8" s="4"/>
    </row>
    <row r="9" customFormat="false" ht="15" hidden="false" customHeight="false" outlineLevel="0" collapsed="false">
      <c r="A9" s="21" t="s">
        <v>304</v>
      </c>
      <c r="B9" s="21" t="s">
        <v>305</v>
      </c>
      <c r="C9" s="21" t="n">
        <v>7</v>
      </c>
      <c r="D9" s="23" t="n">
        <v>412.4</v>
      </c>
      <c r="E9" s="24" t="n">
        <v>1037538.88</v>
      </c>
      <c r="F9" s="24" t="n">
        <v>13230.10216</v>
      </c>
      <c r="G9" s="24" t="n">
        <v>12385.07776</v>
      </c>
      <c r="H9" s="24" t="n">
        <f aca="false">G9-F9</f>
        <v>-845.02439999998</v>
      </c>
      <c r="I9" s="24" t="n">
        <f aca="false">IF(D9=0,"",G9/D9)</f>
        <v>30.0317113482056</v>
      </c>
      <c r="J9" s="4" t="s">
        <v>364</v>
      </c>
    </row>
    <row r="10" customFormat="false" ht="15" hidden="false" customHeight="false" outlineLevel="0" collapsed="false">
      <c r="A10" s="44" t="s">
        <v>365</v>
      </c>
      <c r="B10" s="44"/>
      <c r="C10" s="44" t="n">
        <f aca="false">SUM(C8:C9)</f>
        <v>8</v>
      </c>
      <c r="D10" s="45" t="n">
        <f aca="false">SUM(D8:D9)</f>
        <v>1059.25</v>
      </c>
      <c r="E10" s="46" t="n">
        <f aca="false">SUM(E8:E9)</f>
        <v>2601484.72</v>
      </c>
      <c r="F10" s="46" t="n">
        <f aca="false">SUM(F8:F9)</f>
        <v>32529.6662400002</v>
      </c>
      <c r="G10" s="46" t="n">
        <f aca="false">SUM(G8:G9)</f>
        <v>31684.2194400001</v>
      </c>
      <c r="H10" s="46" t="n">
        <f aca="false">G10-F10</f>
        <v>-845.44680000006</v>
      </c>
      <c r="I10" s="46" t="n">
        <f aca="false">IF(D10=0,"",G10/D10)</f>
        <v>29.9119371630872</v>
      </c>
      <c r="J10" s="47" t="s">
        <v>366</v>
      </c>
    </row>
    <row r="11" customFormat="false" ht="15" hidden="false" customHeight="false" outlineLevel="0" collapsed="false">
      <c r="A11" s="21" t="s">
        <v>314</v>
      </c>
      <c r="B11" s="21" t="s">
        <v>298</v>
      </c>
      <c r="C11" s="21" t="n">
        <v>22</v>
      </c>
      <c r="D11" s="23" t="n">
        <v>1198.31</v>
      </c>
      <c r="E11" s="24" t="n">
        <v>2895945.42</v>
      </c>
      <c r="F11" s="24" t="n">
        <v>32363.3899999999</v>
      </c>
      <c r="G11" s="24" t="n">
        <v>32354.37</v>
      </c>
      <c r="H11" s="24" t="n">
        <f aca="false">G11-F11</f>
        <v>-9.01999999993132</v>
      </c>
      <c r="I11" s="24" t="n">
        <f aca="false">IF(D11=0,"",G11/D11)</f>
        <v>27</v>
      </c>
      <c r="J11" s="4"/>
    </row>
    <row r="12" customFormat="false" ht="29.85" hidden="false" customHeight="false" outlineLevel="0" collapsed="false">
      <c r="A12" s="44" t="s">
        <v>367</v>
      </c>
      <c r="B12" s="44"/>
      <c r="C12" s="44" t="n">
        <f aca="false">SUM(C11:C11)</f>
        <v>22</v>
      </c>
      <c r="D12" s="45" t="n">
        <f aca="false">SUM(D11:D11)</f>
        <v>1198.31</v>
      </c>
      <c r="E12" s="46" t="n">
        <f aca="false">SUM(E11:E11)</f>
        <v>2895945.42</v>
      </c>
      <c r="F12" s="46" t="n">
        <f aca="false">SUM(F11:F11)</f>
        <v>32363.3899999999</v>
      </c>
      <c r="G12" s="46" t="n">
        <f aca="false">SUM(G11:G11)</f>
        <v>32354.37</v>
      </c>
      <c r="H12" s="46" t="n">
        <f aca="false">G12-F12</f>
        <v>-9.01999999993132</v>
      </c>
      <c r="I12" s="46" t="n">
        <f aca="false">IF(D12=0,"",G12/D12)</f>
        <v>27</v>
      </c>
      <c r="J12" s="47" t="s">
        <v>368</v>
      </c>
    </row>
    <row r="13" customFormat="false" ht="15" hidden="false" customHeight="false" outlineLevel="0" collapsed="false">
      <c r="A13" s="48" t="s">
        <v>369</v>
      </c>
      <c r="B13" s="48"/>
      <c r="C13" s="48" t="n">
        <f aca="false">C7+C10+C12</f>
        <v>101</v>
      </c>
      <c r="D13" s="49" t="n">
        <f aca="false">D7+D10+D12</f>
        <v>9403</v>
      </c>
      <c r="E13" s="50" t="n">
        <f aca="false">E7+E10+E12</f>
        <v>22746516.85</v>
      </c>
      <c r="F13" s="50" t="n">
        <f aca="false">F7+F10+F12</f>
        <v>183767.04992</v>
      </c>
      <c r="G13" s="50" t="n">
        <f aca="false">G7+G10+G12</f>
        <v>182881.4946</v>
      </c>
      <c r="H13" s="50" t="n">
        <f aca="false">G13-F13</f>
        <v>-885.555319999898</v>
      </c>
      <c r="I13" s="50" t="n">
        <f aca="false">IF(D13=0,"",G13/D13)</f>
        <v>19.449270934808</v>
      </c>
      <c r="J13" s="51" t="s">
        <v>370</v>
      </c>
    </row>
    <row r="15" customFormat="false" ht="15" hidden="false" customHeight="false" outlineLevel="0" collapsed="false">
      <c r="A15" s="6" t="s">
        <v>371</v>
      </c>
    </row>
    <row r="16" customFormat="false" ht="31.5" hidden="false" customHeight="true" outlineLevel="0" collapsed="false">
      <c r="A16" s="3" t="s">
        <v>372</v>
      </c>
      <c r="B16" s="3" t="s">
        <v>321</v>
      </c>
      <c r="C16" s="3" t="s">
        <v>356</v>
      </c>
      <c r="D16" s="3" t="s">
        <v>323</v>
      </c>
      <c r="E16" s="3" t="s">
        <v>357</v>
      </c>
      <c r="F16" s="3" t="s">
        <v>358</v>
      </c>
      <c r="G16" s="3" t="s">
        <v>359</v>
      </c>
      <c r="H16" s="3" t="s">
        <v>373</v>
      </c>
      <c r="I16" s="3" t="s">
        <v>361</v>
      </c>
      <c r="J16" s="3" t="s">
        <v>374</v>
      </c>
    </row>
    <row r="17" customFormat="false" ht="15" hidden="false" customHeight="false" outlineLevel="0" collapsed="false">
      <c r="A17" s="21" t="s">
        <v>55</v>
      </c>
      <c r="B17" s="21" t="s">
        <v>314</v>
      </c>
      <c r="C17" s="21" t="n">
        <v>22</v>
      </c>
      <c r="D17" s="23" t="n">
        <v>1198.31</v>
      </c>
      <c r="E17" s="24" t="n">
        <v>2895945.42</v>
      </c>
      <c r="F17" s="24" t="n">
        <v>32363.3899999999</v>
      </c>
      <c r="G17" s="24" t="n">
        <v>32354.37</v>
      </c>
      <c r="H17" s="24" t="n">
        <f aca="false">G17-F17</f>
        <v>-9.01999999993132</v>
      </c>
      <c r="I17" s="24" t="n">
        <f aca="false">IF(D17=0,"",G17/D17)</f>
        <v>27</v>
      </c>
      <c r="J17" s="24" t="n">
        <v>17974.65</v>
      </c>
    </row>
    <row r="18" customFormat="false" ht="15" hidden="false" customHeight="false" outlineLevel="0" collapsed="false">
      <c r="A18" s="21" t="s">
        <v>55</v>
      </c>
      <c r="B18" s="21" t="s">
        <v>312</v>
      </c>
      <c r="C18" s="21" t="n">
        <v>52</v>
      </c>
      <c r="D18" s="23" t="n">
        <v>4414.05</v>
      </c>
      <c r="E18" s="24" t="n">
        <v>10615226.9</v>
      </c>
      <c r="F18" s="24" t="n">
        <v>64478.6972699997</v>
      </c>
      <c r="G18" s="24" t="n">
        <v>64458.5632700003</v>
      </c>
      <c r="H18" s="24" t="n">
        <f aca="false">G18-F18</f>
        <v>-20.1339999994452</v>
      </c>
      <c r="I18" s="24" t="n">
        <f aca="false">IF(D18=0,"",G18/D18)</f>
        <v>14.603043298105</v>
      </c>
      <c r="J18" s="24" t="n">
        <v>14477.65</v>
      </c>
    </row>
    <row r="19" customFormat="false" ht="15" hidden="false" customHeight="false" outlineLevel="0" collapsed="false">
      <c r="A19" s="21" t="s">
        <v>375</v>
      </c>
      <c r="B19" s="21" t="s">
        <v>304</v>
      </c>
      <c r="C19" s="21" t="n">
        <v>1</v>
      </c>
      <c r="D19" s="23" t="n">
        <v>646.85</v>
      </c>
      <c r="E19" s="24" t="n">
        <v>1563945.84</v>
      </c>
      <c r="F19" s="24" t="n">
        <v>19299.5640800002</v>
      </c>
      <c r="G19" s="24" t="n">
        <v>19299.1416800001</v>
      </c>
      <c r="H19" s="24" t="n">
        <f aca="false">G19-F19</f>
        <v>-0.422400000079506</v>
      </c>
      <c r="I19" s="24" t="n">
        <f aca="false">IF(D19=0,"",G19/D19)</f>
        <v>29.8355749864731</v>
      </c>
      <c r="J19" s="24" t="n">
        <v>0</v>
      </c>
    </row>
    <row r="20" customFormat="false" ht="15" hidden="false" customHeight="false" outlineLevel="0" collapsed="false">
      <c r="A20" s="21" t="s">
        <v>375</v>
      </c>
      <c r="B20" s="21" t="s">
        <v>312</v>
      </c>
      <c r="C20" s="21" t="n">
        <v>3</v>
      </c>
      <c r="D20" s="23" t="n">
        <v>1631.22</v>
      </c>
      <c r="E20" s="24" t="n">
        <v>4008273.83</v>
      </c>
      <c r="F20" s="24" t="n">
        <v>36770.3096900002</v>
      </c>
      <c r="G20" s="24" t="n">
        <v>36768.8158899997</v>
      </c>
      <c r="H20" s="24" t="n">
        <f aca="false">G20-F20</f>
        <v>-1.49380000043311</v>
      </c>
      <c r="I20" s="24" t="n">
        <f aca="false">IF(D20=0,"",G20/D20)</f>
        <v>22.5406848187245</v>
      </c>
      <c r="J20" s="24" t="n">
        <v>0</v>
      </c>
    </row>
    <row r="21" customFormat="false" ht="15" hidden="false" customHeight="false" outlineLevel="0" collapsed="false">
      <c r="A21" s="21" t="s">
        <v>250</v>
      </c>
      <c r="B21" s="21" t="s">
        <v>312</v>
      </c>
      <c r="C21" s="21" t="n">
        <v>1</v>
      </c>
      <c r="D21" s="23" t="n">
        <v>518.48</v>
      </c>
      <c r="E21" s="24" t="n">
        <v>1271258.96</v>
      </c>
      <c r="F21" s="24" t="n">
        <v>6460.84079999989</v>
      </c>
      <c r="G21" s="24" t="n">
        <v>6460.61727999989</v>
      </c>
      <c r="H21" s="24" t="n">
        <f aca="false">G21-F21</f>
        <v>-0.223520000000462</v>
      </c>
      <c r="I21" s="24" t="n">
        <f aca="false">IF(D21=0,"",G21/D21)</f>
        <v>12.4606875482177</v>
      </c>
      <c r="J21" s="24" t="n">
        <v>0</v>
      </c>
    </row>
    <row r="22" customFormat="false" ht="15" hidden="false" customHeight="false" outlineLevel="0" collapsed="false">
      <c r="A22" s="21" t="s">
        <v>284</v>
      </c>
      <c r="B22" s="21" t="s">
        <v>304</v>
      </c>
      <c r="C22" s="21" t="n">
        <v>7</v>
      </c>
      <c r="D22" s="23" t="n">
        <v>412.4</v>
      </c>
      <c r="E22" s="24" t="n">
        <v>1037538.88</v>
      </c>
      <c r="F22" s="24" t="n">
        <v>12389.51456</v>
      </c>
      <c r="G22" s="24" t="n">
        <v>12385.07776</v>
      </c>
      <c r="H22" s="24" t="n">
        <f aca="false">G22-F22</f>
        <v>-4.4367999999813</v>
      </c>
      <c r="I22" s="24" t="n">
        <f aca="false">IF(D22=0,"",G22/D22)</f>
        <v>30.0317113482056</v>
      </c>
      <c r="J22" s="24" t="n">
        <v>0</v>
      </c>
    </row>
    <row r="23" customFormat="false" ht="15" hidden="false" customHeight="false" outlineLevel="0" collapsed="false">
      <c r="A23" s="21" t="s">
        <v>284</v>
      </c>
      <c r="B23" s="21" t="s">
        <v>312</v>
      </c>
      <c r="C23" s="21" t="n">
        <v>1</v>
      </c>
      <c r="D23" s="23" t="n">
        <v>56.14</v>
      </c>
      <c r="E23" s="24" t="n">
        <v>132939.52</v>
      </c>
      <c r="F23" s="24" t="n">
        <v>952.27949999999</v>
      </c>
      <c r="G23" s="24" t="n">
        <v>951.292300000001</v>
      </c>
      <c r="H23" s="24" t="n">
        <f aca="false">G23-F23</f>
        <v>-0.987199999989002</v>
      </c>
      <c r="I23" s="24" t="n">
        <f aca="false">IF(D23=0,"",G23/D23)</f>
        <v>16.945</v>
      </c>
      <c r="J23" s="24" t="n">
        <v>0</v>
      </c>
    </row>
    <row r="24" customFormat="false" ht="15" hidden="false" customHeight="false" outlineLevel="0" collapsed="false">
      <c r="A24" s="21" t="s">
        <v>200</v>
      </c>
      <c r="B24" s="21" t="s">
        <v>312</v>
      </c>
      <c r="C24" s="21" t="n">
        <v>6</v>
      </c>
      <c r="D24" s="23" t="n">
        <v>232.91</v>
      </c>
      <c r="E24" s="24" t="n">
        <v>546765.32</v>
      </c>
      <c r="F24" s="24" t="n">
        <v>4540.37026</v>
      </c>
      <c r="G24" s="24" t="n">
        <v>4536.19506</v>
      </c>
      <c r="H24" s="24" t="n">
        <f aca="false">G24-F24</f>
        <v>-4.17519999999513</v>
      </c>
      <c r="I24" s="24" t="n">
        <f aca="false">IF(D24=0,"",G24/D24)</f>
        <v>19.4761713108068</v>
      </c>
      <c r="J24" s="24" t="n">
        <v>0</v>
      </c>
    </row>
    <row r="25" customFormat="false" ht="15" hidden="false" customHeight="false" outlineLevel="0" collapsed="false">
      <c r="A25" s="21" t="s">
        <v>189</v>
      </c>
      <c r="B25" s="21" t="s">
        <v>312</v>
      </c>
      <c r="C25" s="21" t="n">
        <v>4</v>
      </c>
      <c r="D25" s="23" t="n">
        <v>141.49</v>
      </c>
      <c r="E25" s="24" t="n">
        <v>324713.9</v>
      </c>
      <c r="F25" s="24" t="n">
        <v>2347.82994999998</v>
      </c>
      <c r="G25" s="24" t="n">
        <v>2345.87594999998</v>
      </c>
      <c r="H25" s="24" t="n">
        <f aca="false">G25-F25</f>
        <v>-1.953999999997</v>
      </c>
      <c r="I25" s="24" t="n">
        <f aca="false">IF(D25=0,"",G25/D25)</f>
        <v>16.5798003392464</v>
      </c>
      <c r="J25" s="24" t="n">
        <v>0</v>
      </c>
    </row>
    <row r="26" customFormat="false" ht="15" hidden="false" customHeight="false" outlineLevel="0" collapsed="false">
      <c r="A26" s="21" t="s">
        <v>214</v>
      </c>
      <c r="B26" s="21" t="s">
        <v>312</v>
      </c>
      <c r="C26" s="21" t="n">
        <v>3</v>
      </c>
      <c r="D26" s="23" t="n">
        <v>112.03</v>
      </c>
      <c r="E26" s="24" t="n">
        <v>260323.48</v>
      </c>
      <c r="F26" s="24" t="n">
        <v>2409.05149</v>
      </c>
      <c r="G26" s="24" t="n">
        <v>2407.85868999997</v>
      </c>
      <c r="H26" s="24" t="n">
        <f aca="false">G26-F26</f>
        <v>-1.19280000003619</v>
      </c>
      <c r="I26" s="24" t="n">
        <f aca="false">IF(D26=0,"",G26/D26)</f>
        <v>21.4929812550207</v>
      </c>
      <c r="J26" s="24" t="n">
        <v>0</v>
      </c>
    </row>
    <row r="27" customFormat="false" ht="15" hidden="false" customHeight="false" outlineLevel="0" collapsed="false">
      <c r="A27" s="21" t="s">
        <v>253</v>
      </c>
      <c r="B27" s="21" t="s">
        <v>312</v>
      </c>
      <c r="C27" s="21" t="n">
        <v>1</v>
      </c>
      <c r="D27" s="23" t="n">
        <v>39.12</v>
      </c>
      <c r="E27" s="24" t="n">
        <v>89584.8</v>
      </c>
      <c r="F27" s="24" t="n">
        <v>914.614719999998</v>
      </c>
      <c r="G27" s="24" t="n">
        <v>913.686720000012</v>
      </c>
      <c r="H27" s="24" t="n">
        <f aca="false">G27-F27</f>
        <v>-0.927999999985673</v>
      </c>
      <c r="I27" s="24" t="n">
        <f aca="false">IF(D27=0,"",G27/D27)</f>
        <v>23.3560000000003</v>
      </c>
      <c r="J27" s="24" t="n">
        <v>0</v>
      </c>
    </row>
    <row r="28" customFormat="false" ht="15" hidden="false" customHeight="false" outlineLevel="0" collapsed="false">
      <c r="A28" s="6" t="s">
        <v>354</v>
      </c>
      <c r="C28" s="52" t="n">
        <f aca="false">SUM(C17:C27)</f>
        <v>101</v>
      </c>
      <c r="D28" s="52" t="n">
        <f aca="false">SUM(D17:D27)</f>
        <v>9403</v>
      </c>
      <c r="E28" s="43" t="n">
        <f aca="false">SUM(E17:E27)</f>
        <v>22746516.85</v>
      </c>
      <c r="F28" s="43" t="n">
        <f aca="false">SUM(F17:F27)</f>
        <v>182926.46232</v>
      </c>
      <c r="G28" s="43" t="n">
        <f aca="false">SUM(G17:G27)</f>
        <v>182881.4946</v>
      </c>
      <c r="H28" s="43" t="n">
        <f aca="false">SUM(H17:H27)</f>
        <v>-44.9677199998739</v>
      </c>
      <c r="J28" s="43" t="n">
        <f aca="false">SUM(J17:J27)</f>
        <v>32452.3</v>
      </c>
    </row>
    <row r="29" customFormat="false" ht="15" hidden="false" customHeight="false" outlineLevel="0" collapsed="false">
      <c r="A29" s="37" t="s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6"/>
    <col collapsed="false" customWidth="true" hidden="false" outlineLevel="0" max="5" min="4" style="0" width="16"/>
  </cols>
  <sheetData>
    <row r="1" customFormat="false" ht="17.15" hidden="false" customHeight="false" outlineLevel="0" collapsed="false">
      <c r="A1" s="53" t="s">
        <v>377</v>
      </c>
    </row>
    <row r="2" customFormat="false" ht="21.75" hidden="false" customHeight="true" outlineLevel="0" collapsed="false">
      <c r="A2" s="3" t="s">
        <v>2</v>
      </c>
      <c r="B2" s="3" t="s">
        <v>378</v>
      </c>
      <c r="C2" s="3" t="s">
        <v>379</v>
      </c>
      <c r="D2" s="3" t="s">
        <v>380</v>
      </c>
      <c r="E2" s="3" t="s">
        <v>381</v>
      </c>
    </row>
    <row r="3" customFormat="false" ht="15" hidden="false" customHeight="false" outlineLevel="0" collapsed="false">
      <c r="A3" s="4" t="s">
        <v>382</v>
      </c>
      <c r="B3" s="4" t="s">
        <v>383</v>
      </c>
      <c r="C3" s="4" t="s">
        <v>384</v>
      </c>
      <c r="D3" s="54" t="n">
        <v>79266.6</v>
      </c>
      <c r="E3" s="55" t="n">
        <v>79266.6</v>
      </c>
    </row>
    <row r="4" customFormat="false" ht="15" hidden="false" customHeight="false" outlineLevel="0" collapsed="false">
      <c r="A4" s="4" t="s">
        <v>385</v>
      </c>
      <c r="B4" s="5" t="s">
        <v>386</v>
      </c>
      <c r="C4" s="4" t="s">
        <v>387</v>
      </c>
      <c r="D4" s="54" t="n">
        <v>782.46</v>
      </c>
      <c r="E4" s="55" t="n">
        <v>782.46</v>
      </c>
    </row>
    <row r="5" customFormat="false" ht="15" hidden="false" customHeight="false" outlineLevel="0" collapsed="false">
      <c r="A5" s="4" t="s">
        <v>388</v>
      </c>
      <c r="B5" s="4" t="s">
        <v>389</v>
      </c>
      <c r="C5" s="4" t="s">
        <v>390</v>
      </c>
      <c r="D5" s="54" t="n">
        <v>78484.14</v>
      </c>
      <c r="E5" s="55" t="n">
        <v>78484.14</v>
      </c>
    </row>
    <row r="6" customFormat="false" ht="15" hidden="false" customHeight="false" outlineLevel="0" collapsed="false">
      <c r="A6" s="4" t="s">
        <v>391</v>
      </c>
      <c r="B6" s="4" t="s">
        <v>392</v>
      </c>
      <c r="C6" s="4" t="s">
        <v>393</v>
      </c>
      <c r="D6" s="54" t="n">
        <v>68169</v>
      </c>
      <c r="E6" s="55" t="n">
        <v>68169.276</v>
      </c>
    </row>
    <row r="7" customFormat="false" ht="15" hidden="false" customHeight="false" outlineLevel="0" collapsed="false">
      <c r="A7" s="4" t="s">
        <v>394</v>
      </c>
      <c r="B7" s="5" t="s">
        <v>395</v>
      </c>
      <c r="C7" s="4" t="s">
        <v>396</v>
      </c>
      <c r="D7" s="54" t="n">
        <v>68124.23352</v>
      </c>
      <c r="E7" s="55" t="n">
        <v>68124.23352</v>
      </c>
    </row>
    <row r="8" customFormat="false" ht="15" hidden="false" customHeight="false" outlineLevel="0" collapsed="false">
      <c r="A8" s="4" t="s">
        <v>397</v>
      </c>
      <c r="B8" s="5" t="s">
        <v>398</v>
      </c>
      <c r="C8" s="4" t="s">
        <v>399</v>
      </c>
      <c r="D8" s="54" t="n">
        <v>44.7664800000057</v>
      </c>
      <c r="E8" s="55" t="n">
        <v>45.0424800000037</v>
      </c>
    </row>
    <row r="9" customFormat="false" ht="15" hidden="false" customHeight="false" outlineLevel="0" collapsed="false">
      <c r="A9" s="4" t="s">
        <v>400</v>
      </c>
      <c r="B9" s="5" t="s">
        <v>401</v>
      </c>
      <c r="C9" s="4" t="s">
        <v>402</v>
      </c>
      <c r="D9" s="54" t="n">
        <v>850.5</v>
      </c>
      <c r="E9" s="55" t="n">
        <v>850.5</v>
      </c>
    </row>
    <row r="10" customFormat="false" ht="15" hidden="false" customHeight="false" outlineLevel="0" collapsed="false">
      <c r="A10" s="4" t="s">
        <v>403</v>
      </c>
      <c r="B10" s="4" t="s">
        <v>404</v>
      </c>
      <c r="C10" s="4" t="s">
        <v>405</v>
      </c>
      <c r="D10" s="54" t="n">
        <v>0</v>
      </c>
      <c r="E10" s="55" t="n">
        <v>0</v>
      </c>
    </row>
    <row r="11" customFormat="false" ht="15" hidden="false" customHeight="false" outlineLevel="0" collapsed="false">
      <c r="A11" s="56" t="s">
        <v>406</v>
      </c>
      <c r="B11" s="56" t="s">
        <v>407</v>
      </c>
      <c r="C11" s="56" t="s">
        <v>408</v>
      </c>
      <c r="D11" s="57" t="n">
        <v>805.733519999994</v>
      </c>
      <c r="E11" s="58" t="n">
        <v>805.457519999996</v>
      </c>
    </row>
    <row r="14" customFormat="false" ht="17.15" hidden="false" customHeight="false" outlineLevel="0" collapsed="false">
      <c r="A14" s="53" t="s">
        <v>409</v>
      </c>
    </row>
    <row r="15" customFormat="false" ht="21.75" hidden="false" customHeight="true" outlineLevel="0" collapsed="false">
      <c r="A15" s="3" t="s">
        <v>2</v>
      </c>
      <c r="B15" s="3" t="s">
        <v>378</v>
      </c>
      <c r="C15" s="3" t="s">
        <v>379</v>
      </c>
      <c r="D15" s="3" t="s">
        <v>380</v>
      </c>
      <c r="E15" s="3" t="s">
        <v>381</v>
      </c>
    </row>
    <row r="16" customFormat="false" ht="15" hidden="false" customHeight="false" outlineLevel="0" collapsed="false">
      <c r="A16" s="4" t="s">
        <v>382</v>
      </c>
      <c r="B16" s="4" t="s">
        <v>410</v>
      </c>
      <c r="C16" s="4" t="s">
        <v>411</v>
      </c>
      <c r="D16" s="54" t="n">
        <v>198250.8</v>
      </c>
      <c r="E16" s="55" t="n">
        <v>198250.8</v>
      </c>
    </row>
    <row r="17" customFormat="false" ht="15" hidden="false" customHeight="false" outlineLevel="0" collapsed="false">
      <c r="A17" s="4" t="s">
        <v>385</v>
      </c>
      <c r="B17" s="4" t="s">
        <v>412</v>
      </c>
      <c r="C17" s="4" t="s">
        <v>413</v>
      </c>
      <c r="D17" s="54" t="n">
        <v>0</v>
      </c>
      <c r="E17" s="55" t="n">
        <v>0</v>
      </c>
    </row>
    <row r="18" customFormat="false" ht="15" hidden="false" customHeight="false" outlineLevel="0" collapsed="false">
      <c r="A18" s="4" t="s">
        <v>388</v>
      </c>
      <c r="B18" s="4" t="s">
        <v>414</v>
      </c>
      <c r="C18" s="4" t="s">
        <v>415</v>
      </c>
      <c r="D18" s="54" t="n">
        <v>198250.8</v>
      </c>
      <c r="E18" s="55" t="n">
        <v>198250.8</v>
      </c>
    </row>
    <row r="19" customFormat="false" ht="15" hidden="false" customHeight="false" outlineLevel="0" collapsed="false">
      <c r="A19" s="4" t="s">
        <v>391</v>
      </c>
      <c r="B19" s="5" t="s">
        <v>416</v>
      </c>
      <c r="C19" s="4" t="s">
        <v>417</v>
      </c>
      <c r="D19" s="54" t="n">
        <v>170495</v>
      </c>
      <c r="E19" s="55" t="n">
        <v>170495.688</v>
      </c>
    </row>
    <row r="20" customFormat="false" ht="15" hidden="false" customHeight="false" outlineLevel="0" collapsed="false">
      <c r="A20" s="4" t="s">
        <v>394</v>
      </c>
      <c r="B20" s="4" t="s">
        <v>418</v>
      </c>
      <c r="C20" s="4" t="s">
        <v>419</v>
      </c>
      <c r="D20" s="54" t="n">
        <v>170892.1896</v>
      </c>
      <c r="E20" s="55" t="n">
        <v>170892.1896</v>
      </c>
    </row>
    <row r="21" customFormat="false" ht="15" hidden="false" customHeight="false" outlineLevel="0" collapsed="false">
      <c r="A21" s="4" t="s">
        <v>397</v>
      </c>
      <c r="B21" s="5" t="s">
        <v>420</v>
      </c>
      <c r="C21" s="4" t="s">
        <v>399</v>
      </c>
      <c r="D21" s="54" t="n">
        <v>-397.189599999983</v>
      </c>
      <c r="E21" s="55" t="n">
        <v>-396.501599999989</v>
      </c>
    </row>
    <row r="22" customFormat="false" ht="15" hidden="false" customHeight="false" outlineLevel="0" collapsed="false">
      <c r="A22" s="4" t="s">
        <v>400</v>
      </c>
      <c r="B22" s="5" t="s">
        <v>421</v>
      </c>
      <c r="C22" s="4" t="s">
        <v>422</v>
      </c>
      <c r="D22" s="54" t="n">
        <v>1959</v>
      </c>
      <c r="E22" s="55" t="n">
        <v>1959</v>
      </c>
    </row>
    <row r="23" customFormat="false" ht="15" hidden="false" customHeight="false" outlineLevel="0" collapsed="false">
      <c r="A23" s="4" t="s">
        <v>403</v>
      </c>
      <c r="B23" s="5" t="s">
        <v>423</v>
      </c>
      <c r="C23" s="5" t="s">
        <v>423</v>
      </c>
      <c r="D23" s="54" t="n">
        <v>0</v>
      </c>
      <c r="E23" s="55" t="n">
        <v>0</v>
      </c>
    </row>
    <row r="24" customFormat="false" ht="15" hidden="false" customHeight="false" outlineLevel="0" collapsed="false">
      <c r="A24" s="56" t="s">
        <v>406</v>
      </c>
      <c r="B24" s="59" t="s">
        <v>424</v>
      </c>
      <c r="C24" s="56" t="s">
        <v>425</v>
      </c>
      <c r="D24" s="57" t="n">
        <v>2356.18959999998</v>
      </c>
      <c r="E24" s="58" t="n">
        <v>2355.50159999999</v>
      </c>
    </row>
    <row r="27" customFormat="false" ht="17.15" hidden="false" customHeight="false" outlineLevel="0" collapsed="false">
      <c r="A27" s="53" t="s">
        <v>426</v>
      </c>
    </row>
    <row r="28" customFormat="false" ht="21.75" hidden="false" customHeight="true" outlineLevel="0" collapsed="false">
      <c r="A28" s="3" t="s">
        <v>2</v>
      </c>
      <c r="B28" s="3" t="s">
        <v>378</v>
      </c>
      <c r="C28" s="3" t="s">
        <v>379</v>
      </c>
      <c r="D28" s="3" t="s">
        <v>380</v>
      </c>
      <c r="E28" s="3" t="s">
        <v>381</v>
      </c>
    </row>
    <row r="29" customFormat="false" ht="15" hidden="false" customHeight="false" outlineLevel="0" collapsed="false">
      <c r="A29" s="4" t="s">
        <v>382</v>
      </c>
      <c r="B29" s="4" t="s">
        <v>410</v>
      </c>
      <c r="C29" s="4" t="s">
        <v>411</v>
      </c>
      <c r="D29" s="54" t="n">
        <v>147240</v>
      </c>
      <c r="E29" s="55" t="n">
        <v>147240</v>
      </c>
    </row>
    <row r="30" customFormat="false" ht="15" hidden="false" customHeight="false" outlineLevel="0" collapsed="false">
      <c r="A30" s="4" t="s">
        <v>427</v>
      </c>
      <c r="B30" s="5" t="s">
        <v>386</v>
      </c>
      <c r="C30" s="4" t="s">
        <v>428</v>
      </c>
      <c r="D30" s="54" t="n">
        <v>1505.12</v>
      </c>
      <c r="E30" s="55" t="n">
        <v>1505.12</v>
      </c>
    </row>
    <row r="31" customFormat="false" ht="15" hidden="false" customHeight="false" outlineLevel="0" collapsed="false">
      <c r="A31" s="4" t="s">
        <v>429</v>
      </c>
      <c r="B31" s="5" t="s">
        <v>430</v>
      </c>
      <c r="C31" s="4" t="s">
        <v>431</v>
      </c>
      <c r="D31" s="54" t="n">
        <v>145734.88</v>
      </c>
      <c r="E31" s="55" t="n">
        <v>145734.88</v>
      </c>
    </row>
    <row r="32" customFormat="false" ht="15" hidden="false" customHeight="false" outlineLevel="0" collapsed="false">
      <c r="A32" s="4" t="s">
        <v>432</v>
      </c>
      <c r="B32" s="5" t="s">
        <v>433</v>
      </c>
      <c r="C32" s="4" t="s">
        <v>434</v>
      </c>
      <c r="D32" s="54" t="n">
        <v>144622</v>
      </c>
      <c r="E32" s="55" t="n">
        <v>144622.4</v>
      </c>
    </row>
    <row r="33" customFormat="false" ht="15" hidden="false" customHeight="false" outlineLevel="0" collapsed="false">
      <c r="A33" s="4" t="s">
        <v>435</v>
      </c>
      <c r="B33" s="5" t="s">
        <v>436</v>
      </c>
      <c r="C33" s="4" t="s">
        <v>437</v>
      </c>
      <c r="D33" s="54" t="n">
        <v>2618</v>
      </c>
      <c r="E33" s="55" t="n">
        <v>2617.6</v>
      </c>
    </row>
    <row r="34" customFormat="false" ht="15" hidden="false" customHeight="false" outlineLevel="0" collapsed="false">
      <c r="A34" s="4" t="s">
        <v>400</v>
      </c>
      <c r="B34" s="5" t="s">
        <v>421</v>
      </c>
      <c r="C34" s="4" t="s">
        <v>422</v>
      </c>
      <c r="D34" s="54" t="n">
        <v>1636</v>
      </c>
      <c r="E34" s="55" t="n">
        <v>1636</v>
      </c>
    </row>
    <row r="35" customFormat="false" ht="15" hidden="false" customHeight="false" outlineLevel="0" collapsed="false">
      <c r="A35" s="4" t="s">
        <v>403</v>
      </c>
      <c r="B35" s="5" t="s">
        <v>438</v>
      </c>
      <c r="C35" s="4" t="s">
        <v>439</v>
      </c>
      <c r="D35" s="54" t="n">
        <v>981.6</v>
      </c>
      <c r="E35" s="55" t="n">
        <v>981.6</v>
      </c>
    </row>
    <row r="36" customFormat="false" ht="15" hidden="false" customHeight="false" outlineLevel="0" collapsed="false">
      <c r="A36" s="56" t="s">
        <v>406</v>
      </c>
      <c r="B36" s="59" t="s">
        <v>440</v>
      </c>
      <c r="C36" s="56" t="s">
        <v>441</v>
      </c>
      <c r="D36" s="57" t="n">
        <v>1767.28</v>
      </c>
      <c r="E36" s="58" t="n">
        <v>1766.88</v>
      </c>
    </row>
    <row r="39" customFormat="false" ht="15" hidden="false" customHeight="false" outlineLevel="0" collapsed="false">
      <c r="A39" s="6" t="s">
        <v>442</v>
      </c>
    </row>
    <row r="40" customFormat="false" ht="30" hidden="false" customHeight="true" outlineLevel="0" collapsed="false">
      <c r="A40" s="60" t="s">
        <v>443</v>
      </c>
      <c r="B40" s="60"/>
      <c r="C40" s="60"/>
      <c r="D40" s="60"/>
      <c r="E40" s="60"/>
    </row>
    <row r="41" customFormat="false" ht="30" hidden="false" customHeight="true" outlineLevel="0" collapsed="false">
      <c r="A41" s="60" t="s">
        <v>444</v>
      </c>
      <c r="B41" s="60"/>
      <c r="C41" s="60"/>
      <c r="D41" s="60"/>
      <c r="E41" s="60"/>
    </row>
    <row r="42" customFormat="false" ht="30" hidden="false" customHeight="true" outlineLevel="0" collapsed="false">
      <c r="A42" s="60" t="s">
        <v>445</v>
      </c>
      <c r="B42" s="60"/>
      <c r="C42" s="60"/>
      <c r="D42" s="60"/>
      <c r="E42" s="60"/>
    </row>
    <row r="43" customFormat="false" ht="30" hidden="false" customHeight="true" outlineLevel="0" collapsed="false">
      <c r="A43" s="60" t="s">
        <v>446</v>
      </c>
      <c r="B43" s="60"/>
      <c r="C43" s="60"/>
      <c r="D43" s="60"/>
      <c r="E43" s="60"/>
    </row>
    <row r="44" customFormat="false" ht="30" hidden="false" customHeight="true" outlineLevel="0" collapsed="false">
      <c r="A44" s="60" t="s">
        <v>447</v>
      </c>
      <c r="B44" s="60"/>
      <c r="C44" s="60"/>
      <c r="D44" s="60"/>
      <c r="E44" s="60"/>
    </row>
  </sheetData>
  <mergeCells count="5"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40"/>
  </cols>
  <sheetData>
    <row r="1" customFormat="false" ht="31.5" hidden="false" customHeight="true" outlineLevel="0" collapsed="false">
      <c r="A1" s="3" t="s">
        <v>448</v>
      </c>
      <c r="B1" s="3" t="s">
        <v>50</v>
      </c>
      <c r="C1" s="3" t="s">
        <v>449</v>
      </c>
      <c r="D1" s="3" t="s">
        <v>450</v>
      </c>
      <c r="E1" s="3" t="s">
        <v>451</v>
      </c>
      <c r="F1" s="3" t="s">
        <v>452</v>
      </c>
      <c r="G1" s="3" t="s">
        <v>453</v>
      </c>
      <c r="H1" s="3" t="s">
        <v>454</v>
      </c>
      <c r="I1" s="3" t="s">
        <v>455</v>
      </c>
      <c r="J1" s="3" t="s">
        <v>456</v>
      </c>
    </row>
    <row r="2" customFormat="false" ht="29.85" hidden="false" customHeight="false" outlineLevel="0" collapsed="false">
      <c r="A2" s="22" t="s">
        <v>57</v>
      </c>
      <c r="B2" s="21" t="s">
        <v>58</v>
      </c>
      <c r="C2" s="22" t="s">
        <v>56</v>
      </c>
      <c r="D2" s="4" t="s">
        <v>457</v>
      </c>
      <c r="E2" s="24" t="n">
        <v>482.316899999994</v>
      </c>
      <c r="F2" s="24" t="n">
        <v>482.316899999994</v>
      </c>
      <c r="G2" s="24" t="n">
        <f aca="false">F2-E2</f>
        <v>0</v>
      </c>
      <c r="H2" s="24" t="n">
        <v>0</v>
      </c>
      <c r="I2" s="24" t="n">
        <v>0</v>
      </c>
      <c r="J2" s="5" t="s">
        <v>458</v>
      </c>
    </row>
    <row r="3" customFormat="false" ht="29.85" hidden="false" customHeight="false" outlineLevel="0" collapsed="false">
      <c r="A3" s="22" t="s">
        <v>60</v>
      </c>
      <c r="B3" s="21" t="s">
        <v>61</v>
      </c>
      <c r="C3" s="22" t="s">
        <v>59</v>
      </c>
      <c r="D3" s="4" t="s">
        <v>457</v>
      </c>
      <c r="E3" s="24" t="n">
        <v>252.474000000017</v>
      </c>
      <c r="F3" s="24" t="n">
        <v>252.474000000017</v>
      </c>
      <c r="G3" s="24" t="n">
        <f aca="false">F3-E3</f>
        <v>0</v>
      </c>
      <c r="H3" s="24" t="n">
        <v>0</v>
      </c>
      <c r="I3" s="24" t="n">
        <v>0</v>
      </c>
      <c r="J3" s="5" t="s">
        <v>458</v>
      </c>
    </row>
    <row r="4" customFormat="false" ht="29.85" hidden="false" customHeight="false" outlineLevel="0" collapsed="false">
      <c r="A4" s="22" t="s">
        <v>63</v>
      </c>
      <c r="B4" s="21" t="s">
        <v>58</v>
      </c>
      <c r="C4" s="22" t="s">
        <v>62</v>
      </c>
      <c r="D4" s="4" t="s">
        <v>457</v>
      </c>
      <c r="E4" s="24" t="n">
        <v>609.105800000025</v>
      </c>
      <c r="F4" s="24" t="n">
        <v>609.105800000025</v>
      </c>
      <c r="G4" s="24" t="n">
        <f aca="false">F4-E4</f>
        <v>0</v>
      </c>
      <c r="H4" s="24" t="n">
        <v>0</v>
      </c>
      <c r="I4" s="24" t="n">
        <v>0</v>
      </c>
      <c r="J4" s="5" t="s">
        <v>458</v>
      </c>
    </row>
    <row r="5" customFormat="false" ht="29.85" hidden="false" customHeight="false" outlineLevel="0" collapsed="false">
      <c r="A5" s="22" t="s">
        <v>64</v>
      </c>
      <c r="B5" s="21" t="s">
        <v>65</v>
      </c>
      <c r="C5" s="22" t="s">
        <v>62</v>
      </c>
      <c r="D5" s="4" t="s">
        <v>459</v>
      </c>
      <c r="E5" s="24" t="n">
        <v>420.139800000007</v>
      </c>
      <c r="F5" s="24" t="n">
        <v>238.339800000007</v>
      </c>
      <c r="G5" s="24" t="n">
        <f aca="false">F5-E5</f>
        <v>-181.8</v>
      </c>
      <c r="H5" s="24" t="n">
        <v>0</v>
      </c>
      <c r="I5" s="24" t="n">
        <v>0</v>
      </c>
      <c r="J5" s="4" t="s">
        <v>460</v>
      </c>
    </row>
    <row r="6" customFormat="false" ht="29.85" hidden="false" customHeight="false" outlineLevel="0" collapsed="false">
      <c r="A6" s="22" t="s">
        <v>66</v>
      </c>
      <c r="B6" s="21" t="s">
        <v>67</v>
      </c>
      <c r="C6" s="22" t="s">
        <v>62</v>
      </c>
      <c r="D6" s="4" t="s">
        <v>459</v>
      </c>
      <c r="E6" s="24" t="n">
        <v>380.6217</v>
      </c>
      <c r="F6" s="24" t="n">
        <v>215.9217</v>
      </c>
      <c r="G6" s="24" t="n">
        <f aca="false">F6-E6</f>
        <v>-164.7</v>
      </c>
      <c r="H6" s="24" t="n">
        <v>0</v>
      </c>
      <c r="I6" s="24" t="n">
        <v>0</v>
      </c>
      <c r="J6" s="4" t="s">
        <v>460</v>
      </c>
    </row>
    <row r="7" customFormat="false" ht="29.85" hidden="false" customHeight="false" outlineLevel="0" collapsed="false">
      <c r="A7" s="22" t="s">
        <v>68</v>
      </c>
      <c r="B7" s="21" t="s">
        <v>69</v>
      </c>
      <c r="C7" s="22" t="s">
        <v>62</v>
      </c>
      <c r="D7" s="4" t="s">
        <v>457</v>
      </c>
      <c r="E7" s="24" t="n">
        <v>175.629950000001</v>
      </c>
      <c r="F7" s="24" t="n">
        <v>175.629950000001</v>
      </c>
      <c r="G7" s="24" t="n">
        <f aca="false">F7-E7</f>
        <v>0</v>
      </c>
      <c r="H7" s="24" t="n">
        <v>0</v>
      </c>
      <c r="I7" s="24" t="n">
        <v>0</v>
      </c>
      <c r="J7" s="5" t="s">
        <v>458</v>
      </c>
    </row>
    <row r="8" customFormat="false" ht="29.85" hidden="false" customHeight="false" outlineLevel="0" collapsed="false">
      <c r="A8" s="22" t="s">
        <v>71</v>
      </c>
      <c r="B8" s="21" t="s">
        <v>58</v>
      </c>
      <c r="C8" s="22" t="s">
        <v>70</v>
      </c>
      <c r="D8" s="4" t="s">
        <v>457</v>
      </c>
      <c r="E8" s="24" t="n">
        <v>455.572500000009</v>
      </c>
      <c r="F8" s="24" t="n">
        <v>455.572500000009</v>
      </c>
      <c r="G8" s="24" t="n">
        <f aca="false">F8-E8</f>
        <v>0</v>
      </c>
      <c r="H8" s="24" t="n">
        <v>0</v>
      </c>
      <c r="I8" s="24" t="n">
        <v>0</v>
      </c>
      <c r="J8" s="5" t="s">
        <v>458</v>
      </c>
    </row>
    <row r="9" customFormat="false" ht="29.85" hidden="false" customHeight="false" outlineLevel="0" collapsed="false">
      <c r="A9" s="22" t="s">
        <v>201</v>
      </c>
      <c r="B9" s="21" t="s">
        <v>202</v>
      </c>
      <c r="C9" s="22" t="s">
        <v>70</v>
      </c>
      <c r="D9" s="4" t="s">
        <v>457</v>
      </c>
      <c r="E9" s="24" t="n">
        <v>460.325800000009</v>
      </c>
      <c r="F9" s="24" t="n">
        <v>460.325800000009</v>
      </c>
      <c r="G9" s="24" t="n">
        <f aca="false">F9-E9</f>
        <v>0</v>
      </c>
      <c r="H9" s="24" t="n">
        <v>0</v>
      </c>
      <c r="I9" s="24" t="n">
        <v>0</v>
      </c>
      <c r="J9" s="5" t="s">
        <v>458</v>
      </c>
    </row>
    <row r="10" customFormat="false" ht="29.85" hidden="false" customHeight="false" outlineLevel="0" collapsed="false">
      <c r="A10" s="22" t="s">
        <v>72</v>
      </c>
      <c r="B10" s="21" t="s">
        <v>73</v>
      </c>
      <c r="C10" s="22" t="s">
        <v>70</v>
      </c>
      <c r="D10" s="4" t="s">
        <v>459</v>
      </c>
      <c r="E10" s="24" t="n">
        <v>395.643199999988</v>
      </c>
      <c r="F10" s="24" t="n">
        <v>224.443199999989</v>
      </c>
      <c r="G10" s="24" t="n">
        <f aca="false">F10-E10</f>
        <v>-171.2</v>
      </c>
      <c r="H10" s="24" t="n">
        <v>0</v>
      </c>
      <c r="I10" s="24" t="n">
        <v>0</v>
      </c>
      <c r="J10" s="4" t="s">
        <v>460</v>
      </c>
    </row>
    <row r="11" customFormat="false" ht="29.85" hidden="false" customHeight="false" outlineLevel="0" collapsed="false">
      <c r="A11" s="22" t="s">
        <v>75</v>
      </c>
      <c r="B11" s="21" t="s">
        <v>76</v>
      </c>
      <c r="C11" s="22" t="s">
        <v>74</v>
      </c>
      <c r="D11" s="4" t="s">
        <v>457</v>
      </c>
      <c r="E11" s="24" t="n">
        <v>523.665000000008</v>
      </c>
      <c r="F11" s="24" t="n">
        <v>523.665000000008</v>
      </c>
      <c r="G11" s="24" t="n">
        <f aca="false">F11-E11</f>
        <v>0</v>
      </c>
      <c r="H11" s="24" t="n">
        <v>0</v>
      </c>
      <c r="I11" s="24" t="n">
        <v>0</v>
      </c>
      <c r="J11" s="5" t="s">
        <v>458</v>
      </c>
    </row>
    <row r="12" customFormat="false" ht="15" hidden="false" customHeight="false" outlineLevel="0" collapsed="false">
      <c r="A12" s="22" t="s">
        <v>78</v>
      </c>
      <c r="B12" s="21" t="s">
        <v>79</v>
      </c>
      <c r="C12" s="22" t="s">
        <v>80</v>
      </c>
      <c r="D12" s="4" t="s">
        <v>264</v>
      </c>
      <c r="E12" s="24" t="n">
        <v>9581.37040000013</v>
      </c>
      <c r="F12" s="24" t="n">
        <v>6779.42040000013</v>
      </c>
      <c r="G12" s="24" t="n">
        <f aca="false">F12-E12</f>
        <v>-2801.95</v>
      </c>
      <c r="H12" s="24" t="n">
        <v>0</v>
      </c>
      <c r="I12" s="24" t="n">
        <v>0</v>
      </c>
      <c r="J12" s="4" t="s">
        <v>461</v>
      </c>
    </row>
    <row r="13" customFormat="false" ht="15" hidden="false" customHeight="false" outlineLevel="0" collapsed="false">
      <c r="A13" s="22" t="s">
        <v>159</v>
      </c>
      <c r="B13" s="21" t="s">
        <v>58</v>
      </c>
      <c r="C13" s="22" t="s">
        <v>80</v>
      </c>
      <c r="D13" s="4" t="s">
        <v>462</v>
      </c>
      <c r="E13" s="24" t="n">
        <v>748.617100000009</v>
      </c>
      <c r="F13" s="24" t="n">
        <v>1787.94</v>
      </c>
      <c r="G13" s="24" t="n">
        <f aca="false">F13-E13</f>
        <v>1039.32289999999</v>
      </c>
      <c r="H13" s="24" t="n">
        <v>0</v>
      </c>
      <c r="I13" s="24" t="n">
        <v>0</v>
      </c>
      <c r="J13" s="4" t="s">
        <v>461</v>
      </c>
    </row>
    <row r="14" customFormat="false" ht="15" hidden="false" customHeight="false" outlineLevel="0" collapsed="false">
      <c r="A14" s="22" t="s">
        <v>88</v>
      </c>
      <c r="B14" s="21" t="s">
        <v>89</v>
      </c>
      <c r="C14" s="22" t="s">
        <v>80</v>
      </c>
      <c r="D14" s="4"/>
      <c r="E14" s="24" t="n">
        <v>246.337550000002</v>
      </c>
      <c r="F14" s="24" t="n">
        <v>345.837550000002</v>
      </c>
      <c r="G14" s="24" t="n">
        <f aca="false">F14-E14</f>
        <v>99.5</v>
      </c>
      <c r="H14" s="24" t="n">
        <v>0</v>
      </c>
      <c r="I14" s="24" t="n">
        <v>0</v>
      </c>
      <c r="J14" s="4" t="s">
        <v>463</v>
      </c>
    </row>
    <row r="15" customFormat="false" ht="15" hidden="false" customHeight="false" outlineLevel="0" collapsed="false">
      <c r="A15" s="22" t="s">
        <v>203</v>
      </c>
      <c r="B15" s="21" t="s">
        <v>204</v>
      </c>
      <c r="C15" s="22" t="s">
        <v>80</v>
      </c>
      <c r="D15" s="4" t="s">
        <v>278</v>
      </c>
      <c r="E15" s="24" t="n">
        <v>647.819900000002</v>
      </c>
      <c r="F15" s="24" t="n">
        <v>647.819900000002</v>
      </c>
      <c r="G15" s="24" t="n">
        <f aca="false">F15-E15</f>
        <v>0</v>
      </c>
      <c r="H15" s="24" t="n">
        <v>0</v>
      </c>
      <c r="I15" s="24" t="n">
        <v>0</v>
      </c>
      <c r="J15" s="4" t="s">
        <v>461</v>
      </c>
    </row>
    <row r="16" customFormat="false" ht="26.85" hidden="false" customHeight="false" outlineLevel="0" collapsed="false">
      <c r="A16" s="22" t="s">
        <v>251</v>
      </c>
      <c r="B16" s="21" t="s">
        <v>252</v>
      </c>
      <c r="C16" s="22" t="s">
        <v>80</v>
      </c>
      <c r="D16" s="4" t="s">
        <v>464</v>
      </c>
      <c r="E16" s="24" t="n">
        <v>9003.1351999999</v>
      </c>
      <c r="F16" s="24" t="n">
        <v>6460.61727999989</v>
      </c>
      <c r="G16" s="24" t="n">
        <f aca="false">F16-E16</f>
        <v>-2542.51792000001</v>
      </c>
      <c r="H16" s="24" t="n">
        <v>0</v>
      </c>
      <c r="I16" s="24" t="n">
        <v>0</v>
      </c>
      <c r="J16" s="4" t="s">
        <v>465</v>
      </c>
    </row>
    <row r="17" customFormat="false" ht="15" hidden="false" customHeight="false" outlineLevel="0" collapsed="false">
      <c r="A17" s="22" t="s">
        <v>215</v>
      </c>
      <c r="B17" s="21" t="s">
        <v>216</v>
      </c>
      <c r="C17" s="22" t="s">
        <v>92</v>
      </c>
      <c r="D17" s="4" t="s">
        <v>280</v>
      </c>
      <c r="E17" s="24" t="n">
        <v>578.224849999984</v>
      </c>
      <c r="F17" s="24" t="n">
        <v>578.224849999984</v>
      </c>
      <c r="G17" s="24" t="n">
        <f aca="false">F17-E17</f>
        <v>0</v>
      </c>
      <c r="H17" s="24" t="n">
        <v>0</v>
      </c>
      <c r="I17" s="24" t="n">
        <v>0</v>
      </c>
      <c r="J17" s="4" t="s">
        <v>461</v>
      </c>
    </row>
    <row r="18" customFormat="false" ht="15" hidden="false" customHeight="false" outlineLevel="0" collapsed="false">
      <c r="A18" s="22" t="s">
        <v>267</v>
      </c>
      <c r="B18" s="21" t="s">
        <v>106</v>
      </c>
      <c r="C18" s="22" t="s">
        <v>107</v>
      </c>
      <c r="D18" s="4" t="s">
        <v>264</v>
      </c>
      <c r="E18" s="24" t="n">
        <v>346.099999999999</v>
      </c>
      <c r="F18" s="24" t="n">
        <v>246.099999999999</v>
      </c>
      <c r="G18" s="24" t="n">
        <f aca="false">F18-E18</f>
        <v>-100</v>
      </c>
      <c r="H18" s="24" t="n">
        <v>0</v>
      </c>
      <c r="I18" s="24" t="n">
        <v>0</v>
      </c>
      <c r="J18" s="4" t="s">
        <v>461</v>
      </c>
    </row>
    <row r="19" customFormat="false" ht="15" hidden="false" customHeight="false" outlineLevel="0" collapsed="false">
      <c r="A19" s="22" t="s">
        <v>205</v>
      </c>
      <c r="B19" s="21" t="s">
        <v>206</v>
      </c>
      <c r="C19" s="22" t="s">
        <v>107</v>
      </c>
      <c r="D19" s="4" t="s">
        <v>278</v>
      </c>
      <c r="E19" s="24" t="n">
        <v>669.929400000008</v>
      </c>
      <c r="F19" s="24" t="n">
        <v>669.929400000008</v>
      </c>
      <c r="G19" s="24" t="n">
        <f aca="false">F19-E19</f>
        <v>0</v>
      </c>
      <c r="H19" s="24" t="n">
        <v>0</v>
      </c>
      <c r="I19" s="24" t="n">
        <v>0</v>
      </c>
      <c r="J19" s="4" t="s">
        <v>461</v>
      </c>
    </row>
    <row r="20" customFormat="false" ht="15" hidden="false" customHeight="false" outlineLevel="0" collapsed="false">
      <c r="A20" s="22" t="s">
        <v>121</v>
      </c>
      <c r="B20" s="21" t="s">
        <v>122</v>
      </c>
      <c r="C20" s="22" t="s">
        <v>115</v>
      </c>
      <c r="D20" s="4" t="s">
        <v>264</v>
      </c>
      <c r="E20" s="24" t="n">
        <v>1308.96280000001</v>
      </c>
      <c r="F20" s="24" t="n">
        <v>915.762800000008</v>
      </c>
      <c r="G20" s="24" t="n">
        <f aca="false">F20-E20</f>
        <v>-393.2</v>
      </c>
      <c r="H20" s="24" t="n">
        <v>0</v>
      </c>
      <c r="I20" s="24" t="n">
        <v>0</v>
      </c>
      <c r="J20" s="4" t="s">
        <v>461</v>
      </c>
    </row>
    <row r="21" customFormat="false" ht="15" hidden="false" customHeight="false" outlineLevel="0" collapsed="false">
      <c r="A21" s="22" t="s">
        <v>123</v>
      </c>
      <c r="B21" s="21" t="s">
        <v>94</v>
      </c>
      <c r="C21" s="22" t="s">
        <v>115</v>
      </c>
      <c r="D21" s="4" t="s">
        <v>264</v>
      </c>
      <c r="E21" s="24" t="n">
        <v>1385.8627</v>
      </c>
      <c r="F21" s="24" t="n">
        <v>969.562699999998</v>
      </c>
      <c r="G21" s="24" t="n">
        <f aca="false">F21-E21</f>
        <v>-416.3</v>
      </c>
      <c r="H21" s="24" t="n">
        <v>0</v>
      </c>
      <c r="I21" s="24" t="n">
        <v>0</v>
      </c>
      <c r="J21" s="4" t="s">
        <v>461</v>
      </c>
    </row>
    <row r="22" customFormat="false" ht="15" hidden="false" customHeight="false" outlineLevel="0" collapsed="false">
      <c r="A22" s="22" t="s">
        <v>117</v>
      </c>
      <c r="B22" s="21" t="s">
        <v>106</v>
      </c>
      <c r="C22" s="22" t="s">
        <v>115</v>
      </c>
      <c r="D22" s="4" t="s">
        <v>264</v>
      </c>
      <c r="E22" s="24" t="n">
        <v>775.884199999986</v>
      </c>
      <c r="F22" s="24" t="n">
        <v>544.484199999986</v>
      </c>
      <c r="G22" s="24" t="n">
        <f aca="false">F22-E22</f>
        <v>-231.4</v>
      </c>
      <c r="H22" s="24" t="n">
        <v>0</v>
      </c>
      <c r="I22" s="24" t="n">
        <v>0</v>
      </c>
      <c r="J22" s="4" t="s">
        <v>461</v>
      </c>
    </row>
    <row r="23" customFormat="false" ht="15" hidden="false" customHeight="false" outlineLevel="0" collapsed="false">
      <c r="A23" s="22" t="s">
        <v>126</v>
      </c>
      <c r="B23" s="21" t="s">
        <v>61</v>
      </c>
      <c r="C23" s="22" t="s">
        <v>125</v>
      </c>
      <c r="D23" s="4" t="s">
        <v>466</v>
      </c>
      <c r="E23" s="24" t="n">
        <v>304.077599999995</v>
      </c>
      <c r="F23" s="24" t="n">
        <v>304.077599999995</v>
      </c>
      <c r="G23" s="24" t="n">
        <f aca="false">F23-E23</f>
        <v>0</v>
      </c>
      <c r="H23" s="24" t="n">
        <v>417.97168</v>
      </c>
      <c r="I23" s="24" t="n">
        <v>0</v>
      </c>
      <c r="J23" s="4" t="s">
        <v>461</v>
      </c>
    </row>
    <row r="24" customFormat="false" ht="15" hidden="false" customHeight="false" outlineLevel="0" collapsed="false">
      <c r="A24" s="22" t="s">
        <v>127</v>
      </c>
      <c r="B24" s="21" t="s">
        <v>106</v>
      </c>
      <c r="C24" s="22" t="s">
        <v>125</v>
      </c>
      <c r="D24" s="4" t="s">
        <v>466</v>
      </c>
      <c r="E24" s="24" t="n">
        <v>359.138000000008</v>
      </c>
      <c r="F24" s="24" t="n">
        <v>359.138000000008</v>
      </c>
      <c r="G24" s="24" t="n">
        <f aca="false">F24-E24</f>
        <v>0</v>
      </c>
      <c r="H24" s="24" t="n">
        <v>493.83656</v>
      </c>
      <c r="I24" s="24" t="n">
        <v>0</v>
      </c>
      <c r="J24" s="4" t="s">
        <v>461</v>
      </c>
    </row>
    <row r="25" customFormat="false" ht="15" hidden="false" customHeight="false" outlineLevel="0" collapsed="false">
      <c r="A25" s="22" t="s">
        <v>128</v>
      </c>
      <c r="B25" s="21" t="s">
        <v>61</v>
      </c>
      <c r="C25" s="22" t="s">
        <v>125</v>
      </c>
      <c r="D25" s="4" t="s">
        <v>466</v>
      </c>
      <c r="E25" s="24" t="n">
        <v>692.99989999999</v>
      </c>
      <c r="F25" s="24" t="n">
        <v>692.99989999999</v>
      </c>
      <c r="G25" s="24" t="n">
        <f aca="false">F25-E25</f>
        <v>0</v>
      </c>
      <c r="H25" s="24" t="n">
        <v>952.711619999999</v>
      </c>
      <c r="I25" s="24" t="n">
        <v>0</v>
      </c>
      <c r="J25" s="4" t="s">
        <v>461</v>
      </c>
    </row>
    <row r="26" customFormat="false" ht="15" hidden="false" customHeight="false" outlineLevel="0" collapsed="false">
      <c r="A26" s="22" t="s">
        <v>129</v>
      </c>
      <c r="B26" s="21" t="s">
        <v>58</v>
      </c>
      <c r="C26" s="22" t="s">
        <v>125</v>
      </c>
      <c r="D26" s="4" t="s">
        <v>466</v>
      </c>
      <c r="E26" s="24" t="n">
        <v>1024.54880000001</v>
      </c>
      <c r="F26" s="24" t="n">
        <v>1024.54880000001</v>
      </c>
      <c r="G26" s="24" t="n">
        <f aca="false">F26-E26</f>
        <v>0</v>
      </c>
      <c r="H26" s="24" t="n">
        <v>1409.43264</v>
      </c>
      <c r="I26" s="24" t="n">
        <v>0</v>
      </c>
      <c r="J26" s="4" t="s">
        <v>461</v>
      </c>
    </row>
    <row r="27" customFormat="false" ht="15" hidden="false" customHeight="false" outlineLevel="0" collapsed="false">
      <c r="A27" s="22" t="s">
        <v>130</v>
      </c>
      <c r="B27" s="21" t="s">
        <v>58</v>
      </c>
      <c r="C27" s="22" t="s">
        <v>125</v>
      </c>
      <c r="D27" s="4" t="s">
        <v>466</v>
      </c>
      <c r="E27" s="24" t="n">
        <v>787.506299999997</v>
      </c>
      <c r="F27" s="24" t="n">
        <v>787.506299999997</v>
      </c>
      <c r="G27" s="24" t="n">
        <f aca="false">F27-E27</f>
        <v>0</v>
      </c>
      <c r="H27" s="24" t="n">
        <v>1081.05354</v>
      </c>
      <c r="I27" s="24" t="n">
        <v>0</v>
      </c>
      <c r="J27" s="4" t="s">
        <v>461</v>
      </c>
    </row>
    <row r="28" customFormat="false" ht="15" hidden="false" customHeight="false" outlineLevel="0" collapsed="false">
      <c r="A28" s="22" t="s">
        <v>132</v>
      </c>
      <c r="B28" s="21" t="s">
        <v>91</v>
      </c>
      <c r="C28" s="22" t="s">
        <v>131</v>
      </c>
      <c r="D28" s="4" t="s">
        <v>466</v>
      </c>
      <c r="E28" s="24" t="n">
        <v>594.355500000005</v>
      </c>
      <c r="F28" s="24" t="n">
        <v>594.355500000005</v>
      </c>
      <c r="G28" s="24" t="n">
        <f aca="false">F28-E28</f>
        <v>0</v>
      </c>
      <c r="H28" s="24" t="n">
        <v>816.974899999999</v>
      </c>
      <c r="I28" s="24" t="n">
        <v>0</v>
      </c>
      <c r="J28" s="4" t="s">
        <v>461</v>
      </c>
    </row>
    <row r="29" customFormat="false" ht="15" hidden="false" customHeight="false" outlineLevel="0" collapsed="false">
      <c r="A29" s="22" t="s">
        <v>133</v>
      </c>
      <c r="B29" s="21" t="s">
        <v>61</v>
      </c>
      <c r="C29" s="22" t="s">
        <v>131</v>
      </c>
      <c r="D29" s="4" t="s">
        <v>466</v>
      </c>
      <c r="E29" s="24" t="n">
        <v>309.053799999997</v>
      </c>
      <c r="F29" s="24" t="n">
        <v>309.053799999997</v>
      </c>
      <c r="G29" s="24" t="n">
        <f aca="false">F29-E29</f>
        <v>0</v>
      </c>
      <c r="H29" s="24" t="n">
        <v>424.67964</v>
      </c>
      <c r="I29" s="24" t="n">
        <v>0</v>
      </c>
      <c r="J29" s="4" t="s">
        <v>461</v>
      </c>
    </row>
    <row r="30" customFormat="false" ht="15" hidden="false" customHeight="false" outlineLevel="0" collapsed="false">
      <c r="A30" s="22" t="s">
        <v>134</v>
      </c>
      <c r="B30" s="21" t="s">
        <v>96</v>
      </c>
      <c r="C30" s="22" t="s">
        <v>131</v>
      </c>
      <c r="D30" s="4" t="s">
        <v>466</v>
      </c>
      <c r="E30" s="24" t="n">
        <v>558.955150000012</v>
      </c>
      <c r="F30" s="24" t="n">
        <v>558.955150000012</v>
      </c>
      <c r="G30" s="24" t="n">
        <f aca="false">F30-E30</f>
        <v>0</v>
      </c>
      <c r="H30" s="24" t="n">
        <v>767.904129999999</v>
      </c>
      <c r="I30" s="24" t="n">
        <v>0</v>
      </c>
      <c r="J30" s="4" t="s">
        <v>461</v>
      </c>
    </row>
    <row r="31" customFormat="false" ht="15" hidden="false" customHeight="false" outlineLevel="0" collapsed="false">
      <c r="A31" s="22" t="s">
        <v>135</v>
      </c>
      <c r="B31" s="21" t="s">
        <v>58</v>
      </c>
      <c r="C31" s="22" t="s">
        <v>131</v>
      </c>
      <c r="D31" s="4" t="s">
        <v>466</v>
      </c>
      <c r="E31" s="24" t="n">
        <v>799.941799999989</v>
      </c>
      <c r="F31" s="24" t="n">
        <v>799.941799999989</v>
      </c>
      <c r="G31" s="24" t="n">
        <f aca="false">F31-E31</f>
        <v>0</v>
      </c>
      <c r="H31" s="24" t="n">
        <v>1098.12444</v>
      </c>
      <c r="I31" s="24" t="n">
        <v>0</v>
      </c>
      <c r="J31" s="4" t="s">
        <v>461</v>
      </c>
    </row>
    <row r="32" customFormat="false" ht="15" hidden="false" customHeight="false" outlineLevel="0" collapsed="false">
      <c r="A32" s="22" t="s">
        <v>241</v>
      </c>
      <c r="B32" s="21" t="s">
        <v>242</v>
      </c>
      <c r="C32" s="22" t="s">
        <v>131</v>
      </c>
      <c r="D32" s="4" t="s">
        <v>467</v>
      </c>
      <c r="E32" s="24" t="n">
        <v>8368.50384999998</v>
      </c>
      <c r="F32" s="24" t="n">
        <v>8368.50384999998</v>
      </c>
      <c r="G32" s="24" t="n">
        <f aca="false">F32-E32</f>
        <v>0</v>
      </c>
      <c r="H32" s="24" t="n">
        <v>0</v>
      </c>
      <c r="I32" s="24" t="n">
        <v>8195.13022999999</v>
      </c>
      <c r="J32" s="4" t="s">
        <v>461</v>
      </c>
    </row>
    <row r="33" customFormat="false" ht="15" hidden="false" customHeight="false" outlineLevel="0" collapsed="false">
      <c r="A33" s="22" t="s">
        <v>244</v>
      </c>
      <c r="B33" s="21" t="s">
        <v>245</v>
      </c>
      <c r="C33" s="22" t="s">
        <v>192</v>
      </c>
      <c r="D33" s="4" t="s">
        <v>288</v>
      </c>
      <c r="E33" s="24" t="n">
        <v>13876.1307599999</v>
      </c>
      <c r="F33" s="24" t="n">
        <v>13876.1307599999</v>
      </c>
      <c r="G33" s="24" t="n">
        <f aca="false">F33-E33</f>
        <v>0</v>
      </c>
      <c r="H33" s="24" t="n">
        <v>0</v>
      </c>
      <c r="I33" s="24" t="n">
        <v>0</v>
      </c>
      <c r="J33" s="4" t="s">
        <v>461</v>
      </c>
    </row>
    <row r="34" customFormat="false" ht="15" hidden="false" customHeight="false" outlineLevel="0" collapsed="false">
      <c r="A34" s="22" t="s">
        <v>196</v>
      </c>
      <c r="B34" s="21" t="s">
        <v>197</v>
      </c>
      <c r="C34" s="22" t="s">
        <v>195</v>
      </c>
      <c r="D34" s="4" t="s">
        <v>466</v>
      </c>
      <c r="E34" s="24" t="n">
        <v>653.090849999993</v>
      </c>
      <c r="F34" s="24" t="n">
        <v>653.090849999993</v>
      </c>
      <c r="G34" s="24" t="n">
        <f aca="false">F34-E34</f>
        <v>0</v>
      </c>
      <c r="H34" s="24" t="n">
        <v>636.111629999999</v>
      </c>
      <c r="I34" s="24" t="n">
        <v>0</v>
      </c>
      <c r="J34" s="4" t="s">
        <v>461</v>
      </c>
    </row>
    <row r="35" customFormat="false" ht="29.85" hidden="false" customHeight="false" outlineLevel="0" collapsed="false">
      <c r="A35" s="22" t="s">
        <v>198</v>
      </c>
      <c r="B35" s="21" t="s">
        <v>199</v>
      </c>
      <c r="C35" s="22" t="s">
        <v>195</v>
      </c>
      <c r="D35" s="4" t="s">
        <v>468</v>
      </c>
      <c r="E35" s="24" t="n">
        <v>523.678399999997</v>
      </c>
      <c r="F35" s="24" t="n">
        <v>523.678399999997</v>
      </c>
      <c r="G35" s="24" t="n">
        <f aca="false">F35-E35</f>
        <v>0</v>
      </c>
      <c r="H35" s="24" t="n">
        <v>475.32352</v>
      </c>
      <c r="I35" s="24" t="n">
        <v>0</v>
      </c>
      <c r="J35" s="4" t="s">
        <v>469</v>
      </c>
    </row>
    <row r="36" customFormat="false" ht="15" hidden="false" customHeight="false" outlineLevel="0" collapsed="false">
      <c r="A36" s="22" t="s">
        <v>254</v>
      </c>
      <c r="B36" s="21" t="s">
        <v>255</v>
      </c>
      <c r="C36" s="22" t="s">
        <v>195</v>
      </c>
      <c r="D36" s="4" t="s">
        <v>470</v>
      </c>
      <c r="E36" s="24" t="n">
        <v>647.631600000008</v>
      </c>
      <c r="F36" s="24" t="n">
        <v>913.686720000012</v>
      </c>
      <c r="G36" s="24" t="n">
        <f aca="false">F36-E36</f>
        <v>266.055120000005</v>
      </c>
      <c r="H36" s="24" t="n">
        <v>620.795279999999</v>
      </c>
      <c r="I36" s="24" t="n">
        <v>0</v>
      </c>
      <c r="J36" s="4" t="s">
        <v>461</v>
      </c>
    </row>
    <row r="37" customFormat="false" ht="15" hidden="false" customHeight="false" outlineLevel="0" collapsed="false">
      <c r="A37" s="22" t="s">
        <v>137</v>
      </c>
      <c r="B37" s="21" t="s">
        <v>138</v>
      </c>
      <c r="C37" s="22" t="s">
        <v>139</v>
      </c>
      <c r="D37" s="4" t="s">
        <v>466</v>
      </c>
      <c r="E37" s="24" t="n">
        <v>12789.3367000001</v>
      </c>
      <c r="F37" s="24" t="n">
        <v>12789.3367000001</v>
      </c>
      <c r="G37" s="24" t="n">
        <f aca="false">F37-E37</f>
        <v>0</v>
      </c>
      <c r="H37" s="24" t="n">
        <v>12649.59626</v>
      </c>
      <c r="I37" s="24" t="n">
        <v>0</v>
      </c>
      <c r="J37" s="4" t="s">
        <v>461</v>
      </c>
    </row>
    <row r="38" customFormat="false" ht="29.85" hidden="false" customHeight="false" outlineLevel="0" collapsed="false">
      <c r="A38" s="22" t="s">
        <v>174</v>
      </c>
      <c r="B38" s="21" t="s">
        <v>76</v>
      </c>
      <c r="C38" s="22" t="s">
        <v>173</v>
      </c>
      <c r="D38" s="4" t="s">
        <v>471</v>
      </c>
      <c r="E38" s="24" t="n">
        <v>2221.02</v>
      </c>
      <c r="F38" s="24" t="n">
        <v>2221.02</v>
      </c>
      <c r="G38" s="24" t="n">
        <f aca="false">F38-E38</f>
        <v>0</v>
      </c>
      <c r="H38" s="24" t="n">
        <v>0</v>
      </c>
      <c r="I38" s="24" t="n">
        <v>0</v>
      </c>
      <c r="J38" s="4" t="s">
        <v>461</v>
      </c>
    </row>
    <row r="39" customFormat="false" ht="29.85" hidden="false" customHeight="false" outlineLevel="0" collapsed="false">
      <c r="A39" s="22" t="s">
        <v>176</v>
      </c>
      <c r="B39" s="21" t="s">
        <v>58</v>
      </c>
      <c r="C39" s="22" t="s">
        <v>175</v>
      </c>
      <c r="D39" s="4" t="s">
        <v>471</v>
      </c>
      <c r="E39" s="24" t="n">
        <v>2219.4</v>
      </c>
      <c r="F39" s="24" t="n">
        <v>2219.4</v>
      </c>
      <c r="G39" s="24" t="n">
        <f aca="false">F39-E39</f>
        <v>0</v>
      </c>
      <c r="H39" s="24" t="n">
        <v>0</v>
      </c>
      <c r="I39" s="24" t="n">
        <v>0</v>
      </c>
      <c r="J39" s="4" t="s">
        <v>461</v>
      </c>
    </row>
    <row r="40" customFormat="false" ht="15" hidden="false" customHeight="false" outlineLevel="0" collapsed="false">
      <c r="A40" s="22" t="s">
        <v>177</v>
      </c>
      <c r="B40" s="21" t="s">
        <v>122</v>
      </c>
      <c r="C40" s="22" t="s">
        <v>154</v>
      </c>
      <c r="D40" s="4" t="s">
        <v>472</v>
      </c>
      <c r="E40" s="24" t="n">
        <v>2153.52</v>
      </c>
      <c r="F40" s="24" t="n">
        <v>2153.52</v>
      </c>
      <c r="G40" s="24" t="n">
        <f aca="false">F40-E40</f>
        <v>0</v>
      </c>
      <c r="H40" s="24" t="n">
        <v>0</v>
      </c>
      <c r="I40" s="24" t="n">
        <v>0</v>
      </c>
      <c r="J40" s="4" t="s">
        <v>461</v>
      </c>
    </row>
    <row r="41" customFormat="false" ht="15" hidden="false" customHeight="false" outlineLevel="0" collapsed="false">
      <c r="A41" s="22" t="s">
        <v>155</v>
      </c>
      <c r="B41" s="21" t="s">
        <v>76</v>
      </c>
      <c r="C41" s="22" t="s">
        <v>154</v>
      </c>
      <c r="D41" s="4" t="s">
        <v>472</v>
      </c>
      <c r="E41" s="24" t="n">
        <v>1607.08</v>
      </c>
      <c r="F41" s="24" t="n">
        <v>2107.08</v>
      </c>
      <c r="G41" s="24" t="n">
        <f aca="false">F41-E41</f>
        <v>500</v>
      </c>
      <c r="H41" s="24" t="n">
        <v>0</v>
      </c>
      <c r="I41" s="24" t="n">
        <v>0</v>
      </c>
      <c r="J41" s="4" t="s">
        <v>473</v>
      </c>
    </row>
    <row r="42" customFormat="false" ht="15" hidden="false" customHeight="false" outlineLevel="0" collapsed="false">
      <c r="A42" s="22" t="s">
        <v>207</v>
      </c>
      <c r="B42" s="21" t="s">
        <v>208</v>
      </c>
      <c r="C42" s="22" t="s">
        <v>154</v>
      </c>
      <c r="D42" s="4" t="s">
        <v>474</v>
      </c>
      <c r="E42" s="24" t="n">
        <v>670.00284999999</v>
      </c>
      <c r="F42" s="24" t="n">
        <v>949.32411999999</v>
      </c>
      <c r="G42" s="24" t="n">
        <f aca="false">F42-E42</f>
        <v>279.32127</v>
      </c>
      <c r="H42" s="24" t="n">
        <v>0</v>
      </c>
      <c r="I42" s="24" t="n">
        <v>0</v>
      </c>
      <c r="J42" s="4" t="s">
        <v>461</v>
      </c>
    </row>
    <row r="43" customFormat="false" ht="15" hidden="false" customHeight="false" outlineLevel="0" collapsed="false">
      <c r="A43" s="22" t="s">
        <v>160</v>
      </c>
      <c r="B43" s="21" t="s">
        <v>76</v>
      </c>
      <c r="C43" s="22" t="s">
        <v>154</v>
      </c>
      <c r="D43" s="4" t="s">
        <v>472</v>
      </c>
      <c r="E43" s="24" t="n">
        <v>1766.88</v>
      </c>
      <c r="F43" s="24" t="n">
        <v>1766.88</v>
      </c>
      <c r="G43" s="24" t="n">
        <f aca="false">F43-E43</f>
        <v>0</v>
      </c>
      <c r="H43" s="24" t="n">
        <v>0</v>
      </c>
      <c r="I43" s="24" t="n">
        <v>0</v>
      </c>
      <c r="J43" s="4" t="s">
        <v>461</v>
      </c>
    </row>
    <row r="44" customFormat="false" ht="29.85" hidden="false" customHeight="false" outlineLevel="0" collapsed="false">
      <c r="A44" s="22" t="s">
        <v>162</v>
      </c>
      <c r="B44" s="21" t="s">
        <v>58</v>
      </c>
      <c r="C44" s="22" t="s">
        <v>161</v>
      </c>
      <c r="D44" s="4" t="s">
        <v>475</v>
      </c>
      <c r="E44" s="24" t="n">
        <v>996.019499999995</v>
      </c>
      <c r="F44" s="24" t="n">
        <v>1644.3</v>
      </c>
      <c r="G44" s="24" t="n">
        <f aca="false">F44-E44</f>
        <v>648.280500000005</v>
      </c>
      <c r="H44" s="24" t="n">
        <v>0</v>
      </c>
      <c r="I44" s="24" t="n">
        <v>0</v>
      </c>
      <c r="J44" s="4" t="s">
        <v>461</v>
      </c>
    </row>
    <row r="45" customFormat="false" ht="15" hidden="false" customHeight="false" outlineLevel="0" collapsed="false">
      <c r="A45" s="22" t="s">
        <v>179</v>
      </c>
      <c r="B45" s="21" t="s">
        <v>122</v>
      </c>
      <c r="C45" s="22" t="s">
        <v>161</v>
      </c>
      <c r="D45" s="4" t="s">
        <v>472</v>
      </c>
      <c r="E45" s="24" t="n">
        <v>2048.76</v>
      </c>
      <c r="F45" s="24" t="n">
        <v>2048.76</v>
      </c>
      <c r="G45" s="24" t="n">
        <f aca="false">F45-E45</f>
        <v>0</v>
      </c>
      <c r="H45" s="24" t="n">
        <v>0</v>
      </c>
      <c r="I45" s="24" t="n">
        <v>0</v>
      </c>
      <c r="J45" s="4" t="s">
        <v>461</v>
      </c>
    </row>
    <row r="46" customFormat="false" ht="29.85" hidden="false" customHeight="false" outlineLevel="0" collapsed="false">
      <c r="A46" s="22" t="s">
        <v>217</v>
      </c>
      <c r="B46" s="21" t="s">
        <v>218</v>
      </c>
      <c r="C46" s="22" t="s">
        <v>161</v>
      </c>
      <c r="D46" s="4" t="s">
        <v>476</v>
      </c>
      <c r="E46" s="24" t="n">
        <v>915.331200000007</v>
      </c>
      <c r="F46" s="24" t="n">
        <v>1050.49391999999</v>
      </c>
      <c r="G46" s="24" t="n">
        <f aca="false">F46-E46</f>
        <v>135.162719999987</v>
      </c>
      <c r="H46" s="24" t="n">
        <v>0</v>
      </c>
      <c r="I46" s="24" t="n">
        <v>0</v>
      </c>
      <c r="J46" s="4" t="s">
        <v>461</v>
      </c>
    </row>
    <row r="47" customFormat="false" ht="15" hidden="false" customHeight="false" outlineLevel="0" collapsed="false">
      <c r="A47" s="22" t="s">
        <v>225</v>
      </c>
      <c r="B47" s="21" t="s">
        <v>226</v>
      </c>
      <c r="C47" s="22" t="s">
        <v>161</v>
      </c>
      <c r="D47" s="4" t="s">
        <v>477</v>
      </c>
      <c r="E47" s="24" t="n">
        <v>2355.5016</v>
      </c>
      <c r="F47" s="24" t="n">
        <v>2355.50159999999</v>
      </c>
      <c r="G47" s="24" t="n">
        <f aca="false">F47-E47</f>
        <v>-1.09139364212751E-011</v>
      </c>
      <c r="H47" s="24" t="n">
        <v>0</v>
      </c>
      <c r="I47" s="24" t="n">
        <v>0</v>
      </c>
      <c r="J47" s="4" t="s">
        <v>461</v>
      </c>
    </row>
    <row r="48" customFormat="false" ht="15" hidden="false" customHeight="false" outlineLevel="0" collapsed="false">
      <c r="A48" s="22" t="s">
        <v>209</v>
      </c>
      <c r="B48" s="21" t="s">
        <v>210</v>
      </c>
      <c r="C48" s="22" t="s">
        <v>156</v>
      </c>
      <c r="D48" s="4" t="s">
        <v>278</v>
      </c>
      <c r="E48" s="24" t="n">
        <v>831.449519999995</v>
      </c>
      <c r="F48" s="24" t="n">
        <v>831.449519999995</v>
      </c>
      <c r="G48" s="24" t="n">
        <f aca="false">F48-E48</f>
        <v>0</v>
      </c>
      <c r="H48" s="24" t="n">
        <v>0</v>
      </c>
      <c r="I48" s="24" t="n">
        <v>0</v>
      </c>
      <c r="J48" s="4" t="s">
        <v>461</v>
      </c>
    </row>
    <row r="49" customFormat="false" ht="15" hidden="false" customHeight="false" outlineLevel="0" collapsed="false">
      <c r="A49" s="22" t="s">
        <v>219</v>
      </c>
      <c r="B49" s="21" t="s">
        <v>220</v>
      </c>
      <c r="C49" s="22" t="s">
        <v>156</v>
      </c>
      <c r="D49" s="4" t="s">
        <v>282</v>
      </c>
      <c r="E49" s="24" t="n">
        <v>779.139919999987</v>
      </c>
      <c r="F49" s="24" t="n">
        <v>779.139919999987</v>
      </c>
      <c r="G49" s="24" t="n">
        <f aca="false">F49-E49</f>
        <v>0</v>
      </c>
      <c r="H49" s="24" t="n">
        <v>0</v>
      </c>
      <c r="I49" s="24" t="n">
        <v>0</v>
      </c>
      <c r="J49" s="4" t="s">
        <v>461</v>
      </c>
    </row>
    <row r="50" customFormat="false" ht="15" hidden="false" customHeight="false" outlineLevel="0" collapsed="false">
      <c r="A50" s="22" t="s">
        <v>212</v>
      </c>
      <c r="B50" s="21" t="s">
        <v>213</v>
      </c>
      <c r="C50" s="22" t="s">
        <v>211</v>
      </c>
      <c r="D50" s="4" t="s">
        <v>278</v>
      </c>
      <c r="E50" s="24" t="n">
        <v>977.346319999997</v>
      </c>
      <c r="F50" s="24" t="n">
        <v>977.346319999997</v>
      </c>
      <c r="G50" s="24" t="n">
        <f aca="false">F50-E50</f>
        <v>0</v>
      </c>
      <c r="H50" s="24" t="n">
        <v>0</v>
      </c>
      <c r="I50" s="24" t="n">
        <v>0</v>
      </c>
      <c r="J50" s="4" t="s">
        <v>461</v>
      </c>
    </row>
    <row r="51" customFormat="false" ht="15" hidden="false" customHeight="false" outlineLevel="0" collapsed="false">
      <c r="A51" s="22" t="s">
        <v>180</v>
      </c>
      <c r="B51" s="21" t="s">
        <v>76</v>
      </c>
      <c r="C51" s="22" t="s">
        <v>165</v>
      </c>
      <c r="D51" s="4" t="s">
        <v>274</v>
      </c>
      <c r="E51" s="24" t="n">
        <v>804.33</v>
      </c>
      <c r="F51" s="24" t="n">
        <v>804.33</v>
      </c>
      <c r="G51" s="24" t="n">
        <f aca="false">F51-E51</f>
        <v>0</v>
      </c>
      <c r="H51" s="24" t="n">
        <v>0</v>
      </c>
      <c r="I51" s="24" t="n">
        <v>0</v>
      </c>
      <c r="J51" s="4" t="s">
        <v>461</v>
      </c>
    </row>
    <row r="52" customFormat="false" ht="29.85" hidden="false" customHeight="false" outlineLevel="0" collapsed="false">
      <c r="A52" s="22" t="s">
        <v>145</v>
      </c>
      <c r="B52" s="21" t="s">
        <v>58</v>
      </c>
      <c r="C52" s="22" t="s">
        <v>144</v>
      </c>
      <c r="D52" s="4" t="s">
        <v>478</v>
      </c>
      <c r="E52" s="24" t="n">
        <v>2260.98</v>
      </c>
      <c r="F52" s="24" t="n">
        <v>2042.92104000002</v>
      </c>
      <c r="G52" s="24" t="n">
        <f aca="false">F52-E52</f>
        <v>-218.058959999984</v>
      </c>
      <c r="H52" s="24" t="n">
        <v>0</v>
      </c>
      <c r="I52" s="24" t="n">
        <v>0</v>
      </c>
      <c r="J52" s="4" t="s">
        <v>461</v>
      </c>
    </row>
    <row r="53" customFormat="false" ht="15" hidden="false" customHeight="false" outlineLevel="0" collapsed="false">
      <c r="A53" s="22" t="s">
        <v>149</v>
      </c>
      <c r="B53" s="21" t="s">
        <v>150</v>
      </c>
      <c r="C53" s="22" t="s">
        <v>148</v>
      </c>
      <c r="D53" s="4"/>
      <c r="E53" s="24" t="n">
        <v>700.869359999997</v>
      </c>
      <c r="F53" s="24" t="n">
        <v>800.869359999997</v>
      </c>
      <c r="G53" s="24" t="n">
        <f aca="false">F53-E53</f>
        <v>100</v>
      </c>
      <c r="H53" s="24" t="n">
        <v>0</v>
      </c>
      <c r="I53" s="24" t="n">
        <v>0</v>
      </c>
      <c r="J53" s="4" t="s">
        <v>463</v>
      </c>
    </row>
    <row r="54" customFormat="false" ht="15" hidden="false" customHeight="false" outlineLevel="0" collapsed="false">
      <c r="A54" s="22" t="s">
        <v>151</v>
      </c>
      <c r="B54" s="21" t="s">
        <v>152</v>
      </c>
      <c r="C54" s="22" t="s">
        <v>148</v>
      </c>
      <c r="D54" s="4"/>
      <c r="E54" s="24" t="n">
        <v>699.976800000004</v>
      </c>
      <c r="F54" s="24" t="n">
        <v>799.976800000004</v>
      </c>
      <c r="G54" s="24" t="n">
        <f aca="false">F54-E54</f>
        <v>100</v>
      </c>
      <c r="H54" s="24" t="n">
        <v>0</v>
      </c>
      <c r="I54" s="24" t="n">
        <v>0</v>
      </c>
      <c r="J54" s="4" t="s">
        <v>463</v>
      </c>
    </row>
    <row r="55" customFormat="false" ht="15" hidden="false" customHeight="false" outlineLevel="0" collapsed="false">
      <c r="A55" s="6" t="s">
        <v>354</v>
      </c>
      <c r="E55" s="43" t="n">
        <f aca="false">SUM(E2:E54)</f>
        <v>95744.29483</v>
      </c>
      <c r="F55" s="43" t="n">
        <f aca="false">SUM(F2:F54)</f>
        <v>91690.81046</v>
      </c>
      <c r="G55" s="43" t="n">
        <f aca="false">SUM(G2:G54)</f>
        <v>-4053.48437000002</v>
      </c>
      <c r="H55" s="43" t="n">
        <f aca="false">SUM(H2:H54)</f>
        <v>21844.51584</v>
      </c>
      <c r="I55" s="43" t="n">
        <f aca="false">SUM(I2:I54)</f>
        <v>8195.13022999999</v>
      </c>
    </row>
    <row r="57" customFormat="false" ht="14.15" hidden="false" customHeight="false" outlineLevel="0" collapsed="false">
      <c r="A57" s="61" t="s">
        <v>479</v>
      </c>
      <c r="B57" s="61"/>
      <c r="C57" s="61"/>
      <c r="D57" s="61"/>
      <c r="E57" s="61"/>
      <c r="F57" s="61"/>
      <c r="G57" s="61"/>
      <c r="H57" s="61"/>
      <c r="I57" s="61"/>
      <c r="J57" s="61"/>
    </row>
  </sheetData>
  <autoFilter ref="A1:J54"/>
  <mergeCells count="1">
    <mergeCell ref="A57:J57"/>
  </mergeCells>
  <conditionalFormatting sqref="G2:G54">
    <cfRule type="expression" priority="2" aboveAverage="0" equalAverage="0" bottom="0" percent="0" rank="0" text="" dxfId="17">
      <formula>ABS(G2)&gt;0.005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2026-09-22T06:35:11Z</dcterms:created>
  <dc:creator>openpyxl</dc:creator>
  <dc:description/>
  <dc:language>en-US</dc:language>
  <cp:lastModifiedBy/>
  <dcterms:modified xsi:type="dcterms:W3CDTF">2026-09-22T06:35:11Z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